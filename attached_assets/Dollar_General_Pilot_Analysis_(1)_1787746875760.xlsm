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ilot Analysis" sheetId="1" r:id="rId4"/>
    <sheet state="visible" name="Sheet8" sheetId="2" r:id="rId5"/>
    <sheet state="visible" name="Redemption" sheetId="3" r:id="rId6"/>
    <sheet state="visible" name="Current WIC Vendors" sheetId="4" r:id="rId7"/>
    <sheet state="visible" name="County Retail Priority" sheetId="5" r:id="rId8"/>
    <sheet state="visible" name="WV Dollar General" sheetId="6" r:id="rId9"/>
    <sheet state="visible" name="Scoring Framework" sheetId="7" r:id="rId10"/>
    <sheet state="visible" name="Data Dictionary" sheetId="8" r:id="rId11"/>
    <sheet state="visible" name="RUCA Categories" sheetId="9" r:id="rId12"/>
    <sheet state="visible" name="Project Notes" sheetId="10" r:id="rId13"/>
  </sheets>
  <definedNames>
    <definedName hidden="1" localSheetId="0" name="_xlnm._FilterDatabase">'Pilot Analysis'!$AS$1:$AS$1097</definedName>
  </definedNames>
  <calcPr/>
  <extLst>
    <ext uri="GoogleSheetsCustomDataVersion2">
      <go:sheetsCustomData xmlns:go="http://customooxmlschemas.google.com/" r:id="rId14" roundtripDataChecksum="BAOio7qOg+WDYlJLCicSbeCOU15BoEfPno0FGcUsW6A="/>
    </ext>
  </extLst>
</workbook>
</file>

<file path=xl/sharedStrings.xml><?xml version="1.0" encoding="utf-8"?>
<sst xmlns="http://schemas.openxmlformats.org/spreadsheetml/2006/main" count="6810" uniqueCount="2471">
  <si>
    <t>Priority Rank</t>
  </si>
  <si>
    <t>Vendor Name</t>
  </si>
  <si>
    <t>RUCA Code</t>
  </si>
  <si>
    <t>DG Miles From Target ZIP/Community</t>
  </si>
  <si>
    <t>Pilot Tier</t>
  </si>
  <si>
    <t>DG City</t>
  </si>
  <si>
    <t>DG Store #</t>
  </si>
  <si>
    <t>DG ZIP</t>
  </si>
  <si>
    <t>DG Store Type</t>
  </si>
  <si>
    <t>Vendor ID</t>
  </si>
  <si>
    <t>DG Produce/Fresh?</t>
  </si>
  <si>
    <t>Street Address</t>
  </si>
  <si>
    <t>City</t>
  </si>
  <si>
    <t>DG Street Address</t>
  </si>
  <si>
    <t>County</t>
  </si>
  <si>
    <t>ZIP</t>
  </si>
  <si>
    <t>Latitude</t>
  </si>
  <si>
    <t>Longitude</t>
  </si>
  <si>
    <t>WIC Region</t>
  </si>
  <si>
    <t>WIC Peer Group</t>
  </si>
  <si>
    <t>Source</t>
  </si>
  <si>
    <t>WALMART SUPERCENTER 1703</t>
  </si>
  <si>
    <t>V0209</t>
  </si>
  <si>
    <t>800 FOXCROFT AVENUE</t>
  </si>
  <si>
    <t>Rurality Score</t>
  </si>
  <si>
    <t>Martinsburg</t>
  </si>
  <si>
    <t>FAR Level</t>
  </si>
  <si>
    <t>FAR Classification</t>
  </si>
  <si>
    <t>Berkeley</t>
  </si>
  <si>
    <t>Nearest Full-Service Grocery Miles</t>
  </si>
  <si>
    <t>100 N 4th Ave</t>
  </si>
  <si>
    <t>Mass Merchandiser</t>
  </si>
  <si>
    <t>WV WIC Vendor Unit file</t>
  </si>
  <si>
    <t>WALMART SUPERCENTER 4423</t>
  </si>
  <si>
    <t>V0214</t>
  </si>
  <si>
    <t>5680 HAMMONDS MILL RD</t>
  </si>
  <si>
    <t>Active WIC Families - ZIP</t>
  </si>
  <si>
    <t>Active WIC Participants - ZIP</t>
  </si>
  <si>
    <t>Estimated WIC Eligible - ZIP</t>
  </si>
  <si>
    <t>Estimated WIC Enrollment %</t>
  </si>
  <si>
    <t>Population Under 5</t>
  </si>
  <si>
    <t>WALMART SUPERCENTER 6951</t>
  </si>
  <si>
    <t>Births</t>
  </si>
  <si>
    <t>V0409</t>
  </si>
  <si>
    <t>369 SCOTTS FORK-BONNIE ROAD</t>
  </si>
  <si>
    <t>Sutton</t>
  </si>
  <si>
    <r>
      <rPr>
        <rFont val="Montserrat"/>
        <color rgb="FF1155CC"/>
        <sz val="11.0"/>
        <u/>
      </rPr>
      <t>Albright</t>
    </r>
  </si>
  <si>
    <t>% Below 185% FPL</t>
  </si>
  <si>
    <t>Braxton</t>
  </si>
  <si>
    <t>Median Household Income</t>
  </si>
  <si>
    <t>WALMART SUPERCENTER 1948</t>
  </si>
  <si>
    <t>V0509</t>
  </si>
  <si>
    <t>400 THREE SPRINGS DRIVE</t>
  </si>
  <si>
    <t>Weirton</t>
  </si>
  <si>
    <t>Hancock-Brooke</t>
  </si>
  <si>
    <t>WALMART #2244</t>
  </si>
  <si>
    <t>V0627</t>
  </si>
  <si>
    <t>3333 US ROUTE 60</t>
  </si>
  <si>
    <t>Huntington</t>
  </si>
  <si>
    <t>Cabell</t>
  </si>
  <si>
    <t>RUCA Classification</t>
  </si>
  <si>
    <t>WALMART #5296</t>
  </si>
  <si>
    <t>V0628</t>
  </si>
  <si>
    <t>25 NICHOLS DRIVE</t>
  </si>
  <si>
    <t>Barboursville</t>
  </si>
  <si>
    <t>Remoteness Score</t>
  </si>
  <si>
    <t>Current # WIC Vendors Within 5 Mi</t>
  </si>
  <si>
    <t>WALMART SUPERCENTER 1360</t>
  </si>
  <si>
    <t>Current WIC Vendors Within 10 Mi</t>
  </si>
  <si>
    <t>V1028</t>
  </si>
  <si>
    <t>204 TOWN CENTER</t>
  </si>
  <si>
    <t>Nearest Current WIC Vendor</t>
  </si>
  <si>
    <t>Fayetteville</t>
  </si>
  <si>
    <t>Nearest WIC Vendor Miles</t>
  </si>
  <si>
    <t>Fayette</t>
  </si>
  <si>
    <t>Potential Miles Saved</t>
  </si>
  <si>
    <t>WALMART SUPERCENTER 1499</t>
  </si>
  <si>
    <t>V1315</t>
  </si>
  <si>
    <t>Meets USDA Rural 10-Mi Access Gap?</t>
  </si>
  <si>
    <t>1976 NORTH JEFFERSON STREET</t>
  </si>
  <si>
    <t>Lewisburg</t>
  </si>
  <si>
    <t>No Other Grocery Shopping Option?</t>
  </si>
  <si>
    <t>Greenbrier</t>
  </si>
  <si>
    <t>SNAP Authorized?</t>
  </si>
  <si>
    <t>WALMART SUPERCENTER 2696</t>
  </si>
  <si>
    <t>V1604</t>
  </si>
  <si>
    <t>11 HARNESS ROAD</t>
  </si>
  <si>
    <t>WIC Minimum Stock Feasible?</t>
  </si>
  <si>
    <t>Moorefield</t>
  </si>
  <si>
    <t>eWIC/POS Feasible?</t>
  </si>
  <si>
    <t>Hardy</t>
  </si>
  <si>
    <t>Formula Feasible?</t>
  </si>
  <si>
    <t>DG Suitability Score</t>
  </si>
  <si>
    <t>WIC Participation Score</t>
  </si>
  <si>
    <t>WALMART SUPERCENTER 1544</t>
  </si>
  <si>
    <t>Retail Access Score</t>
  </si>
  <si>
    <t>V1715</t>
  </si>
  <si>
    <t>Community Need Score</t>
  </si>
  <si>
    <t>550 EMILY DRIVE</t>
  </si>
  <si>
    <t>Clarksburg</t>
  </si>
  <si>
    <t>Provisional  Overall Pilot Priority Score</t>
  </si>
  <si>
    <t>Harrison</t>
  </si>
  <si>
    <t xml:space="preserve"> 26519-7633</t>
  </si>
  <si>
    <t>Recommended for Pilot?</t>
  </si>
  <si>
    <t>Notes</t>
  </si>
  <si>
    <t>Preston</t>
  </si>
  <si>
    <t>Source / Verification</t>
  </si>
  <si>
    <t>WALMART SUPERCENTER 1450</t>
  </si>
  <si>
    <t>V1810</t>
  </si>
  <si>
    <t>200 ACADEMY DRIVE</t>
  </si>
  <si>
    <t>Ripley</t>
  </si>
  <si>
    <t>Jackson</t>
  </si>
  <si>
    <t>TEST STORE</t>
  </si>
  <si>
    <t>V1899</t>
  </si>
  <si>
    <t>5 TEST ST</t>
  </si>
  <si>
    <t>Evans</t>
  </si>
  <si>
    <t>Not FAR</t>
  </si>
  <si>
    <t>6009 Teays Valley Rd</t>
  </si>
  <si>
    <t>WALMART SUPERCENTER 2566</t>
  </si>
  <si>
    <r>
      <rPr>
        <rFont val="Montserrat"/>
        <color rgb="FF1155CC"/>
        <sz val="11.0"/>
        <u/>
      </rPr>
      <t>Alderson</t>
    </r>
  </si>
  <si>
    <t>V1909</t>
  </si>
  <si>
    <t>96 PATRICK HENRY WAY</t>
  </si>
  <si>
    <t>Charles Town</t>
  </si>
  <si>
    <t>Jefferson</t>
  </si>
  <si>
    <t>KROGER 795</t>
  </si>
  <si>
    <t>V2026</t>
  </si>
  <si>
    <t>3060 RAY PARK BLVD</t>
  </si>
  <si>
    <t>South Charleston</t>
  </si>
  <si>
    <t>Kanawha</t>
  </si>
  <si>
    <t>WALMART #2576</t>
  </si>
  <si>
    <t>V2059</t>
  </si>
  <si>
    <t>100 NITRO MARKET PLACE</t>
  </si>
  <si>
    <t>Cross Lanes</t>
  </si>
  <si>
    <t>WALMART #2036</t>
  </si>
  <si>
    <t>V2060</t>
  </si>
  <si>
    <t>2700 MOUNTAINEER BLVD</t>
  </si>
  <si>
    <t>WALMART #4278</t>
  </si>
  <si>
    <t>V2074</t>
  </si>
  <si>
    <t>1001 WARRIOR WAY</t>
  </si>
  <si>
    <t>24910-9802</t>
  </si>
  <si>
    <t>Quincy</t>
  </si>
  <si>
    <t>Traditional Store</t>
  </si>
  <si>
    <t>WALMART SUPERCENTER 1653</t>
  </si>
  <si>
    <t>V2109</t>
  </si>
  <si>
    <t>110 BERLIN ROAD</t>
  </si>
  <si>
    <t>Weston</t>
  </si>
  <si>
    <t>9363 N Preston Hwy</t>
  </si>
  <si>
    <t>Lewis</t>
  </si>
  <si>
    <t>2470 Oglebay Dr</t>
  </si>
  <si>
    <r>
      <rPr>
        <rFont val="Montserrat"/>
        <color rgb="FF1155CC"/>
        <sz val="11.0"/>
        <u/>
      </rPr>
      <t>Albright</t>
    </r>
  </si>
  <si>
    <t>WALMART SUPERCENTER 2610</t>
  </si>
  <si>
    <t>V2320</t>
  </si>
  <si>
    <t>77 NORMAN MORGAN BLVD</t>
  </si>
  <si>
    <t>Logan</t>
  </si>
  <si>
    <r>
      <rPr>
        <rFont val="Montserrat"/>
        <color rgb="FF1155CC"/>
        <sz val="11.0"/>
        <u/>
      </rPr>
      <t>Ansted</t>
    </r>
  </si>
  <si>
    <t>WALMART SUPERCENTER 1714</t>
  </si>
  <si>
    <t>V2531</t>
  </si>
  <si>
    <t>32 TYGART MALL LOOP</t>
  </si>
  <si>
    <t>Fairmont</t>
  </si>
  <si>
    <t>Marion</t>
  </si>
  <si>
    <t>WALMART SUPERCENTER 2852</t>
  </si>
  <si>
    <t>V2616</t>
  </si>
  <si>
    <t>10 WALMART DR</t>
  </si>
  <si>
    <t>Moundsville</t>
  </si>
  <si>
    <t>Marshall</t>
  </si>
  <si>
    <t>WALMART SUPERCENTER 2849</t>
  </si>
  <si>
    <t>V2702</t>
  </si>
  <si>
    <t>320 MALLARD LANE</t>
  </si>
  <si>
    <t>Mason</t>
  </si>
  <si>
    <t>Monongalia</t>
  </si>
  <si>
    <r>
      <rPr>
        <rFont val="Montserrat"/>
        <color rgb="FF1155CC"/>
        <sz val="11.0"/>
        <u/>
      </rPr>
      <t>Arnoldsburg</t>
    </r>
  </si>
  <si>
    <t>WALMART SUPERCENTER 2933</t>
  </si>
  <si>
    <t>V2835</t>
  </si>
  <si>
    <t>201 GREASY RIDGE ROAD</t>
  </si>
  <si>
    <t>Princeton</t>
  </si>
  <si>
    <t>Mercer</t>
  </si>
  <si>
    <t>WALMART SUPERCENTER 2474</t>
  </si>
  <si>
    <t>V2914</t>
  </si>
  <si>
    <t>148 WALNUT DRIVE</t>
  </si>
  <si>
    <t>Keyser</t>
  </si>
  <si>
    <t>Urban/Metro</t>
  </si>
  <si>
    <t>Mineral</t>
  </si>
  <si>
    <t>WALMART SUPERCENTER 2083</t>
  </si>
  <si>
    <t>V3119</t>
  </si>
  <si>
    <t>75 RETAIL CIRCLE</t>
  </si>
  <si>
    <t>Morgantown</t>
  </si>
  <si>
    <t>WALMART SUPERCENTER 3215</t>
  </si>
  <si>
    <t>V3120</t>
  </si>
  <si>
    <t>KINGWOOD SHOP N SAVE EXPRESS (V3916)</t>
  </si>
  <si>
    <t>Calhoun</t>
  </si>
  <si>
    <t>WIC Vendor Redemption $ - 12 Mo</t>
  </si>
  <si>
    <t>5605 UNIVERSITY TOWN CENTRE DR</t>
  </si>
  <si>
    <t># WIC Vendors</t>
  </si>
  <si>
    <t>WALMART SUPERCENTER 1477</t>
  </si>
  <si>
    <t>V3417</t>
  </si>
  <si>
    <t>200 WAL STREET</t>
  </si>
  <si>
    <t>Avg $ Redeemed per Vendor</t>
  </si>
  <si>
    <t>Summersville</t>
  </si>
  <si>
    <t>Nicholas</t>
  </si>
  <si>
    <t>DG 5-Digit ZIP</t>
  </si>
  <si>
    <r>
      <rPr>
        <rFont val="Montserrat"/>
        <color rgb="FF1155CC"/>
        <sz val="11.0"/>
        <u/>
      </rPr>
      <t>Ashton</t>
    </r>
  </si>
  <si>
    <t>WALMART SUPERCENTER 5088</t>
  </si>
  <si>
    <t>V3522</t>
  </si>
  <si>
    <t>450 STEWART LANE</t>
  </si>
  <si>
    <t># DG Stores in ZIP</t>
  </si>
  <si>
    <t>Triadelphia</t>
  </si>
  <si>
    <t>Ohio</t>
  </si>
  <si>
    <t>12-Month WIC Redemption in ZIP</t>
  </si>
  <si>
    <t>WALMART SUPERCENTER 4372</t>
  </si>
  <si>
    <t>V3915</t>
  </si>
  <si>
    <t># Current WIC Vendors in DG ZIP</t>
  </si>
  <si>
    <t>100 WALMART DRIVE</t>
  </si>
  <si>
    <t>Kingwood</t>
  </si>
  <si>
    <t>Average Redemption per WIC Vendor</t>
  </si>
  <si>
    <t>WALMART #4277</t>
  </si>
  <si>
    <t>V4017</t>
  </si>
  <si>
    <t>167 PROGRESS WAY</t>
  </si>
  <si>
    <t>Hurricane</t>
  </si>
  <si>
    <t>Putnam</t>
  </si>
  <si>
    <t>Cumberland</t>
  </si>
  <si>
    <t>WALMART SUPERCENTER 1351</t>
  </si>
  <si>
    <t>25503-9767</t>
  </si>
  <si>
    <t>V4125</t>
  </si>
  <si>
    <t>1330 NORTH EISENHOWER DRIVE</t>
  </si>
  <si>
    <t>Beckley</t>
  </si>
  <si>
    <t>Raleigh</t>
  </si>
  <si>
    <t>WALMART SUPERCENTER 5319</t>
  </si>
  <si>
    <t>V4135</t>
  </si>
  <si>
    <t>1881 ROBERT C BYRD DRIVE</t>
  </si>
  <si>
    <t>Macarthur</t>
  </si>
  <si>
    <t>Yes</t>
  </si>
  <si>
    <t>WALMART SUPERCENTER 1522</t>
  </si>
  <si>
    <r>
      <rPr>
        <rFont val="Montserrat"/>
        <color rgb="FF1155CC"/>
        <sz val="11.0"/>
        <u/>
      </rPr>
      <t>Athens</t>
    </r>
  </si>
  <si>
    <t>V4222</t>
  </si>
  <si>
    <t>40 JETT LANE</t>
  </si>
  <si>
    <t>Elkins</t>
  </si>
  <si>
    <t>Randolph</t>
  </si>
  <si>
    <t>WALMART SUPERCENTER 2810</t>
  </si>
  <si>
    <t>V4403</t>
  </si>
  <si>
    <t>97 WILLIAMS DRIVE</t>
  </si>
  <si>
    <t>Spencer</t>
  </si>
  <si>
    <t>Roane</t>
  </si>
  <si>
    <t>WALMART SUPERCENTER 2833</t>
  </si>
  <si>
    <t>V4604</t>
  </si>
  <si>
    <t>1 WAL MART LANE</t>
  </si>
  <si>
    <t>Rich Creek</t>
  </si>
  <si>
    <t>Grafton</t>
  </si>
  <si>
    <t>Taylor</t>
  </si>
  <si>
    <t>WALMART SUPERCENTER 2809</t>
  </si>
  <si>
    <t>V4914</t>
  </si>
  <si>
    <t>100 BUCKHANNON CROSSROADS</t>
  </si>
  <si>
    <t>Buckhannon</t>
  </si>
  <si>
    <t>Upshur</t>
  </si>
  <si>
    <t>WALMART #2792</t>
  </si>
  <si>
    <t>V5030</t>
  </si>
  <si>
    <t>100 MCGINNIS DRIVE</t>
  </si>
  <si>
    <t>Wayne</t>
  </si>
  <si>
    <t>WALMART SUPERCENTER 2684</t>
  </si>
  <si>
    <t>V5209</t>
  </si>
  <si>
    <r>
      <rPr>
        <rFont val="Montserrat"/>
        <color rgb="FF1155CC"/>
        <sz val="11.0"/>
        <u/>
      </rPr>
      <t>Augusta</t>
    </r>
  </si>
  <si>
    <t>1142 SOUTH BRIDGE STREET</t>
  </si>
  <si>
    <t>New Martinsville</t>
  </si>
  <si>
    <t>Bluefield</t>
  </si>
  <si>
    <t>Wetzel</t>
  </si>
  <si>
    <t>WALMART SUPERCENTER 2823</t>
  </si>
  <si>
    <t>V5402</t>
  </si>
  <si>
    <t>2900 PIKE STREET</t>
  </si>
  <si>
    <t>Parkersburg</t>
  </si>
  <si>
    <t>Wood</t>
  </si>
  <si>
    <t>WALMART SUPERCENTER 1782</t>
  </si>
  <si>
    <t>V5437</t>
  </si>
  <si>
    <t>701 GRAND CENTRAL AVENUE</t>
  </si>
  <si>
    <t>Vienna</t>
  </si>
  <si>
    <t>Hampshire</t>
  </si>
  <si>
    <t>FOOD LION 2257</t>
  </si>
  <si>
    <t>V0206</t>
  </si>
  <si>
    <t>130 DUELLA DRIVE</t>
  </si>
  <si>
    <t>Inwood</t>
  </si>
  <si>
    <t>National Grocery Chain</t>
  </si>
  <si>
    <t>FOOD LION 2194</t>
  </si>
  <si>
    <t>V0216</t>
  </si>
  <si>
    <t>78 WORCHESTER DR</t>
  </si>
  <si>
    <t>Falling Waters</t>
  </si>
  <si>
    <r>
      <rPr>
        <rFont val="Montserrat"/>
        <color rgb="FF1155CC"/>
        <sz val="11.0"/>
        <u/>
      </rPr>
      <t>Aurora</t>
    </r>
  </si>
  <si>
    <t>KROGER COMPANY 817</t>
  </si>
  <si>
    <t>V0302</t>
  </si>
  <si>
    <t>3265 SMOOT AVE</t>
  </si>
  <si>
    <t>Madison</t>
  </si>
  <si>
    <t>Boone</t>
  </si>
  <si>
    <t>KROGER COMPANY 268</t>
  </si>
  <si>
    <t>V0503</t>
  </si>
  <si>
    <t>91 27TH STREET</t>
  </si>
  <si>
    <t>Wellsburg</t>
  </si>
  <si>
    <t>Brooke</t>
  </si>
  <si>
    <t>26705-8011</t>
  </si>
  <si>
    <t>KROGER COMPANY 788</t>
  </si>
  <si>
    <t>V0605</t>
  </si>
  <si>
    <t>6360 US ROUTE 60 EAST</t>
  </si>
  <si>
    <t>KROGER COMPANY 782</t>
  </si>
  <si>
    <t>V0606</t>
  </si>
  <si>
    <t>19 7TH AVENUE WEST</t>
  </si>
  <si>
    <t>KROGER COMPANY 792</t>
  </si>
  <si>
    <t>Review</t>
  </si>
  <si>
    <t>V0621</t>
  </si>
  <si>
    <t>2627 FIFTH AVENUE</t>
  </si>
  <si>
    <r>
      <rPr>
        <rFont val="Montserrat"/>
        <color rgb="FF1155CC"/>
        <sz val="11.0"/>
        <u/>
      </rPr>
      <t>Baker</t>
    </r>
  </si>
  <si>
    <t>Welch</t>
  </si>
  <si>
    <t>KROGER COMPANY 780</t>
  </si>
  <si>
    <t>V1003</t>
  </si>
  <si>
    <t>411 MALL ROAD</t>
  </si>
  <si>
    <t>Oak Hill</t>
  </si>
  <si>
    <t>KROGER COMPANY 765</t>
  </si>
  <si>
    <t>2199 Alta Dr</t>
  </si>
  <si>
    <t>V1301</t>
  </si>
  <si>
    <t>180 RED OAKS SHOPPING CTR</t>
  </si>
  <si>
    <r>
      <rPr>
        <rFont val="Montserrat"/>
        <color rgb="FF1155CC"/>
        <sz val="11.0"/>
        <u/>
      </rPr>
      <t>Alderson</t>
    </r>
  </si>
  <si>
    <t>Ronceverte</t>
  </si>
  <si>
    <t>KROGER COMPANY 734</t>
  </si>
  <si>
    <t>V1304</t>
  </si>
  <si>
    <t>406 JOHN RAINE DR.</t>
  </si>
  <si>
    <t>Rainelle</t>
  </si>
  <si>
    <t>26801-1400</t>
  </si>
  <si>
    <t>FOOD LION 0826</t>
  </si>
  <si>
    <t>V1307</t>
  </si>
  <si>
    <t>1 ALVON ROAD</t>
  </si>
  <si>
    <t>White Sulphur Springs</t>
  </si>
  <si>
    <t>FOOD LION 0820</t>
  </si>
  <si>
    <t>V1402</t>
  </si>
  <si>
    <t>22240 NORTHWESTERN PIKE</t>
  </si>
  <si>
    <t>Romney</t>
  </si>
  <si>
    <r>
      <rPr>
        <rFont val="Montserrat"/>
        <color rgb="FF1155CC"/>
        <sz val="11.0"/>
        <u/>
      </rPr>
      <t>Barboursville</t>
    </r>
  </si>
  <si>
    <t>Central</t>
  </si>
  <si>
    <t>KROGER COMPANY 803</t>
  </si>
  <si>
    <t>V1503</t>
  </si>
  <si>
    <t>Bradshaw</t>
  </si>
  <si>
    <t>100 ST THOMAS DRIVE</t>
  </si>
  <si>
    <t>FOOD LION 0949</t>
  </si>
  <si>
    <t>V1603</t>
  </si>
  <si>
    <t>542 SOUTH MAIN STREET</t>
  </si>
  <si>
    <t>KROGER COMPANY 774</t>
  </si>
  <si>
    <t>V1708</t>
  </si>
  <si>
    <t>198 EMILY DRIVE</t>
  </si>
  <si>
    <t>Isolated Rural</t>
  </si>
  <si>
    <t>FOOD LION 1150</t>
  </si>
  <si>
    <t>V1709</t>
  </si>
  <si>
    <t>600 BUCKHANNON PIKE</t>
  </si>
  <si>
    <t>25504-1304</t>
  </si>
  <si>
    <t>Nutter Fort</t>
  </si>
  <si>
    <t>CORNERSTONE GROCERY LLC (V1324)</t>
  </si>
  <si>
    <t>FOOD LION 1169</t>
  </si>
  <si>
    <t>V1712</t>
  </si>
  <si>
    <t>Iaeger</t>
  </si>
  <si>
    <t>1713 MILFORD STREET</t>
  </si>
  <si>
    <t>KROGER COMPANY 708</t>
  </si>
  <si>
    <t>V1804</t>
  </si>
  <si>
    <t>106 MCGRAW ST</t>
  </si>
  <si>
    <r>
      <rPr>
        <rFont val="Montserrat"/>
        <color rgb="FF1155CC"/>
        <sz val="11.0"/>
        <u/>
      </rPr>
      <t>Barboursville</t>
    </r>
  </si>
  <si>
    <t>FOOD LION 0663</t>
  </si>
  <si>
    <t>V1901</t>
  </si>
  <si>
    <t>25504-9655</t>
  </si>
  <si>
    <t>96 SOMERSET BOULEVARD</t>
  </si>
  <si>
    <t>FOOD LION 0871</t>
  </si>
  <si>
    <t>V1905</t>
  </si>
  <si>
    <t>85 MADDEX SQUARE</t>
  </si>
  <si>
    <t>Shepherdstown</t>
  </si>
  <si>
    <t>KROGER COMPANY 754</t>
  </si>
  <si>
    <t>V2010</t>
  </si>
  <si>
    <t>10635 MACCORKLE AVENUE SE</t>
  </si>
  <si>
    <r>
      <rPr>
        <rFont val="Montserrat"/>
        <color rgb="FF1155CC"/>
        <sz val="11.0"/>
        <u/>
      </rPr>
      <t>Barrackville</t>
    </r>
  </si>
  <si>
    <t>Marmet</t>
  </si>
  <si>
    <t>Oceana</t>
  </si>
  <si>
    <t>KROGER COMPANY 763</t>
  </si>
  <si>
    <t>V2018</t>
  </si>
  <si>
    <t>5450 BIG TYLER ROAD</t>
  </si>
  <si>
    <t>KROGER COMPANY 785</t>
  </si>
  <si>
    <t>V2022</t>
  </si>
  <si>
    <t>1100 FLEDDER JOHN ROAD</t>
  </si>
  <si>
    <t>Charleston</t>
  </si>
  <si>
    <t>20128 Midland Trail</t>
  </si>
  <si>
    <t>KROGER COMPANY 778</t>
  </si>
  <si>
    <t>V2032</t>
  </si>
  <si>
    <r>
      <rPr>
        <rFont val="Montserrat"/>
        <color rgb="FF1155CC"/>
        <sz val="11.0"/>
        <u/>
      </rPr>
      <t>Ansted</t>
    </r>
  </si>
  <si>
    <t>500 DELAWARE AVENUE</t>
  </si>
  <si>
    <t>Pineville</t>
  </si>
  <si>
    <t>KROGER COMPANY 772</t>
  </si>
  <si>
    <t>V2034</t>
  </si>
  <si>
    <t>5717 MACCORKLE AVENUE SE</t>
  </si>
  <si>
    <t>KROGER COMPANY 725</t>
  </si>
  <si>
    <t>V2037</t>
  </si>
  <si>
    <t>1439 MACCORKLE AVENUE</t>
  </si>
  <si>
    <t>St Albans</t>
  </si>
  <si>
    <r>
      <rPr>
        <rFont val="Montserrat"/>
        <color rgb="FF1155CC"/>
        <sz val="11.0"/>
        <u/>
      </rPr>
      <t>Beckley</t>
    </r>
  </si>
  <si>
    <t>Valley South</t>
  </si>
  <si>
    <t>KROGER COMPANY 807</t>
  </si>
  <si>
    <t>V2063</t>
  </si>
  <si>
    <t>223 THE CROSSINGS SHOPPING CENTER</t>
  </si>
  <si>
    <t>Elkview</t>
  </si>
  <si>
    <t>War</t>
  </si>
  <si>
    <t>KROGER COMPANY 668</t>
  </si>
  <si>
    <t>V2301</t>
  </si>
  <si>
    <t>25 HOLDEN ROAD</t>
  </si>
  <si>
    <t>GRANTS SUPERMARKET 11 (V1035)</t>
  </si>
  <si>
    <t>FOOD LION 1270</t>
  </si>
  <si>
    <t>V2516</t>
  </si>
  <si>
    <t>308 MARION SQUARE</t>
  </si>
  <si>
    <t>25801-2215</t>
  </si>
  <si>
    <t>KROGER COMPANY 977</t>
  </si>
  <si>
    <t>V2601</t>
  </si>
  <si>
    <t>1300 LAFAYETTE AVENUE</t>
  </si>
  <si>
    <t>KROGER COMPANY 316</t>
  </si>
  <si>
    <t>V2803</t>
  </si>
  <si>
    <t>1229 STAFFORD DRIVE</t>
  </si>
  <si>
    <t>KROGER COMPANY 755</t>
  </si>
  <si>
    <t>V3101</t>
  </si>
  <si>
    <t>1851 EARL CORE ROAD</t>
  </si>
  <si>
    <r>
      <rPr>
        <rFont val="Montserrat"/>
        <color rgb="FF1155CC"/>
        <sz val="11.0"/>
        <u/>
      </rPr>
      <t>Beckley</t>
    </r>
  </si>
  <si>
    <t>25801-9470</t>
  </si>
  <si>
    <t>KROGER COMPANY 714</t>
  </si>
  <si>
    <t>V3104</t>
  </si>
  <si>
    <t>350 PATTESON DRIVE</t>
  </si>
  <si>
    <t>DG Market</t>
  </si>
  <si>
    <t>KROGER COMPANY 813</t>
  </si>
  <si>
    <t>V3121</t>
  </si>
  <si>
    <t>500 SUNCREST TOWNE CENTRE DRIVE</t>
  </si>
  <si>
    <t>845 Arnoldsburg Rd</t>
  </si>
  <si>
    <t>Fairlea</t>
  </si>
  <si>
    <r>
      <rPr>
        <rFont val="Montserrat"/>
        <color rgb="FF1155CC"/>
        <sz val="11.0"/>
        <u/>
      </rPr>
      <t>Arnoldsburg</t>
    </r>
  </si>
  <si>
    <r>
      <rPr>
        <rFont val="Montserrat"/>
        <color rgb="FF1155CC"/>
        <sz val="11.0"/>
        <u/>
      </rPr>
      <t>Beckley</t>
    </r>
  </si>
  <si>
    <t>25801-6323</t>
  </si>
  <si>
    <t>FOOD LION 0807</t>
  </si>
  <si>
    <t>V3301</t>
  </si>
  <si>
    <t>70 MORGAN SQUARE SUITE 1</t>
  </si>
  <si>
    <t>Berkeley Springs</t>
  </si>
  <si>
    <t>Morgan</t>
  </si>
  <si>
    <r>
      <rPr>
        <rFont val="Montserrat"/>
        <color rgb="FF1155CC"/>
        <sz val="11.0"/>
        <u/>
      </rPr>
      <t>Beckley</t>
    </r>
  </si>
  <si>
    <t>FOOD LION 1174</t>
  </si>
  <si>
    <t>25801-4448</t>
  </si>
  <si>
    <t>V3408</t>
  </si>
  <si>
    <t>1005 INDUSTRIAL DRIVE</t>
  </si>
  <si>
    <t>Mid-Ohio</t>
  </si>
  <si>
    <t>KROGER COMPANY 202</t>
  </si>
  <si>
    <t>Lindside</t>
  </si>
  <si>
    <t>V3501</t>
  </si>
  <si>
    <t>1241 WARWOOD AVENUE</t>
  </si>
  <si>
    <t>Wheeling</t>
  </si>
  <si>
    <r>
      <rPr>
        <rFont val="Montserrat"/>
        <color rgb="FF1155CC"/>
        <sz val="11.0"/>
        <u/>
      </rPr>
      <t>Beckley</t>
    </r>
  </si>
  <si>
    <t>KROGER COMPANY 562</t>
  </si>
  <si>
    <t>V3505</t>
  </si>
  <si>
    <t>200 MOUNT DE CHANTAL ROAD</t>
  </si>
  <si>
    <t>KROGER COMPANY 794</t>
  </si>
  <si>
    <t>V4004</t>
  </si>
  <si>
    <t>101 GREAT TEAYS BOULEVARD</t>
  </si>
  <si>
    <t>Scott Depot</t>
  </si>
  <si>
    <t>KROGER COMPANY 790</t>
  </si>
  <si>
    <t>V4101</t>
  </si>
  <si>
    <t>133 BECKLEY CROSSING</t>
  </si>
  <si>
    <r>
      <rPr>
        <rFont val="Montserrat"/>
        <color rgb="FF1155CC"/>
        <sz val="11.0"/>
        <u/>
      </rPr>
      <t>Belington</t>
    </r>
  </si>
  <si>
    <t>Marlinton</t>
  </si>
  <si>
    <t>KROGER COMPANY 770</t>
  </si>
  <si>
    <t>V4108</t>
  </si>
  <si>
    <t>151 N. BEAVER LANE</t>
  </si>
  <si>
    <t>Beaver</t>
  </si>
  <si>
    <t>FOOD LION 1197</t>
  </si>
  <si>
    <t>V4114</t>
  </si>
  <si>
    <t>834 ROBERT C BYRD DRIVE</t>
  </si>
  <si>
    <t>Sophia</t>
  </si>
  <si>
    <t>26250-6501</t>
  </si>
  <si>
    <t>Barbour</t>
  </si>
  <si>
    <t>FOOD LION 0771</t>
  </si>
  <si>
    <t>V4121</t>
  </si>
  <si>
    <t>1018 NORTH EISENHOWER DR</t>
  </si>
  <si>
    <t>FAR Level 1 - Remote</t>
  </si>
  <si>
    <t>KROGER COMPANY 805</t>
  </si>
  <si>
    <t>V4133</t>
  </si>
  <si>
    <t>1734 HARPER ROAD</t>
  </si>
  <si>
    <r>
      <rPr>
        <rFont val="Montserrat"/>
        <color rgb="FF1155CC"/>
        <sz val="11.0"/>
        <u/>
      </rPr>
      <t>Belington</t>
    </r>
  </si>
  <si>
    <t>26250-8308</t>
  </si>
  <si>
    <t>KROGER COMPANY 730</t>
  </si>
  <si>
    <t>V4201</t>
  </si>
  <si>
    <t>450 11TH STREET</t>
  </si>
  <si>
    <t>33221 Huntington Rd</t>
  </si>
  <si>
    <r>
      <rPr>
        <rFont val="Montserrat"/>
        <color rgb="FF1155CC"/>
        <sz val="11.0"/>
        <u/>
      </rPr>
      <t>Ashton</t>
    </r>
  </si>
  <si>
    <t>KROGER COMPANY 743</t>
  </si>
  <si>
    <t>V4501</t>
  </si>
  <si>
    <t>308 STOKES DRIVE</t>
  </si>
  <si>
    <t>Hinton</t>
  </si>
  <si>
    <t>Summers</t>
  </si>
  <si>
    <r>
      <rPr>
        <rFont val="Montserrat"/>
        <color rgb="FF1155CC"/>
        <sz val="11.0"/>
        <u/>
      </rPr>
      <t>Belle</t>
    </r>
  </si>
  <si>
    <t>Union</t>
  </si>
  <si>
    <t>KROGER COMPANY 722</t>
  </si>
  <si>
    <t>V4901</t>
  </si>
  <si>
    <t>80 SKYLINE PLAZA DRIVE</t>
  </si>
  <si>
    <t>KROGER COMPANY 753</t>
  </si>
  <si>
    <t>V5407</t>
  </si>
  <si>
    <t>930 DIVISION STREET</t>
  </si>
  <si>
    <t>KROGER COMPANY 752</t>
  </si>
  <si>
    <t>V5410</t>
  </si>
  <si>
    <t>2007 EAST 7TH STREET</t>
  </si>
  <si>
    <t>25015-1842</t>
  </si>
  <si>
    <t>Wayside</t>
  </si>
  <si>
    <t>MARTINS FOOD MARKET 6107</t>
  </si>
  <si>
    <t>V0201</t>
  </si>
  <si>
    <t>901 FOXCROFT AVENUE</t>
  </si>
  <si>
    <t>LEON GENERAL LLC (V2716)</t>
  </si>
  <si>
    <t>Regional Grocery Chain</t>
  </si>
  <si>
    <t>WEIS MARKETS 108</t>
  </si>
  <si>
    <t>V0204</t>
  </si>
  <si>
    <r>
      <rPr>
        <rFont val="Montserrat"/>
        <color rgb="FF1155CC"/>
        <sz val="11.0"/>
        <u/>
      </rPr>
      <t>Belle</t>
    </r>
  </si>
  <si>
    <t>1102 NORTH QUEEN STREET</t>
  </si>
  <si>
    <t>MARTINSBURG SAVE A LOT</t>
  </si>
  <si>
    <t>V0222</t>
  </si>
  <si>
    <t>205 EAGLE SCHOOL ROAD</t>
  </si>
  <si>
    <t>MARTINS FOOD MARKET 6557</t>
  </si>
  <si>
    <t>V0223</t>
  </si>
  <si>
    <t>147 ROARING LION DRIVE</t>
  </si>
  <si>
    <t>Hedgesville</t>
  </si>
  <si>
    <r>
      <rPr>
        <rFont val="Montserrat"/>
        <color rgb="FF1155CC"/>
        <sz val="11.0"/>
        <u/>
      </rPr>
      <t>Belmont</t>
    </r>
  </si>
  <si>
    <t>MARTINS FOOD MARKET 6560</t>
  </si>
  <si>
    <t>V0224</t>
  </si>
  <si>
    <t>1317 OLD COURTHOUSE SQUARE</t>
  </si>
  <si>
    <t>WEIS MARKET 238</t>
  </si>
  <si>
    <t>V0225</t>
  </si>
  <si>
    <t>400 ENTERPRISE CIRCLE</t>
  </si>
  <si>
    <t>100 N State St</t>
  </si>
  <si>
    <r>
      <rPr>
        <rFont val="Montserrat"/>
        <color rgb="FF1155CC"/>
        <sz val="11.0"/>
        <u/>
      </rPr>
      <t>Athens</t>
    </r>
  </si>
  <si>
    <t>ELK RIVER MARKET OF GASSAWAY</t>
  </si>
  <si>
    <t>V0403</t>
  </si>
  <si>
    <t>2908 STATE STREET</t>
  </si>
  <si>
    <t>Gassaway</t>
  </si>
  <si>
    <t>Pleasants</t>
  </si>
  <si>
    <t>PIGGLY WIGGLY OF KANAWHA CITY</t>
  </si>
  <si>
    <t>V0620</t>
  </si>
  <si>
    <t>5003 MACCORKLE AVE SE</t>
  </si>
  <si>
    <t>Alum Creek</t>
  </si>
  <si>
    <t>ELEANOR PIGGLY WIGGLY</t>
  </si>
  <si>
    <t>V0623</t>
  </si>
  <si>
    <t>101 ROOSEVELT BLVD</t>
  </si>
  <si>
    <t>Eleanor</t>
  </si>
  <si>
    <t>GRANTS SUPERMARKET 11</t>
  </si>
  <si>
    <t>V1035</t>
  </si>
  <si>
    <t>Large Rural/Micropolitan</t>
  </si>
  <si>
    <r>
      <rPr>
        <rFont val="Montserrat"/>
        <color rgb="FF1155CC"/>
        <sz val="11.0"/>
        <u/>
      </rPr>
      <t>Benwood</t>
    </r>
  </si>
  <si>
    <t>3 CHURCH STREET</t>
  </si>
  <si>
    <t>WALMART SUPERCENTER 2933 (V2835)</t>
  </si>
  <si>
    <t>GRANTS SUPERMARKET 17</t>
  </si>
  <si>
    <t>V1037</t>
  </si>
  <si>
    <t>505 VIRGINIA AVE</t>
  </si>
  <si>
    <t>Smithers</t>
  </si>
  <si>
    <t>WEIRTON SHOP N SAVE</t>
  </si>
  <si>
    <t>V1501</t>
  </si>
  <si>
    <t>273 PENCO ROAD</t>
  </si>
  <si>
    <t>Belle</t>
  </si>
  <si>
    <t>SHINNSTON PRICE CUTTER</t>
  </si>
  <si>
    <t>V1705</t>
  </si>
  <si>
    <t>540 SOUTH PIKE STREET</t>
  </si>
  <si>
    <t>Shinnston</t>
  </si>
  <si>
    <t>No</t>
  </si>
  <si>
    <t>CLARKSBURG PRICECUTTER</t>
  </si>
  <si>
    <t>V1723</t>
  </si>
  <si>
    <t>1724 ADAMS AVENUE</t>
  </si>
  <si>
    <t>26013-1013</t>
  </si>
  <si>
    <t>BRIDGEPORT PRICE CUTTER</t>
  </si>
  <si>
    <t>V1724</t>
  </si>
  <si>
    <t>16912 Northwestern Pike</t>
  </si>
  <si>
    <t>460 E. MAIN STREET</t>
  </si>
  <si>
    <r>
      <rPr>
        <rFont val="Montserrat"/>
        <color rgb="FF1155CC"/>
        <sz val="11.0"/>
        <u/>
      </rPr>
      <t>Augusta</t>
    </r>
  </si>
  <si>
    <t>Bridgeport</t>
  </si>
  <si>
    <t>Bickmore</t>
  </si>
  <si>
    <t>MARTINS FOOD MARKET 6102</t>
  </si>
  <si>
    <t>V1908</t>
  </si>
  <si>
    <t>190 FLOWING SPRINGS ROAD</t>
  </si>
  <si>
    <r>
      <rPr>
        <rFont val="Montserrat"/>
        <color rgb="FF1155CC"/>
        <sz val="11.0"/>
        <u/>
      </rPr>
      <t>Berkeley Springs</t>
    </r>
  </si>
  <si>
    <t>CHARLES TOWN SAVE A LOT</t>
  </si>
  <si>
    <t>V1910</t>
  </si>
  <si>
    <t>130 AUGUSTINE AVENUE</t>
  </si>
  <si>
    <t>WEIS MARKET 183</t>
  </si>
  <si>
    <t>Shenandoah</t>
  </si>
  <si>
    <t>V1911</t>
  </si>
  <si>
    <t>217 OAK LEE DRIVE</t>
  </si>
  <si>
    <t>Ranson</t>
  </si>
  <si>
    <t>HAMLIN FOODFAIR</t>
  </si>
  <si>
    <t>V2204</t>
  </si>
  <si>
    <t>25411-7281</t>
  </si>
  <si>
    <t>8337 COURT AVE</t>
  </si>
  <si>
    <t>Hamlin</t>
  </si>
  <si>
    <t>Lincoln</t>
  </si>
  <si>
    <t>Buffalo</t>
  </si>
  <si>
    <t>MILTON FOODFAIR</t>
  </si>
  <si>
    <t>V2212</t>
  </si>
  <si>
    <t>WALMART SUPERCENTER 2474 (V2914)</t>
  </si>
  <si>
    <t>18 PERRY MORRIS SQUARE</t>
  </si>
  <si>
    <t>Milton</t>
  </si>
  <si>
    <t>GRANTS SUPERMARKET 09</t>
  </si>
  <si>
    <t>V2439</t>
  </si>
  <si>
    <t>14297 ROCKETBOYS DR</t>
  </si>
  <si>
    <r>
      <rPr>
        <rFont val="Montserrat"/>
        <color rgb="FF1155CC"/>
        <sz val="11.0"/>
        <u/>
      </rPr>
      <t>Berkeley Springs</t>
    </r>
  </si>
  <si>
    <t>Mcdowell</t>
  </si>
  <si>
    <t>MANNINGTON PRICE CUTTER</t>
  </si>
  <si>
    <t>V2514</t>
  </si>
  <si>
    <t>1 RAINBOW PLAZA</t>
  </si>
  <si>
    <t>Mannington</t>
  </si>
  <si>
    <t>Clendenin</t>
  </si>
  <si>
    <t>BELLVIEW PRICE CUTTER</t>
  </si>
  <si>
    <t>V2527</t>
  </si>
  <si>
    <t># 5 FAIRHILLS PLAZA 609 BELLVIEW BLVD</t>
  </si>
  <si>
    <r>
      <rPr>
        <rFont val="Montserrat"/>
        <color rgb="FF1155CC"/>
        <sz val="11.0"/>
        <u/>
      </rPr>
      <t>Beverly</t>
    </r>
  </si>
  <si>
    <t>SOUTH FAIRMONT PRICE CUTTER</t>
  </si>
  <si>
    <t>V2530</t>
  </si>
  <si>
    <t>1208 FAIRMONT AVENUE</t>
  </si>
  <si>
    <t>EAST FAIRMONT PRICE CUTTER</t>
  </si>
  <si>
    <t>V2533</t>
  </si>
  <si>
    <t>1015 INDIANA AVENUE</t>
  </si>
  <si>
    <t>Comfort</t>
  </si>
  <si>
    <t>26253-1137</t>
  </si>
  <si>
    <t>23533 George Washington Hwy</t>
  </si>
  <si>
    <t>GRANTS SUPERMARKET 05</t>
  </si>
  <si>
    <r>
      <rPr>
        <rFont val="Montserrat"/>
        <color rgb="FF1155CC"/>
        <sz val="11.0"/>
        <u/>
      </rPr>
      <t>Aurora</t>
    </r>
  </si>
  <si>
    <t>V2808</t>
  </si>
  <si>
    <t>4001 MAPLE ACRES ROAD</t>
  </si>
  <si>
    <t>FAR Level 2 - Moderately Remote</t>
  </si>
  <si>
    <t>GRANTS SUPERMARKET 03</t>
  </si>
  <si>
    <t>V2856</t>
  </si>
  <si>
    <t>1314 EAST MAIN STREET</t>
  </si>
  <si>
    <r>
      <rPr>
        <rFont val="Montserrat"/>
        <color rgb="FF1155CC"/>
        <sz val="11.0"/>
        <u/>
      </rPr>
      <t>Birch River</t>
    </r>
  </si>
  <si>
    <t>GRANTS SUPERMARKET 04</t>
  </si>
  <si>
    <t>V2857</t>
  </si>
  <si>
    <t>315 BLUEFIELD AVE</t>
  </si>
  <si>
    <t>Danville</t>
  </si>
  <si>
    <t>GRANTS SUPERMARKET 08</t>
  </si>
  <si>
    <t>V2858</t>
  </si>
  <si>
    <t>154 ATHENS RD</t>
  </si>
  <si>
    <t>GRANTS SUPERMARKET 07</t>
  </si>
  <si>
    <t>V2859</t>
  </si>
  <si>
    <t>3669 NEW HOPE RD</t>
  </si>
  <si>
    <t>GRANTS SUPERMARKET 18</t>
  </si>
  <si>
    <t>V2862</t>
  </si>
  <si>
    <t>140 MAJESTIC PLACE</t>
  </si>
  <si>
    <t>Dunbar</t>
  </si>
  <si>
    <t>MARTINS FOOD MARKET 6071</t>
  </si>
  <si>
    <t>V2901</t>
  </si>
  <si>
    <t>100 KEYSER MALL</t>
  </si>
  <si>
    <t>GIANT #59</t>
  </si>
  <si>
    <t>V3103</t>
  </si>
  <si>
    <t>130 GREENBAG ROAD</t>
  </si>
  <si>
    <r>
      <rPr>
        <rFont val="Montserrat"/>
        <color rgb="FF1155CC"/>
        <sz val="11.0"/>
        <u/>
      </rPr>
      <t>Blacksville</t>
    </r>
  </si>
  <si>
    <t>CHEAT LAKE PRICE CUTTER</t>
  </si>
  <si>
    <t>V3111</t>
  </si>
  <si>
    <t>889 VENTURE DRIVE</t>
  </si>
  <si>
    <t>GIANT EAGLE #58</t>
  </si>
  <si>
    <t>V3116</t>
  </si>
  <si>
    <t>208 GIANT STREET</t>
  </si>
  <si>
    <t>36 Baker Industrial Park Rd</t>
  </si>
  <si>
    <r>
      <rPr>
        <rFont val="Montserrat"/>
        <color rgb="FF1155CC"/>
        <sz val="11.0"/>
        <u/>
      </rPr>
      <t>Baker</t>
    </r>
  </si>
  <si>
    <t>SAVE A LOT #30176</t>
  </si>
  <si>
    <t>V3302</t>
  </si>
  <si>
    <t>407 NEW CREEK HIGHWAY</t>
  </si>
  <si>
    <t>KINGWOOD SHOP N SAVE EXPRESS</t>
  </si>
  <si>
    <t>V3916</t>
  </si>
  <si>
    <t>141 PLAZA COURT</t>
  </si>
  <si>
    <r>
      <rPr>
        <rFont val="Montserrat"/>
        <color rgb="FF1155CC"/>
        <sz val="11.0"/>
        <u/>
      </rPr>
      <t>Bluefield</t>
    </r>
  </si>
  <si>
    <t>RIESBECK FOOD MARKETS, INC.</t>
  </si>
  <si>
    <t>V5210</t>
  </si>
  <si>
    <t>155 NORTH STREET</t>
  </si>
  <si>
    <t>Randolph-Elkins</t>
  </si>
  <si>
    <t>BELINGTON SHOP N SAVE</t>
  </si>
  <si>
    <t>V0104</t>
  </si>
  <si>
    <t>286 SOUTH CRIM AVE.</t>
  </si>
  <si>
    <t>Belington</t>
  </si>
  <si>
    <t>Local Grocery Chain</t>
  </si>
  <si>
    <t>PHILIPPI SHOP N SAVE EXPRESS</t>
  </si>
  <si>
    <t>V0110</t>
  </si>
  <si>
    <t>1 SWAMP LANE</t>
  </si>
  <si>
    <t>Philippi</t>
  </si>
  <si>
    <t>Ivydale</t>
  </si>
  <si>
    <t>24701-9350</t>
  </si>
  <si>
    <t>SAVE A LOT # 245</t>
  </si>
  <si>
    <t>V0323</t>
  </si>
  <si>
    <t>124 MALL ROAD</t>
  </si>
  <si>
    <t>RIESBECKS FOOD MARKET 12</t>
  </si>
  <si>
    <t>V0508</t>
  </si>
  <si>
    <t>1512 MAIN ST</t>
  </si>
  <si>
    <t>Follansbee</t>
  </si>
  <si>
    <r>
      <rPr>
        <rFont val="Montserrat"/>
        <color rgb="FF1155CC"/>
        <sz val="11.0"/>
        <u/>
      </rPr>
      <t>Bluefield</t>
    </r>
  </si>
  <si>
    <t>24701-2741</t>
  </si>
  <si>
    <t>TOWER FOODFAIR</t>
  </si>
  <si>
    <t>V0611</t>
  </si>
  <si>
    <t>Jeffrey</t>
  </si>
  <si>
    <t>6350 US ROUTE 60 EAST</t>
  </si>
  <si>
    <t>POCA SUPERMARKET</t>
  </si>
  <si>
    <r>
      <rPr>
        <rFont val="Montserrat"/>
        <color rgb="FF1155CC"/>
        <sz val="11.0"/>
        <u/>
      </rPr>
      <t>Bluefield</t>
    </r>
  </si>
  <si>
    <t>V0630</t>
  </si>
  <si>
    <t>2809 CHARLESTON ROAD</t>
  </si>
  <si>
    <t>Poca</t>
  </si>
  <si>
    <t>THE GRANTSVILLE FOODLAND</t>
  </si>
  <si>
    <t>V0711</t>
  </si>
  <si>
    <t>201 SOUTH CALHOUN HIGHWAY</t>
  </si>
  <si>
    <t>Grantsville</t>
  </si>
  <si>
    <t>700 Central Ave</t>
  </si>
  <si>
    <r>
      <rPr>
        <rFont val="Montserrat"/>
        <color rgb="FF1155CC"/>
        <sz val="11.0"/>
        <u/>
      </rPr>
      <t>Barboursville</t>
    </r>
  </si>
  <si>
    <r>
      <rPr>
        <rFont val="Montserrat"/>
        <color rgb="FF1155CC"/>
        <sz val="11.0"/>
        <u/>
      </rPr>
      <t>Bluefield</t>
    </r>
  </si>
  <si>
    <t>24701-4965</t>
  </si>
  <si>
    <t>WEST UNION SHOP N SAVE EXPRESS</t>
  </si>
  <si>
    <t>V0906</t>
  </si>
  <si>
    <t>201 MARIE STREET</t>
  </si>
  <si>
    <t>West Union</t>
  </si>
  <si>
    <t>Doddridge</t>
  </si>
  <si>
    <t>THE GLENVILLE FOODLAND</t>
  </si>
  <si>
    <t>V1108</t>
  </si>
  <si>
    <t>2 FOODLAND PLAZA</t>
  </si>
  <si>
    <t>Glenville</t>
  </si>
  <si>
    <t>Gilmer</t>
  </si>
  <si>
    <r>
      <rPr>
        <rFont val="Montserrat"/>
        <color rgb="FF1155CC"/>
        <sz val="11.0"/>
        <u/>
      </rPr>
      <t>Bradshaw</t>
    </r>
  </si>
  <si>
    <t>PETERSBURG SHOP N SAVE EXPRESS</t>
  </si>
  <si>
    <t>V1203</t>
  </si>
  <si>
    <t>442 VIRGINIA AVE</t>
  </si>
  <si>
    <t>Valley</t>
  </si>
  <si>
    <t>Petersburg</t>
  </si>
  <si>
    <t>Grant</t>
  </si>
  <si>
    <t>CORNERSTONE GROCERY LLC</t>
  </si>
  <si>
    <t>V1324</t>
  </si>
  <si>
    <t>Maysel</t>
  </si>
  <si>
    <t>9779 SENECA TRAIL SOUTH</t>
  </si>
  <si>
    <t>SALEM SHOP N SAVE EXPRESS</t>
  </si>
  <si>
    <t>V1726</t>
  </si>
  <si>
    <t>158 EAST MAIN ST</t>
  </si>
  <si>
    <t>Salem</t>
  </si>
  <si>
    <t>McDowell</t>
  </si>
  <si>
    <t>WALMART #5296 (V0628)</t>
  </si>
  <si>
    <t>RAVENSWOOD FOODFAIR</t>
  </si>
  <si>
    <t>V1811</t>
  </si>
  <si>
    <t>423 WASHINGTON STREET</t>
  </si>
  <si>
    <t>Ravenswood</t>
  </si>
  <si>
    <t>N/A</t>
  </si>
  <si>
    <t>ZIP not found in USDA FAR file</t>
  </si>
  <si>
    <t>SISSONVILLE PIGGLY WIGGLY</t>
  </si>
  <si>
    <t>V2025</t>
  </si>
  <si>
    <t>6405 SISSONVILLE DRIVE</t>
  </si>
  <si>
    <t>Montgomery</t>
  </si>
  <si>
    <r>
      <rPr>
        <rFont val="Montserrat"/>
        <color rgb="FF1155CC"/>
        <sz val="11.0"/>
        <u/>
      </rPr>
      <t>Branchland</t>
    </r>
  </si>
  <si>
    <t>SAVE A LOT # 246</t>
  </si>
  <si>
    <t>V2079</t>
  </si>
  <si>
    <t>9857 ELK RIVER RD SOUTH</t>
  </si>
  <si>
    <t>ELKVIEW SUPERMARKET</t>
  </si>
  <si>
    <t>V2082</t>
  </si>
  <si>
    <t>1 ELK SHOPPING PLAZA</t>
  </si>
  <si>
    <t>BIG CHIMNEY MARKET</t>
  </si>
  <si>
    <t>V2083</t>
  </si>
  <si>
    <t>4509 PENNSYLVANIA</t>
  </si>
  <si>
    <t>25506-8709</t>
  </si>
  <si>
    <t>AIG GROCERY OF CROSS LANES, LLC</t>
  </si>
  <si>
    <t>V2085</t>
  </si>
  <si>
    <t>901 CROSS LANES DR</t>
  </si>
  <si>
    <t>WESTON SHOP N SAVE EXPRESS</t>
  </si>
  <si>
    <t>V2108</t>
  </si>
  <si>
    <t>402B MEDICAL DRIVE</t>
  </si>
  <si>
    <t>6310 Davis Creek Rd</t>
  </si>
  <si>
    <r>
      <rPr>
        <rFont val="Montserrat"/>
        <color rgb="FF1155CC"/>
        <sz val="11.0"/>
        <u/>
      </rPr>
      <t>Barboursville</t>
    </r>
  </si>
  <si>
    <t>WEST HAMLIN FOODFAIR</t>
  </si>
  <si>
    <t>V2221</t>
  </si>
  <si>
    <t>5 LINCOLN PLAZA</t>
  </si>
  <si>
    <t>Branchland</t>
  </si>
  <si>
    <r>
      <rPr>
        <rFont val="Montserrat"/>
        <color rgb="FF1155CC"/>
        <sz val="11.0"/>
        <u/>
      </rPr>
      <t>Branchland</t>
    </r>
  </si>
  <si>
    <t>AIG GROCERY OF HAMLIN</t>
  </si>
  <si>
    <t>V2224</t>
  </si>
  <si>
    <t>7293 LYNN AVE</t>
  </si>
  <si>
    <t>SAVE A LOT # 106</t>
  </si>
  <si>
    <t>V2443</t>
  </si>
  <si>
    <t>700 VIRGINIA AVE</t>
  </si>
  <si>
    <t>WALMART #2244 (V0627)</t>
  </si>
  <si>
    <r>
      <rPr>
        <rFont val="Montserrat"/>
        <color rgb="FF1155CC"/>
        <sz val="11.0"/>
        <u/>
      </rPr>
      <t>Bridgeport</t>
    </r>
  </si>
  <si>
    <t>Saint Albans</t>
  </si>
  <si>
    <t>POINT PLEASANT PIGGLY WIGGLY</t>
  </si>
  <si>
    <t>V2701</t>
  </si>
  <si>
    <t>302 THIRD STREET</t>
  </si>
  <si>
    <t>Pt Pleasant</t>
  </si>
  <si>
    <t>THE CRAIGSVILLE FOODLAND</t>
  </si>
  <si>
    <t>V3420</t>
  </si>
  <si>
    <t>99 ROSE STREET</t>
  </si>
  <si>
    <t>Craigsville</t>
  </si>
  <si>
    <t>SAVE A LOT # 247</t>
  </si>
  <si>
    <t>V3421</t>
  </si>
  <si>
    <t>840 BROAD ST</t>
  </si>
  <si>
    <t>210 Pike St</t>
  </si>
  <si>
    <t>26330-1744</t>
  </si>
  <si>
    <r>
      <rPr>
        <rFont val="Montserrat"/>
        <color rgb="FF1155CC"/>
        <sz val="11.0"/>
        <u/>
      </rPr>
      <t>Barrackville</t>
    </r>
  </si>
  <si>
    <t>RIESBECKS FOOD MARKET 5</t>
  </si>
  <si>
    <t>V3502</t>
  </si>
  <si>
    <r>
      <rPr>
        <rFont val="Montserrat"/>
        <color rgb="FF1155CC"/>
        <sz val="11.0"/>
        <u/>
      </rPr>
      <t>Buckhannon</t>
    </r>
  </si>
  <si>
    <t>2485 NATIONAL ROAD</t>
  </si>
  <si>
    <t>Seth</t>
  </si>
  <si>
    <t>T&amp;K MARKETS</t>
  </si>
  <si>
    <t>V3602</t>
  </si>
  <si>
    <r>
      <rPr>
        <rFont val="Montserrat"/>
        <color rgb="FF1155CC"/>
        <sz val="11.0"/>
        <u/>
      </rPr>
      <t>Buffalo</t>
    </r>
  </si>
  <si>
    <t>32 PIKE ROAD</t>
  </si>
  <si>
    <t>Franklin</t>
  </si>
  <si>
    <t>Pendleton</t>
  </si>
  <si>
    <t>25033-9817</t>
  </si>
  <si>
    <r>
      <rPr>
        <rFont val="Montserrat"/>
        <color rgb="FF1155CC"/>
        <sz val="11.0"/>
        <u/>
      </rPr>
      <t>Bunker Hill</t>
    </r>
  </si>
  <si>
    <t>ST MARYS GALAXY</t>
  </si>
  <si>
    <t>V3705</t>
  </si>
  <si>
    <t>1408 NORTH PLEASANTS HWY</t>
  </si>
  <si>
    <t>Saint Marys</t>
  </si>
  <si>
    <t>REEDSVILLE SHOP N SAVE EXPRESS</t>
  </si>
  <si>
    <t>V3912</t>
  </si>
  <si>
    <t>306 Beckley Plz Ste 11</t>
  </si>
  <si>
    <t>287 ROBERT STONE WAY</t>
  </si>
  <si>
    <t>Reedsville</t>
  </si>
  <si>
    <r>
      <rPr>
        <rFont val="Montserrat"/>
        <color rgb="FF1155CC"/>
        <sz val="11.0"/>
        <u/>
      </rPr>
      <t>Beckley</t>
    </r>
  </si>
  <si>
    <t>CORNERSTONE IGA 2</t>
  </si>
  <si>
    <t>V4137</t>
  </si>
  <si>
    <t>2122 RITTER DRIVE</t>
  </si>
  <si>
    <t>Daniels</t>
  </si>
  <si>
    <r>
      <rPr>
        <rFont val="Montserrat"/>
        <color rgb="FF1155CC"/>
        <sz val="11.0"/>
        <u/>
      </rPr>
      <t>Burlington</t>
    </r>
  </si>
  <si>
    <t>26710-9431</t>
  </si>
  <si>
    <t>ELKINS SHOP N SAVE</t>
  </si>
  <si>
    <t>V4217</t>
  </si>
  <si>
    <t>1513 HARRISON AVENUE</t>
  </si>
  <si>
    <t>BEVERLY PIKE FIVE LANE SHOP N SAVE EXPRESS</t>
  </si>
  <si>
    <r>
      <rPr>
        <rFont val="Montserrat"/>
        <color rgb="FF1155CC"/>
        <sz val="11.0"/>
        <u/>
      </rPr>
      <t>Burnsville</t>
    </r>
  </si>
  <si>
    <t>V4224</t>
  </si>
  <si>
    <t>388 BEVERLY PIKE</t>
  </si>
  <si>
    <t>KROGER COMPANY 790 (V4101)</t>
  </si>
  <si>
    <t>HARRISVILLE SHOP N SAVE EXPRESS</t>
  </si>
  <si>
    <t>V4310</t>
  </si>
  <si>
    <t>1617 EAST MAIN STREET</t>
  </si>
  <si>
    <t>Harrisville</t>
  </si>
  <si>
    <t>Ritchie</t>
  </si>
  <si>
    <t>SAVE A LOT # 107</t>
  </si>
  <si>
    <t>V4502</t>
  </si>
  <si>
    <t>206 MAIN ST</t>
  </si>
  <si>
    <r>
      <rPr>
        <rFont val="Montserrat"/>
        <color rgb="FF1155CC"/>
        <sz val="11.0"/>
        <u/>
      </rPr>
      <t>Burton</t>
    </r>
  </si>
  <si>
    <t>GUMP IGA</t>
  </si>
  <si>
    <t>V4602</t>
  </si>
  <si>
    <t>57 MAPLE AVENUE</t>
  </si>
  <si>
    <t>PARSONS SHOP N SAVE</t>
  </si>
  <si>
    <t>26562-6206</t>
  </si>
  <si>
    <t>V4701</t>
  </si>
  <si>
    <t>302 D &amp; W LANE</t>
  </si>
  <si>
    <t>Parsons</t>
  </si>
  <si>
    <t>Tucker</t>
  </si>
  <si>
    <t>DAVIS SHOP N SAVE</t>
  </si>
  <si>
    <t>V4704</t>
  </si>
  <si>
    <r>
      <rPr>
        <rFont val="Montserrat"/>
        <color rgb="FF1155CC"/>
        <sz val="11.0"/>
        <u/>
      </rPr>
      <t>Caldwell</t>
    </r>
  </si>
  <si>
    <t>2952 Harper Rd</t>
  </si>
  <si>
    <t>371 WILLIAMS AVE</t>
  </si>
  <si>
    <t>Davis</t>
  </si>
  <si>
    <r>
      <rPr>
        <rFont val="Montserrat"/>
        <color rgb="FF1155CC"/>
        <sz val="11.0"/>
        <u/>
      </rPr>
      <t>Beckley</t>
    </r>
  </si>
  <si>
    <t>SISTERSVILLE IGA</t>
  </si>
  <si>
    <t>V4801</t>
  </si>
  <si>
    <t>520 DIAMOND STREET</t>
  </si>
  <si>
    <t>Sistersville</t>
  </si>
  <si>
    <t>Tyler</t>
  </si>
  <si>
    <t>24925-9791</t>
  </si>
  <si>
    <t>MIDDLEBOURNE GALAXY FOOD CENTER</t>
  </si>
  <si>
    <t>V4803</t>
  </si>
  <si>
    <t>10692 TYLER HIGHWAY</t>
  </si>
  <si>
    <t>Middlebourne</t>
  </si>
  <si>
    <t>BUCKHANNON SHOP N SAVE</t>
  </si>
  <si>
    <r>
      <rPr>
        <rFont val="Montserrat"/>
        <color rgb="FF1155CC"/>
        <sz val="11.0"/>
        <u/>
      </rPr>
      <t>Cameron</t>
    </r>
  </si>
  <si>
    <t>V4915</t>
  </si>
  <si>
    <t>203 SOUTH KANAWHA</t>
  </si>
  <si>
    <t>KROGER COMPANY 805 (V4133)</t>
  </si>
  <si>
    <t>LAVALETTE FOODFAIR</t>
  </si>
  <si>
    <t>V5001</t>
  </si>
  <si>
    <t>4541 5TH STREET ROAD</t>
  </si>
  <si>
    <t>AIG GROCERY OF KENOVA</t>
  </si>
  <si>
    <t>V5036</t>
  </si>
  <si>
    <t>1400 CHESTNUT ST</t>
  </si>
  <si>
    <t>Kenova</t>
  </si>
  <si>
    <r>
      <rPr>
        <rFont val="Montserrat"/>
        <color rgb="FF1155CC"/>
        <sz val="11.0"/>
        <u/>
      </rPr>
      <t>Capon Bridge</t>
    </r>
  </si>
  <si>
    <t>CEREDO FOODFAIR</t>
  </si>
  <si>
    <t>V5045</t>
  </si>
  <si>
    <t>#1 CEREDO PLAZA, SUITE 1</t>
  </si>
  <si>
    <t>Ceredo</t>
  </si>
  <si>
    <t>26711-0243</t>
  </si>
  <si>
    <t>SAVE A LOT # 111</t>
  </si>
  <si>
    <t>V5047</t>
  </si>
  <si>
    <t>920 14TH ST WEST</t>
  </si>
  <si>
    <r>
      <rPr>
        <rFont val="Montserrat"/>
        <color rgb="FF1155CC"/>
        <sz val="11.0"/>
        <u/>
      </rPr>
      <t>Cassville</t>
    </r>
  </si>
  <si>
    <t>SAVE A LOT # 113</t>
  </si>
  <si>
    <t>V5048</t>
  </si>
  <si>
    <t>4341 ROUTE 60 EAST</t>
  </si>
  <si>
    <t>995 South Eisenhower Dr</t>
  </si>
  <si>
    <r>
      <rPr>
        <rFont val="Montserrat"/>
        <color rgb="FF1155CC"/>
        <sz val="11.0"/>
        <u/>
      </rPr>
      <t>Beckley</t>
    </r>
  </si>
  <si>
    <r>
      <rPr>
        <rFont val="Montserrat"/>
        <color rgb="FF1155CC"/>
        <sz val="11.0"/>
        <u/>
      </rPr>
      <t>Chapmanville</t>
    </r>
  </si>
  <si>
    <t>SAVE A LOT # 117</t>
  </si>
  <si>
    <t>25508-4565</t>
  </si>
  <si>
    <t>V5440</t>
  </si>
  <si>
    <t>1805 BROADWAY AVE</t>
  </si>
  <si>
    <t>WALMART SUPERCENTER 1351 (V4125)</t>
  </si>
  <si>
    <r>
      <rPr>
        <rFont val="Montserrat"/>
        <color rgb="FF1155CC"/>
        <sz val="11.0"/>
        <u/>
      </rPr>
      <t>Charles Town</t>
    </r>
  </si>
  <si>
    <t>CORNERSTONE IGA 3</t>
  </si>
  <si>
    <t>V5523</t>
  </si>
  <si>
    <t>235 BLACK EAGLE ROAD</t>
  </si>
  <si>
    <t>Mullens</t>
  </si>
  <si>
    <t>Wyoming</t>
  </si>
  <si>
    <t>SALT ROCK GALAXY</t>
  </si>
  <si>
    <t>V0615</t>
  </si>
  <si>
    <t>5600 STATE ROUTE 10</t>
  </si>
  <si>
    <t>Salt Rock</t>
  </si>
  <si>
    <t>25414-4827</t>
  </si>
  <si>
    <t>Rural Independent Grocer</t>
  </si>
  <si>
    <t>PAR MAR STORE #217</t>
  </si>
  <si>
    <t>V0825</t>
  </si>
  <si>
    <t>7080 CLAY HIGHWAY</t>
  </si>
  <si>
    <r>
      <rPr>
        <rFont val="Montserrat"/>
        <color rgb="FF1155CC"/>
        <sz val="11.0"/>
        <u/>
      </rPr>
      <t>Charles Town</t>
    </r>
  </si>
  <si>
    <t>Clay</t>
  </si>
  <si>
    <t>PAR MAR STORE #172</t>
  </si>
  <si>
    <t>V0826</t>
  </si>
  <si>
    <t>1794 PROCIOUS MAYSEL ROAD</t>
  </si>
  <si>
    <r>
      <rPr>
        <rFont val="Montserrat"/>
        <color rgb="FF1155CC"/>
        <sz val="11.0"/>
        <u/>
      </rPr>
      <t>Charleston</t>
    </r>
  </si>
  <si>
    <t>2970 Robert C Byrd Dr</t>
  </si>
  <si>
    <r>
      <rPr>
        <rFont val="Montserrat"/>
        <color rgb="FF1155CC"/>
        <sz val="11.0"/>
        <u/>
      </rPr>
      <t>Beckley</t>
    </r>
  </si>
  <si>
    <t>NEW RIVER PIGGLY WIGGLY</t>
  </si>
  <si>
    <t>V1004</t>
  </si>
  <si>
    <t>24322 MIDLAND TRAIL</t>
  </si>
  <si>
    <t>Hico</t>
  </si>
  <si>
    <t>NEW CUMBERLAND SPARKLE</t>
  </si>
  <si>
    <t>V1517</t>
  </si>
  <si>
    <t>1000 NORTH CHESTER ST</t>
  </si>
  <si>
    <t>New Cumberland</t>
  </si>
  <si>
    <t>Hancock</t>
  </si>
  <si>
    <t>25306-6810</t>
  </si>
  <si>
    <t>CHESTER SPARKLE</t>
  </si>
  <si>
    <t>V1518</t>
  </si>
  <si>
    <t>12595 OHIO RIVER BLVD</t>
  </si>
  <si>
    <t>Chester</t>
  </si>
  <si>
    <r>
      <rPr>
        <rFont val="Montserrat"/>
        <color rgb="FF1155CC"/>
        <sz val="11.0"/>
        <u/>
      </rPr>
      <t>Charleston</t>
    </r>
  </si>
  <si>
    <t>25311-2505</t>
  </si>
  <si>
    <t>MOOREFIELD SHOP N SAVE EXPRESS</t>
  </si>
  <si>
    <t>V1605</t>
  </si>
  <si>
    <t>745 NORTH MAIN STREET</t>
  </si>
  <si>
    <r>
      <rPr>
        <rFont val="Montserrat"/>
        <color rgb="FF1155CC"/>
        <sz val="11.0"/>
        <u/>
      </rPr>
      <t>Charleston</t>
    </r>
  </si>
  <si>
    <t>FAS CHEK 3</t>
  </si>
  <si>
    <t>V2006</t>
  </si>
  <si>
    <t>369 CAMPBELLS CREEK DRIVE</t>
  </si>
  <si>
    <t>25313-1133</t>
  </si>
  <si>
    <t>BIGLEY PIGGLY WIGGLY</t>
  </si>
  <si>
    <t>V2014</t>
  </si>
  <si>
    <t>10 SPRING STREET WEST</t>
  </si>
  <si>
    <t>KANAWHA TERRACE IGA</t>
  </si>
  <si>
    <t>V2023</t>
  </si>
  <si>
    <t>2500 KANAWHA TERRACE</t>
  </si>
  <si>
    <r>
      <rPr>
        <rFont val="Montserrat"/>
        <color rgb="FF1155CC"/>
        <sz val="11.0"/>
        <u/>
      </rPr>
      <t>Charleston</t>
    </r>
  </si>
  <si>
    <t>HARTS GALAXY</t>
  </si>
  <si>
    <t>V2218</t>
  </si>
  <si>
    <t>1085 MCCLELLAN HIGHWAY</t>
  </si>
  <si>
    <t>Harts</t>
  </si>
  <si>
    <t>1117 Stanadord Rd</t>
  </si>
  <si>
    <t>SISSONVILLE SAVE A LOT</t>
  </si>
  <si>
    <r>
      <rPr>
        <rFont val="Montserrat"/>
        <color rgb="FF1155CC"/>
        <sz val="11.0"/>
        <u/>
      </rPr>
      <t>Beckley</t>
    </r>
  </si>
  <si>
    <t>V2223</t>
  </si>
  <si>
    <t>7703 SISSONVILLE DR.</t>
  </si>
  <si>
    <r>
      <rPr>
        <rFont val="Montserrat"/>
        <color rgb="FF1155CC"/>
        <sz val="11.0"/>
        <u/>
      </rPr>
      <t>Charleston</t>
    </r>
  </si>
  <si>
    <t>25306-6354</t>
  </si>
  <si>
    <t>MAN PIC PAC</t>
  </si>
  <si>
    <t>V2302</t>
  </si>
  <si>
    <t>78 MINGO HIGHWAY</t>
  </si>
  <si>
    <t>Man</t>
  </si>
  <si>
    <t>TOWNE 'N COUNTRY FOODLAND</t>
  </si>
  <si>
    <t>V2306</t>
  </si>
  <si>
    <t>816 MAIN STREET</t>
  </si>
  <si>
    <t>Chapmanville</t>
  </si>
  <si>
    <t>FOOD LION 0771 (V4121)</t>
  </si>
  <si>
    <r>
      <rPr>
        <rFont val="Montserrat"/>
        <color rgb="FF1155CC"/>
        <sz val="11.0"/>
        <u/>
      </rPr>
      <t>Charleston</t>
    </r>
  </si>
  <si>
    <t>25302-1812</t>
  </si>
  <si>
    <t>GOODSONS SUPERMARKET 1</t>
  </si>
  <si>
    <t>V2404</t>
  </si>
  <si>
    <t>18616 COAL HERITAGE ROAD</t>
  </si>
  <si>
    <t>SUNAMCO MARKET NO 2</t>
  </si>
  <si>
    <t>V2432</t>
  </si>
  <si>
    <t>11636 MARSHALL HIGHWAY</t>
  </si>
  <si>
    <r>
      <rPr>
        <rFont val="Montserrat"/>
        <color rgb="FF1155CC"/>
        <sz val="11.0"/>
        <u/>
      </rPr>
      <t>Charleston</t>
    </r>
  </si>
  <si>
    <t>25387-1335</t>
  </si>
  <si>
    <t>PEOPLES FOODLAND</t>
  </si>
  <si>
    <t>V3050</t>
  </si>
  <si>
    <t>210 LARRY JOE HARLESS DRIVE</t>
  </si>
  <si>
    <t>Gilbert</t>
  </si>
  <si>
    <t>Mingo</t>
  </si>
  <si>
    <t>JEWELLS COUNTRY STORE</t>
  </si>
  <si>
    <t>V3209</t>
  </si>
  <si>
    <t>U.S. ROUTE 219 NORTH</t>
  </si>
  <si>
    <t>Monroe</t>
  </si>
  <si>
    <r>
      <rPr>
        <rFont val="Montserrat"/>
        <color rgb="FF1155CC"/>
        <sz val="11.0"/>
        <u/>
      </rPr>
      <t>Charleston</t>
    </r>
  </si>
  <si>
    <t>JEWELLS MARKET 3</t>
  </si>
  <si>
    <t>V3232</t>
  </si>
  <si>
    <t>198 NORTH STREET</t>
  </si>
  <si>
    <t>25387-2319</t>
  </si>
  <si>
    <t>1659 Barbour County Hwy</t>
  </si>
  <si>
    <r>
      <rPr>
        <rFont val="Montserrat"/>
        <color rgb="FF1155CC"/>
        <sz val="11.0"/>
        <u/>
      </rPr>
      <t>Belington</t>
    </r>
  </si>
  <si>
    <t>PAR MAR STORE #143</t>
  </si>
  <si>
    <t>V3422</t>
  </si>
  <si>
    <t>1 WEST MAIN STREET</t>
  </si>
  <si>
    <t>Richwood</t>
  </si>
  <si>
    <t>NEELYS GROCERY INC</t>
  </si>
  <si>
    <t>V3504</t>
  </si>
  <si>
    <r>
      <rPr>
        <rFont val="Montserrat"/>
        <color rgb="FF1155CC"/>
        <sz val="11.0"/>
        <u/>
      </rPr>
      <t>Charleston</t>
    </r>
  </si>
  <si>
    <t>1610 WOOD STREET</t>
  </si>
  <si>
    <t>25312-9445</t>
  </si>
  <si>
    <t>POCAHONTAS IGA</t>
  </si>
  <si>
    <t>V3801</t>
  </si>
  <si>
    <t>18838 SENECA TRAIL</t>
  </si>
  <si>
    <t>Pocahontas</t>
  </si>
  <si>
    <t>PAR MAR STORE #74</t>
  </si>
  <si>
    <t>V3803</t>
  </si>
  <si>
    <t>4909 POTOMAC HIGHWAY TRAIL</t>
  </si>
  <si>
    <t>Green Bank</t>
  </si>
  <si>
    <r>
      <rPr>
        <rFont val="Montserrat"/>
        <color rgb="FF1155CC"/>
        <sz val="11.0"/>
        <u/>
      </rPr>
      <t>Chelyan</t>
    </r>
  </si>
  <si>
    <t>PAR MAR STORE #50</t>
  </si>
  <si>
    <t>V3805</t>
  </si>
  <si>
    <t>1 BIG SPRINGS PLAZA</t>
  </si>
  <si>
    <t>Slatyfork</t>
  </si>
  <si>
    <t>BLANKENSHIP GROCERY</t>
  </si>
  <si>
    <t>V4020</t>
  </si>
  <si>
    <t>19839 CHARLESTON RD</t>
  </si>
  <si>
    <t>RICKS SUPERMARKET</t>
  </si>
  <si>
    <t>V4109</t>
  </si>
  <si>
    <t>7007 HARPER ROAD</t>
  </si>
  <si>
    <t>Glen Daniel</t>
  </si>
  <si>
    <t>SPENCER CASH SAVER</t>
  </si>
  <si>
    <t>V4410</t>
  </si>
  <si>
    <t>208 EAST MAIN STREET</t>
  </si>
  <si>
    <t>25035-0067</t>
  </si>
  <si>
    <t>ROCK CAVE IGA</t>
  </si>
  <si>
    <t>V4904</t>
  </si>
  <si>
    <t>88 ROCK CAVE ROAD</t>
  </si>
  <si>
    <t>Rock Cave</t>
  </si>
  <si>
    <t>G AND R IGA</t>
  </si>
  <si>
    <t>V5102</t>
  </si>
  <si>
    <t>800 Crim Ave</t>
  </si>
  <si>
    <t>109 BAKER STREET</t>
  </si>
  <si>
    <r>
      <rPr>
        <rFont val="Montserrat"/>
        <color rgb="FF1155CC"/>
        <sz val="11.0"/>
        <u/>
      </rPr>
      <t>Belington</t>
    </r>
  </si>
  <si>
    <t>Webster Springs</t>
  </si>
  <si>
    <r>
      <rPr>
        <rFont val="Montserrat"/>
        <color rgb="FF1155CC"/>
        <sz val="11.0"/>
        <u/>
      </rPr>
      <t>Chesapeake</t>
    </r>
  </si>
  <si>
    <t>Webster</t>
  </si>
  <si>
    <t>COWEN IGA LLC</t>
  </si>
  <si>
    <t>V5111</t>
  </si>
  <si>
    <t>70 RAILROAD AVENUE</t>
  </si>
  <si>
    <t>Cowen</t>
  </si>
  <si>
    <t>MOORE'S PIGGLY WIGGLY</t>
  </si>
  <si>
    <t>V5303</t>
  </si>
  <si>
    <t>78 MAZE PLAZA</t>
  </si>
  <si>
    <t>Elizabeth</t>
  </si>
  <si>
    <t>Wirt</t>
  </si>
  <si>
    <t>EMERSON AVE PIGGLY WIGGLY</t>
  </si>
  <si>
    <t>25315-1221</t>
  </si>
  <si>
    <t>V5445</t>
  </si>
  <si>
    <t>4000 EMERSON AVE</t>
  </si>
  <si>
    <t>PLUM STREET PIGGLY WIGGLY</t>
  </si>
  <si>
    <t>V5446</t>
  </si>
  <si>
    <t>1206 PLUM STREET</t>
  </si>
  <si>
    <t>VIENNA PIGGLY WIGGLY</t>
  </si>
  <si>
    <t>V5447</t>
  </si>
  <si>
    <t>100 23RD STREET</t>
  </si>
  <si>
    <r>
      <rPr>
        <rFont val="Montserrat"/>
        <color rgb="FF1155CC"/>
        <sz val="11.0"/>
        <u/>
      </rPr>
      <t>Chester</t>
    </r>
  </si>
  <si>
    <t>GIHON PIGGLY WIGGLY</t>
  </si>
  <si>
    <t>V5448</t>
  </si>
  <si>
    <t>77 Quincy Hollow Rd</t>
  </si>
  <si>
    <t>110 GIHON VILLAGE</t>
  </si>
  <si>
    <r>
      <rPr>
        <rFont val="Montserrat"/>
        <color rgb="FF1155CC"/>
        <sz val="11.0"/>
        <u/>
      </rPr>
      <t>Belle</t>
    </r>
  </si>
  <si>
    <t>GOODSONS SUPERMARKET 3</t>
  </si>
  <si>
    <t>V5502</t>
  </si>
  <si>
    <t>679 VALLEY DRIVE</t>
  </si>
  <si>
    <t>GOODSONS SUPERMARKET 1920</t>
  </si>
  <si>
    <t>V5522</t>
  </si>
  <si>
    <t>466 APPALACHIAN HIGHWAY</t>
  </si>
  <si>
    <t>26034-1715</t>
  </si>
  <si>
    <t>KWIK CHEK</t>
  </si>
  <si>
    <t>V0217</t>
  </si>
  <si>
    <t>301 ROCK CLIFF DRIVE</t>
  </si>
  <si>
    <t>Isolated Independent Store</t>
  </si>
  <si>
    <t>WALMART #4278 (V2074)</t>
  </si>
  <si>
    <t>LITTLE GENERAL STORE</t>
  </si>
  <si>
    <t>V0320</t>
  </si>
  <si>
    <t>6906 COAL RIVER RD</t>
  </si>
  <si>
    <r>
      <rPr>
        <rFont val="Montserrat"/>
        <color rgb="FF1155CC"/>
        <sz val="11.0"/>
        <u/>
      </rPr>
      <t>Clarksburg</t>
    </r>
  </si>
  <si>
    <t>BOONE COUNTRY STORE</t>
  </si>
  <si>
    <t>V0325</t>
  </si>
  <si>
    <t>10392 COAL RIVER ROAD</t>
  </si>
  <si>
    <t>OLIVE STREET MARKET</t>
  </si>
  <si>
    <t>V0619</t>
  </si>
  <si>
    <t>217 OLIVE STREET</t>
  </si>
  <si>
    <t>CHLOE AUTO AND HARDWARE</t>
  </si>
  <si>
    <t>V0707</t>
  </si>
  <si>
    <t>23350 SOUTH CALHOUN HWY</t>
  </si>
  <si>
    <t>Chloe</t>
  </si>
  <si>
    <t>26301-9234</t>
  </si>
  <si>
    <t>CUNNINGHAM MOTORS</t>
  </si>
  <si>
    <t>V0822</t>
  </si>
  <si>
    <t>10560 IVYDALE ROAD</t>
  </si>
  <si>
    <t>DREES QUICK MART</t>
  </si>
  <si>
    <t>V0824</t>
  </si>
  <si>
    <t>2100 E Dupont Ave</t>
  </si>
  <si>
    <t>10281 IVYDALE RD</t>
  </si>
  <si>
    <r>
      <rPr>
        <rFont val="Montserrat"/>
        <color rgb="FF1155CC"/>
        <sz val="11.0"/>
        <u/>
      </rPr>
      <t>Belle</t>
    </r>
  </si>
  <si>
    <r>
      <rPr>
        <rFont val="Montserrat"/>
        <color rgb="FF1155CC"/>
        <sz val="11.0"/>
        <u/>
      </rPr>
      <t>Clarksburg</t>
    </r>
  </si>
  <si>
    <t>SUPER DOLLAR STORE INC</t>
  </si>
  <si>
    <t>V1036</t>
  </si>
  <si>
    <t>446 3RD AVE</t>
  </si>
  <si>
    <t>Kanawha-Fayette</t>
  </si>
  <si>
    <t>MARKET EXPRESS 4015</t>
  </si>
  <si>
    <t>V2216</t>
  </si>
  <si>
    <t>571 MIDWAY ROAD</t>
  </si>
  <si>
    <t>Kanawha- Lincoln</t>
  </si>
  <si>
    <r>
      <rPr>
        <rFont val="Montserrat"/>
        <color rgb="FF1155CC"/>
        <sz val="11.0"/>
        <u/>
      </rPr>
      <t>Clarksburg</t>
    </r>
  </si>
  <si>
    <t>SALYERS FAMILY MARKET</t>
  </si>
  <si>
    <t>V2442</t>
  </si>
  <si>
    <t>6646 INTERSTATE HIGHWAY</t>
  </si>
  <si>
    <t>LEON GENERAL LLC</t>
  </si>
  <si>
    <t>V2716</t>
  </si>
  <si>
    <t>27523 CHARLESTON ROAD</t>
  </si>
  <si>
    <t>Leon</t>
  </si>
  <si>
    <r>
      <rPr>
        <rFont val="Montserrat"/>
        <color rgb="FF1155CC"/>
        <sz val="11.0"/>
        <u/>
      </rPr>
      <t>Clarksburg</t>
    </r>
  </si>
  <si>
    <t>26301-3554</t>
  </si>
  <si>
    <t>VERNICKS COUNTRY CORNER</t>
  </si>
  <si>
    <t>V5009</t>
  </si>
  <si>
    <t>19125 EAST LYNN ROAD</t>
  </si>
  <si>
    <t>East Lynn</t>
  </si>
  <si>
    <r>
      <rPr>
        <rFont val="Montserrat"/>
        <color rgb="FF1155CC"/>
        <sz val="11.0"/>
        <u/>
      </rPr>
      <t>Clarksburg</t>
    </r>
  </si>
  <si>
    <t>REBEL MART</t>
  </si>
  <si>
    <t>V5046</t>
  </si>
  <si>
    <t>31640 RT. 52</t>
  </si>
  <si>
    <t>Fort Gay</t>
  </si>
  <si>
    <t>5056 S Pleasants Hwy</t>
  </si>
  <si>
    <r>
      <rPr>
        <rFont val="Montserrat"/>
        <color rgb="FF1155CC"/>
        <sz val="11.0"/>
        <u/>
      </rPr>
      <t>Belmont</t>
    </r>
  </si>
  <si>
    <r>
      <rPr>
        <rFont val="Montserrat"/>
        <color rgb="FF1155CC"/>
        <sz val="11.0"/>
        <u/>
      </rPr>
      <t>Clarksburg</t>
    </r>
  </si>
  <si>
    <t>26301-9560</t>
  </si>
  <si>
    <r>
      <rPr>
        <rFont val="Montserrat"/>
        <color rgb="FF1155CC"/>
        <sz val="11.0"/>
        <u/>
      </rPr>
      <t>Clay</t>
    </r>
  </si>
  <si>
    <t>25043-0083</t>
  </si>
  <si>
    <r>
      <rPr>
        <rFont val="Montserrat"/>
        <color rgb="FF1155CC"/>
        <sz val="11.0"/>
        <u/>
      </rPr>
      <t>Clendenin</t>
    </r>
  </si>
  <si>
    <t>100 Marshall St</t>
  </si>
  <si>
    <r>
      <rPr>
        <rFont val="Montserrat"/>
        <color rgb="FF1155CC"/>
        <sz val="11.0"/>
        <u/>
      </rPr>
      <t>Benwood</t>
    </r>
  </si>
  <si>
    <t>25045-0693</t>
  </si>
  <si>
    <t>Wheeling-Ohio</t>
  </si>
  <si>
    <r>
      <rPr>
        <rFont val="Montserrat"/>
        <color rgb="FF1155CC"/>
        <sz val="11.0"/>
        <u/>
      </rPr>
      <t>Coal City</t>
    </r>
  </si>
  <si>
    <t>NEELYS GROCERY INC (V3504)</t>
  </si>
  <si>
    <t>25823-9620</t>
  </si>
  <si>
    <r>
      <rPr>
        <rFont val="Montserrat"/>
        <color rgb="FF1155CC"/>
        <sz val="11.0"/>
        <u/>
      </rPr>
      <t>Cool Ridge</t>
    </r>
  </si>
  <si>
    <t>1005 Valley Rd</t>
  </si>
  <si>
    <r>
      <rPr>
        <rFont val="Montserrat"/>
        <color rgb="FF1155CC"/>
        <sz val="11.0"/>
        <u/>
      </rPr>
      <t>Berkeley Springs</t>
    </r>
  </si>
  <si>
    <t>25825-8700</t>
  </si>
  <si>
    <r>
      <rPr>
        <rFont val="Montserrat"/>
        <color rgb="FF1155CC"/>
        <sz val="11.0"/>
        <u/>
      </rPr>
      <t>Cowen</t>
    </r>
  </si>
  <si>
    <t>FOOD LION 0807 (V3301)</t>
  </si>
  <si>
    <t>Point Pleasant</t>
  </si>
  <si>
    <r>
      <rPr>
        <rFont val="Montserrat"/>
        <color rgb="FF1155CC"/>
        <sz val="11.0"/>
        <u/>
      </rPr>
      <t>Craigsville</t>
    </r>
  </si>
  <si>
    <t>Active WIC Families</t>
  </si>
  <si>
    <t>Total WIC Retailers</t>
  </si>
  <si>
    <t>PG1 Mass Merchandisers</t>
  </si>
  <si>
    <t>37 Oakland Rd</t>
  </si>
  <si>
    <t>PG2 National Chains</t>
  </si>
  <si>
    <r>
      <rPr>
        <rFont val="Montserrat"/>
        <color rgb="FF1155CC"/>
        <sz val="11.0"/>
        <u/>
      </rPr>
      <t>Berkeley Springs</t>
    </r>
  </si>
  <si>
    <t>PG3 Regional Chains</t>
  </si>
  <si>
    <t>PG4 Local Chains</t>
  </si>
  <si>
    <t>PG5 Rural Independent</t>
  </si>
  <si>
    <t>PG6 Isolated Independent</t>
  </si>
  <si>
    <t>PG1-4 Retailers</t>
  </si>
  <si>
    <t>PG5-6 Retailers</t>
  </si>
  <si>
    <t>WIC Families per Retailer</t>
  </si>
  <si>
    <t>Retail Pressure Score</t>
  </si>
  <si>
    <t>Preliminary Need Score</t>
  </si>
  <si>
    <t>Need Tier</t>
  </si>
  <si>
    <t>DG Count</t>
  </si>
  <si>
    <t>DG Market Count</t>
  </si>
  <si>
    <t>DG Present?</t>
  </si>
  <si>
    <t>Pilot Review Status</t>
  </si>
  <si>
    <r>
      <rPr>
        <rFont val="Montserrat"/>
        <color rgb="FF1155CC"/>
        <sz val="11.0"/>
        <u/>
      </rPr>
      <t>Craigsville</t>
    </r>
  </si>
  <si>
    <t>26205-8630</t>
  </si>
  <si>
    <t>Tier 4 - Lower</t>
  </si>
  <si>
    <t>Not Reviewed</t>
  </si>
  <si>
    <r>
      <rPr>
        <rFont val="Montserrat"/>
        <color rgb="FF1155CC"/>
        <sz val="11.0"/>
        <u/>
      </rPr>
      <t>Culloden</t>
    </r>
  </si>
  <si>
    <t>8 Camaro Dr</t>
  </si>
  <si>
    <r>
      <rPr>
        <rFont val="Montserrat"/>
        <color rgb="FF1155CC"/>
        <sz val="11.0"/>
        <u/>
      </rPr>
      <t>Beverly</t>
    </r>
  </si>
  <si>
    <t>25510-0366</t>
  </si>
  <si>
    <t>West Hamlin</t>
  </si>
  <si>
    <r>
      <rPr>
        <rFont val="Montserrat"/>
        <color rgb="FF1155CC"/>
        <sz val="11.0"/>
        <u/>
      </rPr>
      <t>Danese</t>
    </r>
  </si>
  <si>
    <t>BEVERLY PIKE FIVE LANE SHOP N SAVE EXPRESS (V4224)</t>
  </si>
  <si>
    <t>25831-7300</t>
  </si>
  <si>
    <r>
      <rPr>
        <rFont val="Montserrat"/>
        <color rgb="FF1155CC"/>
        <sz val="11.0"/>
        <u/>
      </rPr>
      <t>Daniels</t>
    </r>
  </si>
  <si>
    <t>25832-9356</t>
  </si>
  <si>
    <t>333 Birch River Rd</t>
  </si>
  <si>
    <r>
      <rPr>
        <rFont val="Montserrat"/>
        <color rgb="FF1155CC"/>
        <sz val="11.0"/>
        <u/>
      </rPr>
      <t>Birch River</t>
    </r>
  </si>
  <si>
    <r>
      <rPr>
        <rFont val="Montserrat"/>
        <color rgb="FF1155CC"/>
        <sz val="11.0"/>
        <u/>
      </rPr>
      <t>Danville</t>
    </r>
  </si>
  <si>
    <t>Mount Gay</t>
  </si>
  <si>
    <t>25053-5301</t>
  </si>
  <si>
    <t>Crum</t>
  </si>
  <si>
    <r>
      <rPr>
        <rFont val="Montserrat"/>
        <color rgb="FF1155CC"/>
        <sz val="11.0"/>
        <u/>
      </rPr>
      <t>Davis</t>
    </r>
  </si>
  <si>
    <t>5807 Masondixon Hwy Bx 48</t>
  </si>
  <si>
    <r>
      <rPr>
        <rFont val="Montserrat"/>
        <color rgb="FF1155CC"/>
        <sz val="11.0"/>
        <u/>
      </rPr>
      <t>Blacksville</t>
    </r>
  </si>
  <si>
    <t>Tier 3 - Moderate</t>
  </si>
  <si>
    <t>26260-0277</t>
  </si>
  <si>
    <t>FAR Level 4 - Most Remote</t>
  </si>
  <si>
    <r>
      <rPr>
        <rFont val="Montserrat"/>
        <color rgb="FF1155CC"/>
        <sz val="11.0"/>
        <u/>
      </rPr>
      <t>Delbarton</t>
    </r>
  </si>
  <si>
    <t>WALMART SUPERCENTER 3215 (V3120)</t>
  </si>
  <si>
    <r>
      <rPr>
        <rFont val="Montserrat"/>
        <color rgb="FF1155CC"/>
        <sz val="11.0"/>
        <u/>
      </rPr>
      <t>Delbarton</t>
    </r>
  </si>
  <si>
    <r>
      <rPr>
        <rFont val="Montserrat"/>
        <color rgb="FF1155CC"/>
        <sz val="11.0"/>
        <u/>
      </rPr>
      <t>Dixie</t>
    </r>
  </si>
  <si>
    <t>Tier 2 - High</t>
  </si>
  <si>
    <t>3902 Coal Heritage Rd</t>
  </si>
  <si>
    <r>
      <rPr>
        <rFont val="Montserrat"/>
        <color rgb="FF1155CC"/>
        <sz val="11.0"/>
        <u/>
      </rPr>
      <t>Bluefield</t>
    </r>
  </si>
  <si>
    <t>25059-8403</t>
  </si>
  <si>
    <r>
      <rPr>
        <rFont val="Montserrat"/>
        <color rgb="FF1155CC"/>
        <sz val="11.0"/>
        <u/>
      </rPr>
      <t>Dunbar</t>
    </r>
  </si>
  <si>
    <t>25064-2921</t>
  </si>
  <si>
    <t>GRANTS SUPERMARKET 18 (V2862)</t>
  </si>
  <si>
    <r>
      <rPr>
        <rFont val="Montserrat"/>
        <color rgb="FF1155CC"/>
        <sz val="11.0"/>
        <u/>
      </rPr>
      <t>East Bank</t>
    </r>
  </si>
  <si>
    <t>25067-0768</t>
  </si>
  <si>
    <r>
      <rPr>
        <rFont val="Montserrat"/>
        <color rgb="FF1155CC"/>
        <sz val="11.0"/>
        <u/>
      </rPr>
      <t>Eleanor</t>
    </r>
  </si>
  <si>
    <t>821 Bluefield Ave</t>
  </si>
  <si>
    <r>
      <rPr>
        <rFont val="Montserrat"/>
        <color rgb="FF1155CC"/>
        <sz val="11.0"/>
        <u/>
      </rPr>
      <t>Bluefield</t>
    </r>
  </si>
  <si>
    <t>GRANTS SUPERMARKET 04 (V2857)</t>
  </si>
  <si>
    <r>
      <rPr>
        <rFont val="Montserrat"/>
        <color rgb="FF1155CC"/>
        <sz val="11.0"/>
        <u/>
      </rPr>
      <t>Elizabeth</t>
    </r>
  </si>
  <si>
    <t>MacArthur</t>
  </si>
  <si>
    <t>26143-9764</t>
  </si>
  <si>
    <t>3627 Maple Acres Rd</t>
  </si>
  <si>
    <r>
      <rPr>
        <rFont val="Montserrat"/>
        <color rgb="FF1155CC"/>
        <sz val="11.0"/>
        <u/>
      </rPr>
      <t>Bluefield</t>
    </r>
  </si>
  <si>
    <r>
      <rPr>
        <rFont val="Montserrat"/>
        <color rgb="FF1155CC"/>
        <sz val="11.0"/>
        <u/>
      </rPr>
      <t>Elkins</t>
    </r>
  </si>
  <si>
    <t>26241-3356</t>
  </si>
  <si>
    <r>
      <rPr>
        <rFont val="Montserrat"/>
        <color rgb="FF1155CC"/>
        <sz val="11.0"/>
        <u/>
      </rPr>
      <t>Elkins</t>
    </r>
  </si>
  <si>
    <t>26241-3830</t>
  </si>
  <si>
    <t>3811 E Cumberland Rd</t>
  </si>
  <si>
    <r>
      <rPr>
        <rFont val="Montserrat"/>
        <color rgb="FF1155CC"/>
        <sz val="11.0"/>
        <u/>
      </rPr>
      <t>Bluefield</t>
    </r>
  </si>
  <si>
    <r>
      <rPr>
        <rFont val="Montserrat"/>
        <color rgb="FF1155CC"/>
        <sz val="11.0"/>
        <u/>
      </rPr>
      <t>Elkview</t>
    </r>
  </si>
  <si>
    <t>25071-9280</t>
  </si>
  <si>
    <r>
      <rPr>
        <rFont val="Montserrat"/>
        <color rgb="FF1155CC"/>
        <sz val="11.0"/>
        <u/>
      </rPr>
      <t>Elkview</t>
    </r>
  </si>
  <si>
    <r>
      <rPr>
        <rFont val="Montserrat"/>
        <color rgb="FF1155CC"/>
        <sz val="11.0"/>
        <u/>
      </rPr>
      <t>Enterprise</t>
    </r>
  </si>
  <si>
    <t>1608 Mountaineer Highway</t>
  </si>
  <si>
    <r>
      <rPr>
        <rFont val="Montserrat"/>
        <color rgb="FF1155CC"/>
        <sz val="11.0"/>
        <u/>
      </rPr>
      <t>Bradshaw</t>
    </r>
  </si>
  <si>
    <t>White Oak</t>
  </si>
  <si>
    <r>
      <rPr>
        <rFont val="Montserrat"/>
        <color rgb="FF1155CC"/>
        <sz val="11.0"/>
        <u/>
      </rPr>
      <t>Fairmont</t>
    </r>
  </si>
  <si>
    <t>26554-4408</t>
  </si>
  <si>
    <r>
      <rPr>
        <rFont val="Montserrat"/>
        <color rgb="FF1155CC"/>
        <sz val="11.0"/>
        <u/>
      </rPr>
      <t>Fairmont</t>
    </r>
  </si>
  <si>
    <t>26554-2369</t>
  </si>
  <si>
    <t>4073 Mcclellan Hwy</t>
  </si>
  <si>
    <r>
      <rPr>
        <rFont val="Montserrat"/>
        <color rgb="FF1155CC"/>
        <sz val="11.0"/>
        <u/>
      </rPr>
      <t>Branchland</t>
    </r>
  </si>
  <si>
    <r>
      <rPr>
        <rFont val="Montserrat"/>
        <color rgb="FF1155CC"/>
        <sz val="11.0"/>
        <u/>
      </rPr>
      <t>Fairmont</t>
    </r>
  </si>
  <si>
    <t>26554-2826</t>
  </si>
  <si>
    <r>
      <rPr>
        <rFont val="Montserrat"/>
        <color rgb="FF1155CC"/>
        <sz val="11.0"/>
        <u/>
      </rPr>
      <t>Falling Waters</t>
    </r>
  </si>
  <si>
    <t>WEST HAMLIN FOODFAIR (V2221)</t>
  </si>
  <si>
    <r>
      <rPr>
        <rFont val="Montserrat"/>
        <color rgb="FF1155CC"/>
        <sz val="11.0"/>
        <u/>
      </rPr>
      <t>Fayetteville</t>
    </r>
  </si>
  <si>
    <t>5799 Mcclellan Hwy</t>
  </si>
  <si>
    <r>
      <rPr>
        <rFont val="Montserrat"/>
        <color rgb="FF1155CC"/>
        <sz val="11.0"/>
        <u/>
      </rPr>
      <t>Branchland</t>
    </r>
  </si>
  <si>
    <r>
      <rPr>
        <rFont val="Montserrat"/>
        <color rgb="FF1155CC"/>
        <sz val="11.0"/>
        <u/>
      </rPr>
      <t>Flemington</t>
    </r>
  </si>
  <si>
    <t>26347-6062</t>
  </si>
  <si>
    <r>
      <rPr>
        <rFont val="Montserrat"/>
        <color rgb="FF1155CC"/>
        <sz val="11.0"/>
        <u/>
      </rPr>
      <t>Fort Ashby</t>
    </r>
  </si>
  <si>
    <t>311 S Virginia Ave</t>
  </si>
  <si>
    <r>
      <rPr>
        <rFont val="Montserrat"/>
        <color rgb="FF1155CC"/>
        <sz val="11.0"/>
        <u/>
      </rPr>
      <t>Bridgeport</t>
    </r>
  </si>
  <si>
    <t>26719-0387</t>
  </si>
  <si>
    <r>
      <rPr>
        <rFont val="Montserrat"/>
        <color rgb="FF1155CC"/>
        <sz val="11.0"/>
        <u/>
      </rPr>
      <t>Fort Gay</t>
    </r>
  </si>
  <si>
    <t>25514-2100</t>
  </si>
  <si>
    <t>BRIDGEPORT PRICE CUTTER (V1724)</t>
  </si>
  <si>
    <r>
      <rPr>
        <rFont val="Montserrat"/>
        <color rgb="FF1155CC"/>
        <sz val="11.0"/>
        <u/>
      </rPr>
      <t>Foster</t>
    </r>
  </si>
  <si>
    <t>225 Kanawha St</t>
  </si>
  <si>
    <r>
      <rPr>
        <rFont val="Montserrat"/>
        <color rgb="FF1155CC"/>
        <sz val="11.0"/>
        <u/>
      </rPr>
      <t>Frankford</t>
    </r>
  </si>
  <si>
    <r>
      <rPr>
        <rFont val="Montserrat"/>
        <color rgb="FF1155CC"/>
        <sz val="11.0"/>
        <u/>
      </rPr>
      <t>Buckhannon</t>
    </r>
  </si>
  <si>
    <r>
      <rPr>
        <rFont val="Montserrat"/>
        <color rgb="FF1155CC"/>
        <sz val="11.0"/>
        <u/>
      </rPr>
      <t>French Creek</t>
    </r>
  </si>
  <si>
    <t>26218-2018</t>
  </si>
  <si>
    <t>Small Rural/Small Town</t>
  </si>
  <si>
    <t>FAR Level 3 - Highly Remote</t>
  </si>
  <si>
    <t>BUCKHANNON SHOP N SAVE (V4915)</t>
  </si>
  <si>
    <r>
      <rPr>
        <rFont val="Montserrat"/>
        <color rgb="FF1155CC"/>
        <sz val="11.0"/>
        <u/>
      </rPr>
      <t>Gallipolis Ferry</t>
    </r>
  </si>
  <si>
    <t>25515-7208</t>
  </si>
  <si>
    <r>
      <rPr>
        <rFont val="Montserrat"/>
        <color rgb="FF1155CC"/>
        <sz val="11.0"/>
        <u/>
      </rPr>
      <t>Gassaway</t>
    </r>
  </si>
  <si>
    <t>26624-1133</t>
  </si>
  <si>
    <r>
      <rPr>
        <rFont val="Montserrat"/>
        <color rgb="FF1155CC"/>
        <sz val="11.0"/>
        <u/>
      </rPr>
      <t>Genoa</t>
    </r>
  </si>
  <si>
    <t>Washington</t>
  </si>
  <si>
    <t>25517-8100</t>
  </si>
  <si>
    <r>
      <rPr>
        <rFont val="Montserrat"/>
        <color rgb="FF1155CC"/>
        <sz val="11.0"/>
        <u/>
      </rPr>
      <t>Gerrardstown</t>
    </r>
  </si>
  <si>
    <r>
      <rPr>
        <rFont val="Montserrat"/>
        <color rgb="FF1155CC"/>
        <sz val="11.0"/>
        <u/>
      </rPr>
      <t>Ghent</t>
    </r>
  </si>
  <si>
    <r>
      <rPr>
        <rFont val="Montserrat"/>
        <color rgb="FF1155CC"/>
        <sz val="11.0"/>
        <u/>
      </rPr>
      <t>Gilbert</t>
    </r>
  </si>
  <si>
    <t>25621-1082</t>
  </si>
  <si>
    <r>
      <rPr>
        <rFont val="Montserrat"/>
        <color rgb="FF1155CC"/>
        <sz val="11.0"/>
        <u/>
      </rPr>
      <t>Glasgow</t>
    </r>
  </si>
  <si>
    <r>
      <rPr>
        <rFont val="Montserrat"/>
        <color rgb="FF1155CC"/>
        <sz val="11.0"/>
        <u/>
      </rPr>
      <t>Glen Daniel</t>
    </r>
  </si>
  <si>
    <t>25844-0009</t>
  </si>
  <si>
    <r>
      <rPr>
        <rFont val="Montserrat"/>
        <color rgb="FF1155CC"/>
        <sz val="11.0"/>
        <u/>
      </rPr>
      <t>Glen Jean</t>
    </r>
  </si>
  <si>
    <r>
      <rPr>
        <rFont val="Montserrat"/>
        <color rgb="FF1155CC"/>
        <sz val="11.0"/>
        <u/>
      </rPr>
      <t>Glenville</t>
    </r>
  </si>
  <si>
    <t>Slaty Fork</t>
  </si>
  <si>
    <r>
      <rPr>
        <rFont val="Montserrat"/>
        <color rgb="FF1155CC"/>
        <sz val="11.0"/>
        <u/>
      </rPr>
      <t>Grafton</t>
    </r>
  </si>
  <si>
    <t>4000 Buffalo Rd</t>
  </si>
  <si>
    <r>
      <rPr>
        <rFont val="Montserrat"/>
        <color rgb="FF1155CC"/>
        <sz val="11.0"/>
        <u/>
      </rPr>
      <t>Buffalo</t>
    </r>
  </si>
  <si>
    <t>26354-1558</t>
  </si>
  <si>
    <r>
      <rPr>
        <rFont val="Montserrat"/>
        <color rgb="FF1155CC"/>
        <sz val="11.0"/>
        <u/>
      </rPr>
      <t>Grafton</t>
    </r>
  </si>
  <si>
    <t>Flemington</t>
  </si>
  <si>
    <r>
      <rPr>
        <rFont val="Montserrat"/>
        <color rgb="FF1155CC"/>
        <sz val="11.0"/>
        <u/>
      </rPr>
      <t>Green Bank</t>
    </r>
  </si>
  <si>
    <t>24944-9333</t>
  </si>
  <si>
    <r>
      <rPr>
        <rFont val="Montserrat"/>
        <color rgb="FF1155CC"/>
        <sz val="11.0"/>
        <u/>
      </rPr>
      <t>Hamlin</t>
    </r>
  </si>
  <si>
    <t>11881 Winchester Ave</t>
  </si>
  <si>
    <r>
      <rPr>
        <rFont val="Montserrat"/>
        <color rgb="FF1155CC"/>
        <sz val="11.0"/>
        <u/>
      </rPr>
      <t>Bunker Hill</t>
    </r>
  </si>
  <si>
    <t>25523-0604</t>
  </si>
  <si>
    <r>
      <rPr>
        <rFont val="Montserrat"/>
        <color rgb="FF1155CC"/>
        <sz val="11.0"/>
        <u/>
      </rPr>
      <t>Hamlin</t>
    </r>
  </si>
  <si>
    <r>
      <rPr>
        <rFont val="Montserrat"/>
        <color rgb="FF1155CC"/>
        <sz val="11.0"/>
        <u/>
      </rPr>
      <t>Harman</t>
    </r>
  </si>
  <si>
    <t>CHARLES TOWN SAVE A LOT (V1910)</t>
  </si>
  <si>
    <r>
      <rPr>
        <rFont val="Montserrat"/>
        <color rgb="FF1155CC"/>
        <sz val="11.0"/>
        <u/>
      </rPr>
      <t>Harpers Ferry</t>
    </r>
  </si>
  <si>
    <t>2172 Northwestern Turnpike</t>
  </si>
  <si>
    <r>
      <rPr>
        <rFont val="Montserrat"/>
        <color rgb="FF1155CC"/>
        <sz val="11.0"/>
        <u/>
      </rPr>
      <t>Burlington</t>
    </r>
  </si>
  <si>
    <r>
      <rPr>
        <rFont val="Montserrat"/>
        <color rgb="FF1155CC"/>
        <sz val="11.0"/>
        <u/>
      </rPr>
      <t>Harrisville</t>
    </r>
  </si>
  <si>
    <t>26362-9200</t>
  </si>
  <si>
    <r>
      <rPr>
        <rFont val="Montserrat"/>
        <color rgb="FF1155CC"/>
        <sz val="11.0"/>
        <u/>
      </rPr>
      <t>Harts</t>
    </r>
  </si>
  <si>
    <t>284 5th St</t>
  </si>
  <si>
    <r>
      <rPr>
        <rFont val="Montserrat"/>
        <color rgb="FF1155CC"/>
        <sz val="11.0"/>
        <u/>
      </rPr>
      <t>Burnsville</t>
    </r>
  </si>
  <si>
    <t>25524-7011</t>
  </si>
  <si>
    <r>
      <rPr>
        <rFont val="Montserrat"/>
        <color rgb="FF1155CC"/>
        <sz val="11.0"/>
        <u/>
      </rPr>
      <t>Hedgesville</t>
    </r>
  </si>
  <si>
    <t>25427-6116</t>
  </si>
  <si>
    <t>THE GLENVILLE FOODLAND (V1108)</t>
  </si>
  <si>
    <r>
      <rPr>
        <rFont val="Montserrat"/>
        <color rgb="FF1155CC"/>
        <sz val="11.0"/>
        <u/>
      </rPr>
      <t>Hedgesville</t>
    </r>
  </si>
  <si>
    <t>25427-6704</t>
  </si>
  <si>
    <r>
      <rPr>
        <rFont val="Montserrat"/>
        <color rgb="FF1155CC"/>
        <sz val="11.0"/>
        <u/>
      </rPr>
      <t>Hedgesville</t>
    </r>
  </si>
  <si>
    <r>
      <rPr>
        <rFont val="Montserrat"/>
        <color rgb="FF1155CC"/>
        <sz val="11.0"/>
        <u/>
      </rPr>
      <t>Hillsboro</t>
    </r>
  </si>
  <si>
    <t>3096 Hornet Hwy</t>
  </si>
  <si>
    <r>
      <rPr>
        <rFont val="Montserrat"/>
        <color rgb="FF1155CC"/>
        <sz val="11.0"/>
        <u/>
      </rPr>
      <t>Burton</t>
    </r>
  </si>
  <si>
    <t>BELLVIEW PRICE CUTTER (V2527)</t>
  </si>
  <si>
    <r>
      <rPr>
        <rFont val="Montserrat"/>
        <color rgb="FF1155CC"/>
        <sz val="11.0"/>
        <u/>
      </rPr>
      <t>Hinton</t>
    </r>
  </si>
  <si>
    <t>25951-2533</t>
  </si>
  <si>
    <t>38250 Midland Trl E Hc 30 Box</t>
  </si>
  <si>
    <r>
      <rPr>
        <rFont val="Montserrat"/>
        <color rgb="FF1155CC"/>
        <sz val="11.0"/>
        <u/>
      </rPr>
      <t>Caldwell</t>
    </r>
  </si>
  <si>
    <r>
      <rPr>
        <rFont val="Montserrat"/>
        <color rgb="FF1155CC"/>
        <sz val="11.0"/>
        <u/>
      </rPr>
      <t>Hinton</t>
    </r>
  </si>
  <si>
    <r>
      <rPr>
        <rFont val="Montserrat"/>
        <color rgb="FF1155CC"/>
        <sz val="11.0"/>
        <u/>
      </rPr>
      <t>Huntington</t>
    </r>
  </si>
  <si>
    <r>
      <rPr>
        <rFont val="Montserrat"/>
        <color rgb="FF1155CC"/>
        <sz val="11.0"/>
        <u/>
      </rPr>
      <t>Huntington</t>
    </r>
  </si>
  <si>
    <t>25705-1308</t>
  </si>
  <si>
    <r>
      <rPr>
        <rFont val="Montserrat"/>
        <color rgb="FF1155CC"/>
        <sz val="11.0"/>
        <u/>
      </rPr>
      <t>Huntington</t>
    </r>
  </si>
  <si>
    <t>4 Rail Road St</t>
  </si>
  <si>
    <t>25702-1329</t>
  </si>
  <si>
    <r>
      <rPr>
        <rFont val="Montserrat"/>
        <color rgb="FF1155CC"/>
        <sz val="11.0"/>
        <u/>
      </rPr>
      <t>Cameron</t>
    </r>
  </si>
  <si>
    <r>
      <rPr>
        <rFont val="Montserrat"/>
        <color rgb="FF1155CC"/>
        <sz val="11.0"/>
        <u/>
      </rPr>
      <t>Huntington</t>
    </r>
  </si>
  <si>
    <t>25705-2942</t>
  </si>
  <si>
    <r>
      <rPr>
        <rFont val="Montserrat"/>
        <color rgb="FF1155CC"/>
        <sz val="11.0"/>
        <u/>
      </rPr>
      <t>Huntington</t>
    </r>
  </si>
  <si>
    <r>
      <rPr>
        <rFont val="Montserrat"/>
        <color rgb="FF1155CC"/>
        <sz val="11.0"/>
        <u/>
      </rPr>
      <t>Huntington</t>
    </r>
  </si>
  <si>
    <t>KROGER COMPANY 977 (V2601)</t>
  </si>
  <si>
    <t>25704-2309</t>
  </si>
  <si>
    <r>
      <rPr>
        <rFont val="Montserrat"/>
        <color rgb="FF1155CC"/>
        <sz val="11.0"/>
        <u/>
      </rPr>
      <t>Huntington</t>
    </r>
  </si>
  <si>
    <t>25704-9800</t>
  </si>
  <si>
    <t>Springfield</t>
  </si>
  <si>
    <r>
      <rPr>
        <rFont val="Montserrat"/>
        <color rgb="FF1155CC"/>
        <sz val="11.0"/>
        <u/>
      </rPr>
      <t>Hurricane</t>
    </r>
  </si>
  <si>
    <t>3700 Northwestern Pike</t>
  </si>
  <si>
    <r>
      <rPr>
        <rFont val="Montserrat"/>
        <color rgb="FF1155CC"/>
        <sz val="11.0"/>
        <u/>
      </rPr>
      <t>Capon Bridge</t>
    </r>
  </si>
  <si>
    <t>Terra Alta</t>
  </si>
  <si>
    <r>
      <rPr>
        <rFont val="Montserrat"/>
        <color rgb="FF1155CC"/>
        <sz val="11.0"/>
        <u/>
      </rPr>
      <t>Hurricane</t>
    </r>
  </si>
  <si>
    <t>25526-9169</t>
  </si>
  <si>
    <r>
      <rPr>
        <rFont val="Montserrat"/>
        <color rgb="FF1155CC"/>
        <sz val="11.0"/>
        <u/>
      </rPr>
      <t>Hurricane</t>
    </r>
  </si>
  <si>
    <r>
      <rPr>
        <rFont val="Montserrat"/>
        <color rgb="FF1155CC"/>
        <sz val="11.0"/>
        <u/>
      </rPr>
      <t>Iaeger</t>
    </r>
  </si>
  <si>
    <t>920 Mason Dixon Hwy</t>
  </si>
  <si>
    <r>
      <rPr>
        <rFont val="Montserrat"/>
        <color rgb="FF1155CC"/>
        <sz val="11.0"/>
        <u/>
      </rPr>
      <t>Cassville</t>
    </r>
  </si>
  <si>
    <t>24844-0058</t>
  </si>
  <si>
    <r>
      <rPr>
        <rFont val="Montserrat"/>
        <color rgb="FF1155CC"/>
        <sz val="11.0"/>
        <u/>
      </rPr>
      <t>Inwood</t>
    </r>
  </si>
  <si>
    <t>25428-3948</t>
  </si>
  <si>
    <r>
      <rPr>
        <rFont val="Montserrat"/>
        <color rgb="FF1155CC"/>
        <sz val="11.0"/>
        <u/>
      </rPr>
      <t>Jane Lew</t>
    </r>
  </si>
  <si>
    <t>26378-8550</t>
  </si>
  <si>
    <r>
      <rPr>
        <rFont val="Montserrat"/>
        <color rgb="FF1155CC"/>
        <sz val="11.0"/>
        <u/>
      </rPr>
      <t>Kearneysville</t>
    </r>
  </si>
  <si>
    <t>872 Main St</t>
  </si>
  <si>
    <r>
      <rPr>
        <rFont val="Montserrat"/>
        <color rgb="FF1155CC"/>
        <sz val="11.0"/>
        <u/>
      </rPr>
      <t>Chapmanville</t>
    </r>
  </si>
  <si>
    <t>Louisa</t>
  </si>
  <si>
    <t>Warfield</t>
  </si>
  <si>
    <r>
      <rPr>
        <rFont val="Montserrat"/>
        <color rgb="FF1155CC"/>
        <sz val="11.0"/>
        <u/>
      </rPr>
      <t>Kearneysville</t>
    </r>
  </si>
  <si>
    <t>25430-2655</t>
  </si>
  <si>
    <t>HAMLIN FOODFAIR (V2204)</t>
  </si>
  <si>
    <t>South Williamson</t>
  </si>
  <si>
    <r>
      <rPr>
        <rFont val="Montserrat"/>
        <color rgb="FF1155CC"/>
        <sz val="11.0"/>
        <u/>
      </rPr>
      <t>Kenova</t>
    </r>
  </si>
  <si>
    <t>McCarr</t>
  </si>
  <si>
    <t>25530-1305</t>
  </si>
  <si>
    <t>62 Somerset Blvd</t>
  </si>
  <si>
    <r>
      <rPr>
        <rFont val="Montserrat"/>
        <color rgb="FF1155CC"/>
        <sz val="11.0"/>
        <u/>
      </rPr>
      <t>Charles Town</t>
    </r>
  </si>
  <si>
    <r>
      <rPr>
        <rFont val="Montserrat"/>
        <color rgb="FF1155CC"/>
        <sz val="11.0"/>
        <u/>
      </rPr>
      <t>Kermit</t>
    </r>
  </si>
  <si>
    <t>Saint Clairsville</t>
  </si>
  <si>
    <t>25670-0726</t>
  </si>
  <si>
    <t>FOOD LION 0663 (V1901)</t>
  </si>
  <si>
    <t>Proctorville</t>
  </si>
  <si>
    <r>
      <rPr>
        <rFont val="Montserrat"/>
        <color rgb="FF1155CC"/>
        <sz val="11.0"/>
        <u/>
      </rPr>
      <t>Keyser</t>
    </r>
  </si>
  <si>
    <t>26726-9537</t>
  </si>
  <si>
    <r>
      <rPr>
        <rFont val="Montserrat"/>
        <color rgb="FF1155CC"/>
        <sz val="11.0"/>
        <u/>
      </rPr>
      <t>Keyser</t>
    </r>
  </si>
  <si>
    <t>20 Rosewood Drive</t>
  </si>
  <si>
    <t>26726-8474</t>
  </si>
  <si>
    <r>
      <rPr>
        <rFont val="Montserrat"/>
        <color rgb="FF1155CC"/>
        <sz val="11.0"/>
        <u/>
      </rPr>
      <t>Charles Town</t>
    </r>
  </si>
  <si>
    <r>
      <rPr>
        <rFont val="Montserrat"/>
        <color rgb="FF1155CC"/>
        <sz val="11.0"/>
        <u/>
      </rPr>
      <t>Kingwood</t>
    </r>
  </si>
  <si>
    <t>504 Campbells Creek Dr</t>
  </si>
  <si>
    <r>
      <rPr>
        <rFont val="Montserrat"/>
        <color rgb="FF1155CC"/>
        <sz val="11.0"/>
        <u/>
      </rPr>
      <t>Charleston</t>
    </r>
  </si>
  <si>
    <t>26537-1216</t>
  </si>
  <si>
    <r>
      <rPr>
        <rFont val="Montserrat"/>
        <color rgb="FF1155CC"/>
        <sz val="11.0"/>
        <u/>
      </rPr>
      <t>Lavalette</t>
    </r>
  </si>
  <si>
    <t>FAS CHEK 3 (V2006)</t>
  </si>
  <si>
    <t>25535-9638</t>
  </si>
  <si>
    <r>
      <rPr>
        <rFont val="Montserrat"/>
        <color rgb="FF1155CC"/>
        <sz val="11.0"/>
        <u/>
      </rPr>
      <t>Leon</t>
    </r>
  </si>
  <si>
    <t>1555 Washington St E</t>
  </si>
  <si>
    <r>
      <rPr>
        <rFont val="Montserrat"/>
        <color rgb="FF1155CC"/>
        <sz val="11.0"/>
        <u/>
      </rPr>
      <t>Charleston</t>
    </r>
  </si>
  <si>
    <r>
      <rPr>
        <rFont val="Montserrat"/>
        <color rgb="FF1155CC"/>
        <sz val="11.0"/>
        <u/>
      </rPr>
      <t>Lerona</t>
    </r>
  </si>
  <si>
    <t>BIGLEY PIGGLY WIGGLY (V2014)</t>
  </si>
  <si>
    <r>
      <rPr>
        <rFont val="Montserrat"/>
        <color rgb="FF1155CC"/>
        <sz val="11.0"/>
        <u/>
      </rPr>
      <t>Lesage</t>
    </r>
  </si>
  <si>
    <t>5453 Big Tyler Rd</t>
  </si>
  <si>
    <r>
      <rPr>
        <rFont val="Montserrat"/>
        <color rgb="FF1155CC"/>
        <sz val="11.0"/>
        <u/>
      </rPr>
      <t>Charleston</t>
    </r>
  </si>
  <si>
    <t>KROGER COMPANY 763 (V2018)</t>
  </si>
  <si>
    <t>25537-9783</t>
  </si>
  <si>
    <r>
      <rPr>
        <rFont val="Montserrat"/>
        <color rgb="FF1155CC"/>
        <sz val="11.0"/>
        <u/>
      </rPr>
      <t>Lester</t>
    </r>
  </si>
  <si>
    <t>2615 Pennsylvania Ave</t>
  </si>
  <si>
    <r>
      <rPr>
        <rFont val="Montserrat"/>
        <color rgb="FF1155CC"/>
        <sz val="11.0"/>
        <u/>
      </rPr>
      <t>Charleston</t>
    </r>
  </si>
  <si>
    <r>
      <rPr>
        <rFont val="Montserrat"/>
        <color rgb="FF1155CC"/>
        <sz val="11.0"/>
        <u/>
      </rPr>
      <t>Lewisburg</t>
    </r>
  </si>
  <si>
    <r>
      <rPr>
        <rFont val="Montserrat"/>
        <color rgb="FF1155CC"/>
        <sz val="11.0"/>
        <u/>
      </rPr>
      <t>Lindside</t>
    </r>
  </si>
  <si>
    <t>4817 Midland Dr</t>
  </si>
  <si>
    <r>
      <rPr>
        <rFont val="Montserrat"/>
        <color rgb="FF1155CC"/>
        <sz val="11.0"/>
        <u/>
      </rPr>
      <t>Charleston</t>
    </r>
  </si>
  <si>
    <r>
      <rPr>
        <rFont val="Montserrat"/>
        <color rgb="FF1155CC"/>
        <sz val="11.0"/>
        <u/>
      </rPr>
      <t>Logan</t>
    </r>
  </si>
  <si>
    <t>KROGER COMPANY 772 (V2034)</t>
  </si>
  <si>
    <t>25601-3610</t>
  </si>
  <si>
    <r>
      <rPr>
        <rFont val="Montserrat"/>
        <color rgb="FF1155CC"/>
        <sz val="11.0"/>
        <u/>
      </rPr>
      <t>Lookout</t>
    </r>
  </si>
  <si>
    <t>724 Virginia St W</t>
  </si>
  <si>
    <r>
      <rPr>
        <rFont val="Montserrat"/>
        <color rgb="FF1155CC"/>
        <sz val="11.0"/>
        <u/>
      </rPr>
      <t>Charleston</t>
    </r>
  </si>
  <si>
    <t>KROGER COMPANY 778 (V2032)</t>
  </si>
  <si>
    <r>
      <rPr>
        <rFont val="Montserrat"/>
        <color rgb="FF1155CC"/>
        <sz val="11.0"/>
        <u/>
      </rPr>
      <t>Lost Creek</t>
    </r>
  </si>
  <si>
    <r>
      <rPr>
        <rFont val="Montserrat"/>
        <color rgb="FF1155CC"/>
        <sz val="11.0"/>
        <u/>
      </rPr>
      <t>Madison</t>
    </r>
  </si>
  <si>
    <t>2384 Sissonville Rd</t>
  </si>
  <si>
    <r>
      <rPr>
        <rFont val="Montserrat"/>
        <color rgb="FF1155CC"/>
        <sz val="11.0"/>
        <u/>
      </rPr>
      <t>Charleston</t>
    </r>
  </si>
  <si>
    <t>25310-1223</t>
  </si>
  <si>
    <r>
      <rPr>
        <rFont val="Montserrat"/>
        <color rgb="FF1155CC"/>
        <sz val="11.0"/>
        <u/>
      </rPr>
      <t>Man</t>
    </r>
  </si>
  <si>
    <t>25635-0352</t>
  </si>
  <si>
    <t>1719 Washington St W</t>
  </si>
  <si>
    <r>
      <rPr>
        <rFont val="Montserrat"/>
        <color rgb="FF1155CC"/>
        <sz val="11.0"/>
        <u/>
      </rPr>
      <t>Charleston</t>
    </r>
  </si>
  <si>
    <r>
      <rPr>
        <rFont val="Montserrat"/>
        <color rgb="FF1155CC"/>
        <sz val="11.0"/>
        <u/>
      </rPr>
      <t>Mannington</t>
    </r>
  </si>
  <si>
    <t>26582-9054</t>
  </si>
  <si>
    <r>
      <rPr>
        <rFont val="Montserrat"/>
        <color rgb="FF1155CC"/>
        <sz val="11.0"/>
        <u/>
      </rPr>
      <t>Marlinton</t>
    </r>
  </si>
  <si>
    <t>6283 Sissonville Dr</t>
  </si>
  <si>
    <r>
      <rPr>
        <rFont val="Montserrat"/>
        <color rgb="FF1155CC"/>
        <sz val="11.0"/>
        <u/>
      </rPr>
      <t>Charleston</t>
    </r>
  </si>
  <si>
    <t>SISSONVILLE PIGGLY WIGGLY (V2025)</t>
  </si>
  <si>
    <r>
      <rPr>
        <rFont val="Montserrat"/>
        <color rgb="FF1155CC"/>
        <sz val="11.0"/>
        <u/>
      </rPr>
      <t>Marmet</t>
    </r>
  </si>
  <si>
    <t>25315-2026</t>
  </si>
  <si>
    <t>15055 Macorkle Ave</t>
  </si>
  <si>
    <r>
      <rPr>
        <rFont val="Montserrat"/>
        <color rgb="FF1155CC"/>
        <sz val="11.0"/>
        <u/>
      </rPr>
      <t>Chelyan</t>
    </r>
  </si>
  <si>
    <r>
      <rPr>
        <rFont val="Montserrat"/>
        <color rgb="FF1155CC"/>
        <sz val="11.0"/>
        <u/>
      </rPr>
      <t>Martinsburg</t>
    </r>
  </si>
  <si>
    <t>25404-4089</t>
  </si>
  <si>
    <r>
      <rPr>
        <rFont val="Montserrat"/>
        <color rgb="FF1155CC"/>
        <sz val="11.0"/>
        <u/>
      </rPr>
      <t>Martinsburg</t>
    </r>
  </si>
  <si>
    <t>25404-3368</t>
  </si>
  <si>
    <r>
      <rPr>
        <rFont val="Montserrat"/>
        <color rgb="FF1155CC"/>
        <sz val="11.0"/>
        <u/>
      </rPr>
      <t>Martinsburg</t>
    </r>
  </si>
  <si>
    <r>
      <rPr>
        <rFont val="Montserrat"/>
        <color rgb="FF1155CC"/>
        <sz val="11.0"/>
        <u/>
      </rPr>
      <t>Martinsburg</t>
    </r>
  </si>
  <si>
    <t>12604 Maccorkle Ave</t>
  </si>
  <si>
    <r>
      <rPr>
        <rFont val="Montserrat"/>
        <color rgb="FF1155CC"/>
        <sz val="11.0"/>
        <u/>
      </rPr>
      <t>Chesapeake</t>
    </r>
  </si>
  <si>
    <r>
      <rPr>
        <rFont val="Montserrat"/>
        <color rgb="FF1155CC"/>
        <sz val="11.0"/>
        <u/>
      </rPr>
      <t>Mason</t>
    </r>
  </si>
  <si>
    <t>2514-</t>
  </si>
  <si>
    <t>25260-4004</t>
  </si>
  <si>
    <r>
      <rPr>
        <rFont val="Montserrat"/>
        <color rgb="FF1155CC"/>
        <sz val="11.0"/>
        <u/>
      </rPr>
      <t>Matewan</t>
    </r>
  </si>
  <si>
    <t>25678-0134</t>
  </si>
  <si>
    <t>1963 Lincoln Hwy</t>
  </si>
  <si>
    <r>
      <rPr>
        <rFont val="Montserrat"/>
        <color rgb="FF1155CC"/>
        <sz val="11.0"/>
        <u/>
      </rPr>
      <t>Chester</t>
    </r>
  </si>
  <si>
    <r>
      <rPr>
        <rFont val="Montserrat"/>
        <color rgb="FF1155CC"/>
        <sz val="11.0"/>
        <u/>
      </rPr>
      <t>Mcmechen</t>
    </r>
  </si>
  <si>
    <t>26040-1503</t>
  </si>
  <si>
    <t>CHESTER SPARKLE (V1518)</t>
  </si>
  <si>
    <r>
      <rPr>
        <rFont val="Montserrat"/>
        <color rgb="FF1155CC"/>
        <sz val="11.0"/>
        <u/>
      </rPr>
      <t>Meadow Bridge</t>
    </r>
  </si>
  <si>
    <r>
      <rPr>
        <rFont val="Montserrat"/>
        <color rgb="FF1155CC"/>
        <sz val="11.0"/>
        <u/>
      </rPr>
      <t>Miami</t>
    </r>
  </si>
  <si>
    <t>1695 Phillipe Pike</t>
  </si>
  <si>
    <r>
      <rPr>
        <rFont val="Montserrat"/>
        <color rgb="FF1155CC"/>
        <sz val="11.0"/>
        <u/>
      </rPr>
      <t>Clarksburg</t>
    </r>
  </si>
  <si>
    <r>
      <rPr>
        <rFont val="Montserrat"/>
        <color rgb="FF1155CC"/>
        <sz val="11.0"/>
        <u/>
      </rPr>
      <t>Middlebourne</t>
    </r>
  </si>
  <si>
    <t>26149-0315</t>
  </si>
  <si>
    <t>1201a South Chestnut St</t>
  </si>
  <si>
    <r>
      <rPr>
        <rFont val="Montserrat"/>
        <color rgb="FF1155CC"/>
        <sz val="11.0"/>
        <u/>
      </rPr>
      <t>Clarksburg</t>
    </r>
  </si>
  <si>
    <r>
      <rPr>
        <rFont val="Montserrat"/>
        <color rgb="FF1155CC"/>
        <sz val="11.0"/>
        <u/>
      </rPr>
      <t>Mill Creek</t>
    </r>
  </si>
  <si>
    <t>FOOD LION 1150 (V1709)</t>
  </si>
  <si>
    <t>20 Good Hope Pike</t>
  </si>
  <si>
    <r>
      <rPr>
        <rFont val="Montserrat"/>
        <color rgb="FF1155CC"/>
        <sz val="11.0"/>
        <u/>
      </rPr>
      <t>Clarksburg</t>
    </r>
  </si>
  <si>
    <r>
      <rPr>
        <rFont val="Montserrat"/>
        <color rgb="FF1155CC"/>
        <sz val="11.0"/>
        <u/>
      </rPr>
      <t>Millwood</t>
    </r>
  </si>
  <si>
    <t>25262-8635</t>
  </si>
  <si>
    <t>114 Milford St</t>
  </si>
  <si>
    <r>
      <rPr>
        <rFont val="Montserrat"/>
        <color rgb="FF1155CC"/>
        <sz val="11.0"/>
        <u/>
      </rPr>
      <t>Clarksburg</t>
    </r>
  </si>
  <si>
    <r>
      <rPr>
        <rFont val="Montserrat"/>
        <color rgb="FF1155CC"/>
        <sz val="11.0"/>
        <u/>
      </rPr>
      <t>Milton</t>
    </r>
  </si>
  <si>
    <t>CLARKSBURG PRICECUTTER (V1723)</t>
  </si>
  <si>
    <t>25541-1220</t>
  </si>
  <si>
    <r>
      <rPr>
        <rFont val="Montserrat"/>
        <color rgb="FF1155CC"/>
        <sz val="11.0"/>
        <u/>
      </rPr>
      <t>Mineral Wells</t>
    </r>
  </si>
  <si>
    <t>26150-8413</t>
  </si>
  <si>
    <t>647 Wilsonburg Rd</t>
  </si>
  <si>
    <r>
      <rPr>
        <rFont val="Montserrat"/>
        <color rgb="FF1155CC"/>
        <sz val="11.0"/>
        <u/>
      </rPr>
      <t>Clarksburg</t>
    </r>
  </si>
  <si>
    <r>
      <rPr>
        <rFont val="Montserrat"/>
        <color rgb="FF1155CC"/>
        <sz val="11.0"/>
        <u/>
      </rPr>
      <t>Montgomery</t>
    </r>
  </si>
  <si>
    <t>25136-2343</t>
  </si>
  <si>
    <r>
      <rPr>
        <rFont val="Montserrat"/>
        <color rgb="FF1155CC"/>
        <sz val="11.0"/>
        <u/>
      </rPr>
      <t>Moorefield</t>
    </r>
  </si>
  <si>
    <t>9 Melrose St</t>
  </si>
  <si>
    <r>
      <rPr>
        <rFont val="Montserrat"/>
        <color rgb="FF1155CC"/>
        <sz val="11.0"/>
        <u/>
      </rPr>
      <t>Clarksburg</t>
    </r>
  </si>
  <si>
    <t>26836-1020</t>
  </si>
  <si>
    <r>
      <rPr>
        <rFont val="Montserrat"/>
        <color rgb="FF1155CC"/>
        <sz val="11.0"/>
        <u/>
      </rPr>
      <t>Morgantown</t>
    </r>
  </si>
  <si>
    <t>2519-</t>
  </si>
  <si>
    <t>117 Main St</t>
  </si>
  <si>
    <r>
      <rPr>
        <rFont val="Montserrat"/>
        <color rgb="FF1155CC"/>
        <sz val="11.0"/>
        <u/>
      </rPr>
      <t>Clay</t>
    </r>
  </si>
  <si>
    <r>
      <rPr>
        <rFont val="Montserrat"/>
        <color rgb="FF1155CC"/>
        <sz val="11.0"/>
        <u/>
      </rPr>
      <t>Morgantown</t>
    </r>
  </si>
  <si>
    <t>26508-9593</t>
  </si>
  <si>
    <r>
      <rPr>
        <rFont val="Montserrat"/>
        <color rgb="FF1155CC"/>
        <sz val="11.0"/>
        <u/>
      </rPr>
      <t>Morgantown</t>
    </r>
  </si>
  <si>
    <t>26505-5893</t>
  </si>
  <si>
    <r>
      <rPr>
        <rFont val="Montserrat"/>
        <color rgb="FF1155CC"/>
        <sz val="11.0"/>
        <u/>
      </rPr>
      <t>Morgantown</t>
    </r>
  </si>
  <si>
    <t>26508-3537</t>
  </si>
  <si>
    <t>DREES QUICK MART (V0824)</t>
  </si>
  <si>
    <r>
      <rPr>
        <rFont val="Montserrat"/>
        <color rgb="FF1155CC"/>
        <sz val="11.0"/>
        <u/>
      </rPr>
      <t>Morgantown</t>
    </r>
  </si>
  <si>
    <t>26505-5423</t>
  </si>
  <si>
    <r>
      <rPr>
        <rFont val="Montserrat"/>
        <color rgb="FF1155CC"/>
        <sz val="11.0"/>
        <u/>
      </rPr>
      <t>Moundsville</t>
    </r>
  </si>
  <si>
    <t>106 Maywood Ave W</t>
  </si>
  <si>
    <r>
      <rPr>
        <rFont val="Montserrat"/>
        <color rgb="FF1155CC"/>
        <sz val="11.0"/>
        <u/>
      </rPr>
      <t>Clendenin</t>
    </r>
  </si>
  <si>
    <t>26041-1301</t>
  </si>
  <si>
    <r>
      <rPr>
        <rFont val="Montserrat"/>
        <color rgb="FF1155CC"/>
        <sz val="11.0"/>
        <u/>
      </rPr>
      <t>Mount Clare</t>
    </r>
  </si>
  <si>
    <t>BIG CHIMNEY MARKET (V2083)</t>
  </si>
  <si>
    <t>26408-7176</t>
  </si>
  <si>
    <r>
      <rPr>
        <rFont val="Montserrat"/>
        <color rgb="FF1155CC"/>
        <sz val="11.0"/>
        <u/>
      </rPr>
      <t>Mount Hope</t>
    </r>
  </si>
  <si>
    <t>2075 Coal City Rd</t>
  </si>
  <si>
    <r>
      <rPr>
        <rFont val="Montserrat"/>
        <color rgb="FF1155CC"/>
        <sz val="11.0"/>
        <u/>
      </rPr>
      <t>Coal City</t>
    </r>
  </si>
  <si>
    <r>
      <rPr>
        <rFont val="Montserrat"/>
        <color rgb="FF1155CC"/>
        <sz val="11.0"/>
        <u/>
      </rPr>
      <t>Mount Lookout</t>
    </r>
  </si>
  <si>
    <t>25880-9415</t>
  </si>
  <si>
    <r>
      <rPr>
        <rFont val="Montserrat"/>
        <color rgb="FF1155CC"/>
        <sz val="11.0"/>
        <u/>
      </rPr>
      <t>Mount Nebo</t>
    </r>
  </si>
  <si>
    <t>26679-8309</t>
  </si>
  <si>
    <t>1697 Flat Top Rd</t>
  </si>
  <si>
    <r>
      <rPr>
        <rFont val="Montserrat"/>
        <color rgb="FF1155CC"/>
        <sz val="11.0"/>
        <u/>
      </rPr>
      <t>Cool Ridge</t>
    </r>
  </si>
  <si>
    <r>
      <rPr>
        <rFont val="Montserrat"/>
        <color rgb="FF1155CC"/>
        <sz val="11.0"/>
        <u/>
      </rPr>
      <t>Mount Storm</t>
    </r>
  </si>
  <si>
    <r>
      <rPr>
        <rFont val="Montserrat"/>
        <color rgb="FF1155CC"/>
        <sz val="11.0"/>
        <u/>
      </rPr>
      <t>Mullens</t>
    </r>
  </si>
  <si>
    <t>CORNERSTONE IGA 2 (V4137)</t>
  </si>
  <si>
    <t>7145 Webster Rd.</t>
  </si>
  <si>
    <r>
      <rPr>
        <rFont val="Montserrat"/>
        <color rgb="FF1155CC"/>
        <sz val="11.0"/>
        <u/>
      </rPr>
      <t>Cowen</t>
    </r>
  </si>
  <si>
    <t>COWEN IGA LLC (V5111)</t>
  </si>
  <si>
    <t>15432 Webster Rd</t>
  </si>
  <si>
    <r>
      <rPr>
        <rFont val="Montserrat"/>
        <color rgb="FF1155CC"/>
        <sz val="11.0"/>
        <u/>
      </rPr>
      <t>Craigsville</t>
    </r>
  </si>
  <si>
    <t>18950 Webster Rd</t>
  </si>
  <si>
    <r>
      <rPr>
        <rFont val="Montserrat"/>
        <color rgb="FF1155CC"/>
        <sz val="11.0"/>
        <u/>
      </rPr>
      <t>Craigsville</t>
    </r>
  </si>
  <si>
    <t xml:space="preserve">1890 Rt 60 </t>
  </si>
  <si>
    <r>
      <rPr>
        <rFont val="Montserrat"/>
        <color rgb="FF1155CC"/>
        <sz val="11.0"/>
        <u/>
      </rPr>
      <t>Culloden</t>
    </r>
  </si>
  <si>
    <t>25882-1420</t>
  </si>
  <si>
    <r>
      <rPr>
        <rFont val="Montserrat"/>
        <color rgb="FF1155CC"/>
        <sz val="11.0"/>
        <u/>
      </rPr>
      <t>Nettie</t>
    </r>
  </si>
  <si>
    <r>
      <rPr>
        <rFont val="Montserrat"/>
        <color rgb="FF1155CC"/>
        <sz val="11.0"/>
        <u/>
      </rPr>
      <t>New Cumberland</t>
    </r>
  </si>
  <si>
    <t>26047-9519</t>
  </si>
  <si>
    <r>
      <rPr>
        <rFont val="Montserrat"/>
        <color rgb="FF1155CC"/>
        <sz val="11.0"/>
        <u/>
      </rPr>
      <t>New Haven</t>
    </r>
  </si>
  <si>
    <t>17532 Stanaford Rd</t>
  </si>
  <si>
    <r>
      <rPr>
        <rFont val="Montserrat"/>
        <color rgb="FF1155CC"/>
        <sz val="11.0"/>
        <u/>
      </rPr>
      <t>Danese</t>
    </r>
  </si>
  <si>
    <t>25265-0299</t>
  </si>
  <si>
    <r>
      <rPr>
        <rFont val="Montserrat"/>
        <color rgb="FF1155CC"/>
        <sz val="11.0"/>
        <u/>
      </rPr>
      <t>New Manchester</t>
    </r>
  </si>
  <si>
    <r>
      <rPr>
        <rFont val="Montserrat"/>
        <color rgb="FF1155CC"/>
        <sz val="11.0"/>
        <u/>
      </rPr>
      <t>New Martinsville</t>
    </r>
  </si>
  <si>
    <t>26155-2203</t>
  </si>
  <si>
    <t>1470 Ritter Dr</t>
  </si>
  <si>
    <r>
      <rPr>
        <rFont val="Montserrat"/>
        <color rgb="FF1155CC"/>
        <sz val="11.0"/>
        <u/>
      </rPr>
      <t>Daniels</t>
    </r>
  </si>
  <si>
    <r>
      <rPr>
        <rFont val="Montserrat"/>
        <color rgb="FF1155CC"/>
        <sz val="11.0"/>
        <u/>
      </rPr>
      <t>Newell</t>
    </r>
  </si>
  <si>
    <t>26050-1438</t>
  </si>
  <si>
    <t>KROGER COMPANY 770 (V4108)</t>
  </si>
  <si>
    <r>
      <rPr>
        <rFont val="Montserrat"/>
        <color rgb="FF1155CC"/>
        <sz val="11.0"/>
        <u/>
      </rPr>
      <t>Nimitz</t>
    </r>
  </si>
  <si>
    <t>13682 Spruce River Rd</t>
  </si>
  <si>
    <r>
      <rPr>
        <rFont val="Montserrat"/>
        <color rgb="FF1155CC"/>
        <sz val="11.0"/>
        <u/>
      </rPr>
      <t>Danville</t>
    </r>
  </si>
  <si>
    <r>
      <rPr>
        <rFont val="Montserrat"/>
        <color rgb="FF1155CC"/>
        <sz val="11.0"/>
        <u/>
      </rPr>
      <t>Nitro</t>
    </r>
  </si>
  <si>
    <t>BOONE COUNTRY STORE (V0325)</t>
  </si>
  <si>
    <r>
      <rPr>
        <rFont val="Montserrat"/>
        <color rgb="FF1155CC"/>
        <sz val="11.0"/>
        <u/>
      </rPr>
      <t>Nitro</t>
    </r>
  </si>
  <si>
    <t>2514-1739</t>
  </si>
  <si>
    <r>
      <rPr>
        <rFont val="Montserrat"/>
        <color rgb="FF1155CC"/>
        <sz val="11.0"/>
        <u/>
      </rPr>
      <t>Oak Hill</t>
    </r>
  </si>
  <si>
    <t>25901-2953</t>
  </si>
  <si>
    <t>13668 Appalachian Hwy</t>
  </si>
  <si>
    <r>
      <rPr>
        <rFont val="Montserrat"/>
        <color rgb="FF1155CC"/>
        <sz val="11.0"/>
        <u/>
      </rPr>
      <t>Davis</t>
    </r>
  </si>
  <si>
    <r>
      <rPr>
        <rFont val="Montserrat"/>
        <color rgb="FF1155CC"/>
        <sz val="11.0"/>
        <u/>
      </rPr>
      <t>Oak Hill</t>
    </r>
  </si>
  <si>
    <t>25901-2361</t>
  </si>
  <si>
    <r>
      <rPr>
        <rFont val="Montserrat"/>
        <color rgb="FF1155CC"/>
        <sz val="11.0"/>
        <u/>
      </rPr>
      <t>Oceana</t>
    </r>
  </si>
  <si>
    <r>
      <rPr>
        <rFont val="Montserrat"/>
        <color rgb="FF1155CC"/>
        <sz val="11.0"/>
        <u/>
      </rPr>
      <t>Ona</t>
    </r>
  </si>
  <si>
    <t>Paden City</t>
  </si>
  <si>
    <t>743 WV-65</t>
  </si>
  <si>
    <r>
      <rPr>
        <rFont val="Montserrat"/>
        <color rgb="FF1155CC"/>
        <sz val="11.0"/>
        <u/>
      </rPr>
      <t>Delbarton</t>
    </r>
  </si>
  <si>
    <r>
      <rPr>
        <rFont val="Montserrat"/>
        <color rgb="FF1155CC"/>
        <sz val="11.0"/>
        <u/>
      </rPr>
      <t>Parkersburg</t>
    </r>
  </si>
  <si>
    <t>26101-5268</t>
  </si>
  <si>
    <r>
      <rPr>
        <rFont val="Montserrat"/>
        <color rgb="FF1155CC"/>
        <sz val="11.0"/>
        <u/>
      </rPr>
      <t>Parkersburg</t>
    </r>
  </si>
  <si>
    <t>26104-7239</t>
  </si>
  <si>
    <r>
      <rPr>
        <rFont val="Montserrat"/>
        <color rgb="FF1155CC"/>
        <sz val="11.0"/>
        <u/>
      </rPr>
      <t>Parkersburg</t>
    </r>
  </si>
  <si>
    <r>
      <rPr>
        <rFont val="Montserrat"/>
        <color rgb="FF1155CC"/>
        <sz val="11.0"/>
        <u/>
      </rPr>
      <t>Parkersburg</t>
    </r>
  </si>
  <si>
    <t>26101-6973</t>
  </si>
  <si>
    <t>1089 Ra West Hwy</t>
  </si>
  <si>
    <r>
      <rPr>
        <rFont val="Montserrat"/>
        <color rgb="FF1155CC"/>
        <sz val="11.0"/>
        <u/>
      </rPr>
      <t>Delbarton</t>
    </r>
  </si>
  <si>
    <r>
      <rPr>
        <rFont val="Montserrat"/>
        <color rgb="FF1155CC"/>
        <sz val="11.0"/>
        <u/>
      </rPr>
      <t>Parkersburg</t>
    </r>
  </si>
  <si>
    <t>26104-1812</t>
  </si>
  <si>
    <r>
      <rPr>
        <rFont val="Montserrat"/>
        <color rgb="FF1155CC"/>
        <sz val="11.0"/>
        <u/>
      </rPr>
      <t>Parkersburg</t>
    </r>
  </si>
  <si>
    <t>26104-9268</t>
  </si>
  <si>
    <r>
      <rPr>
        <rFont val="Montserrat"/>
        <color rgb="FF1155CC"/>
        <sz val="11.0"/>
        <u/>
      </rPr>
      <t>Parkersburg</t>
    </r>
  </si>
  <si>
    <t>26101-9724</t>
  </si>
  <si>
    <r>
      <rPr>
        <rFont val="Montserrat"/>
        <color rgb="FF1155CC"/>
        <sz val="11.0"/>
        <u/>
      </rPr>
      <t>Parsons</t>
    </r>
  </si>
  <si>
    <t>26287-1169</t>
  </si>
  <si>
    <t>1326 Dixie Hwy</t>
  </si>
  <si>
    <r>
      <rPr>
        <rFont val="Montserrat"/>
        <color rgb="FF1155CC"/>
        <sz val="11.0"/>
        <u/>
      </rPr>
      <t>Dixie</t>
    </r>
  </si>
  <si>
    <r>
      <rPr>
        <rFont val="Montserrat"/>
        <color rgb="FF1155CC"/>
        <sz val="11.0"/>
        <u/>
      </rPr>
      <t>Paw Paw</t>
    </r>
  </si>
  <si>
    <t>25434-0535</t>
  </si>
  <si>
    <r>
      <rPr>
        <rFont val="Montserrat"/>
        <color rgb="FF1155CC"/>
        <sz val="11.0"/>
        <u/>
      </rPr>
      <t>Paynesville</t>
    </r>
  </si>
  <si>
    <t>24873-2414</t>
  </si>
  <si>
    <r>
      <rPr>
        <rFont val="Montserrat"/>
        <color rgb="FF1155CC"/>
        <sz val="11.0"/>
        <u/>
      </rPr>
      <t>Pecks Mill</t>
    </r>
  </si>
  <si>
    <t>1415 Dunbar Ave</t>
  </si>
  <si>
    <r>
      <rPr>
        <rFont val="Montserrat"/>
        <color rgb="FF1155CC"/>
        <sz val="11.0"/>
        <u/>
      </rPr>
      <t>Dunbar</t>
    </r>
  </si>
  <si>
    <r>
      <rPr>
        <rFont val="Montserrat"/>
        <color rgb="FF1155CC"/>
        <sz val="11.0"/>
        <u/>
      </rPr>
      <t>Pennsboro</t>
    </r>
  </si>
  <si>
    <t>26415-1330</t>
  </si>
  <si>
    <t>WALMART #2036 (V2060)</t>
  </si>
  <si>
    <r>
      <rPr>
        <rFont val="Montserrat"/>
        <color rgb="FF1155CC"/>
        <sz val="11.0"/>
        <u/>
      </rPr>
      <t>Petersburg</t>
    </r>
  </si>
  <si>
    <t>26847-1731</t>
  </si>
  <si>
    <t>2211 3rd Ave</t>
  </si>
  <si>
    <r>
      <rPr>
        <rFont val="Montserrat"/>
        <color rgb="FF1155CC"/>
        <sz val="11.0"/>
        <u/>
      </rPr>
      <t>East Bank</t>
    </r>
  </si>
  <si>
    <r>
      <rPr>
        <rFont val="Montserrat"/>
        <color rgb="FF1155CC"/>
        <sz val="11.0"/>
        <u/>
      </rPr>
      <t>Peterstown</t>
    </r>
  </si>
  <si>
    <r>
      <rPr>
        <rFont val="Montserrat"/>
        <color rgb="FF1155CC"/>
        <sz val="11.0"/>
        <u/>
      </rPr>
      <t>Philippi</t>
    </r>
  </si>
  <si>
    <t>215 Roosevelt Blvd</t>
  </si>
  <si>
    <r>
      <rPr>
        <rFont val="Montserrat"/>
        <color rgb="FF1155CC"/>
        <sz val="11.0"/>
        <u/>
      </rPr>
      <t>Eleanor</t>
    </r>
  </si>
  <si>
    <t>26414-1244</t>
  </si>
  <si>
    <r>
      <rPr>
        <rFont val="Montserrat"/>
        <color rgb="FF1155CC"/>
        <sz val="11.0"/>
        <u/>
      </rPr>
      <t>Pine Grove</t>
    </r>
  </si>
  <si>
    <r>
      <rPr>
        <rFont val="Montserrat"/>
        <color rgb="FF1155CC"/>
        <sz val="11.0"/>
        <u/>
      </rPr>
      <t>Pineville</t>
    </r>
  </si>
  <si>
    <t>KROGER COMPANY 794 (V4004)</t>
  </si>
  <si>
    <t>24874-1647</t>
  </si>
  <si>
    <r>
      <rPr>
        <rFont val="Montserrat"/>
        <color rgb="FF1155CC"/>
        <sz val="11.0"/>
        <u/>
      </rPr>
      <t>Poca</t>
    </r>
  </si>
  <si>
    <t>13431 Elizabeth Pike</t>
  </si>
  <si>
    <r>
      <rPr>
        <rFont val="Montserrat"/>
        <color rgb="FF1155CC"/>
        <sz val="11.0"/>
        <u/>
      </rPr>
      <t>Elizabeth</t>
    </r>
  </si>
  <si>
    <t>2519-0673</t>
  </si>
  <si>
    <r>
      <rPr>
        <rFont val="Montserrat"/>
        <color rgb="FF1155CC"/>
        <sz val="11.0"/>
        <u/>
      </rPr>
      <t>Point Pleasant</t>
    </r>
  </si>
  <si>
    <t>25550-9401</t>
  </si>
  <si>
    <r>
      <rPr>
        <rFont val="Montserrat"/>
        <color rgb="FF1155CC"/>
        <sz val="11.0"/>
        <u/>
      </rPr>
      <t>Point Pleasant</t>
    </r>
  </si>
  <si>
    <t>25550-3244</t>
  </si>
  <si>
    <r>
      <rPr>
        <rFont val="Montserrat"/>
        <color rgb="FF1155CC"/>
        <sz val="11.0"/>
        <u/>
      </rPr>
      <t>Point Pleasant</t>
    </r>
  </si>
  <si>
    <t>25550-1240</t>
  </si>
  <si>
    <r>
      <rPr>
        <rFont val="Montserrat"/>
        <color rgb="FF1155CC"/>
        <sz val="11.0"/>
        <u/>
      </rPr>
      <t>Prichard</t>
    </r>
  </si>
  <si>
    <t>1211 Harrison Ave</t>
  </si>
  <si>
    <r>
      <rPr>
        <rFont val="Montserrat"/>
        <color rgb="FF1155CC"/>
        <sz val="11.0"/>
        <u/>
      </rPr>
      <t>Elkins</t>
    </r>
  </si>
  <si>
    <r>
      <rPr>
        <rFont val="Montserrat"/>
        <color rgb="FF1155CC"/>
        <sz val="11.0"/>
        <u/>
      </rPr>
      <t>Princeton</t>
    </r>
  </si>
  <si>
    <t>24740-2322</t>
  </si>
  <si>
    <t>ELKINS SHOP N SAVE (V4217)</t>
  </si>
  <si>
    <r>
      <rPr>
        <rFont val="Montserrat"/>
        <color rgb="FF1155CC"/>
        <sz val="11.0"/>
        <u/>
      </rPr>
      <t>Princeton</t>
    </r>
  </si>
  <si>
    <t>24740-6282</t>
  </si>
  <si>
    <r>
      <rPr>
        <rFont val="Montserrat"/>
        <color rgb="FF1155CC"/>
        <sz val="11.0"/>
        <u/>
      </rPr>
      <t>Princeton</t>
    </r>
  </si>
  <si>
    <r>
      <rPr>
        <rFont val="Montserrat"/>
        <color rgb="FF1155CC"/>
        <sz val="11.0"/>
        <u/>
      </rPr>
      <t>Princeton</t>
    </r>
  </si>
  <si>
    <t>24740-2465</t>
  </si>
  <si>
    <t>107 3rd St</t>
  </si>
  <si>
    <r>
      <rPr>
        <rFont val="Montserrat"/>
        <color rgb="FF1155CC"/>
        <sz val="11.0"/>
        <u/>
      </rPr>
      <t>Elkins</t>
    </r>
  </si>
  <si>
    <r>
      <rPr>
        <rFont val="Montserrat"/>
        <color rgb="FF1155CC"/>
        <sz val="11.0"/>
        <u/>
      </rPr>
      <t>Princeton</t>
    </r>
  </si>
  <si>
    <r>
      <rPr>
        <rFont val="Montserrat"/>
        <color rgb="FF1155CC"/>
        <sz val="11.0"/>
        <u/>
      </rPr>
      <t>Rainelle</t>
    </r>
  </si>
  <si>
    <t>25962-1027</t>
  </si>
  <si>
    <r>
      <rPr>
        <rFont val="Montserrat"/>
        <color rgb="FF1155CC"/>
        <sz val="11.0"/>
        <u/>
      </rPr>
      <t>Ranson</t>
    </r>
  </si>
  <si>
    <t>25438-1533</t>
  </si>
  <si>
    <t>4914 Elk River Rd</t>
  </si>
  <si>
    <r>
      <rPr>
        <rFont val="Montserrat"/>
        <color rgb="FF1155CC"/>
        <sz val="11.0"/>
        <u/>
      </rPr>
      <t>Elkview</t>
    </r>
  </si>
  <si>
    <r>
      <rPr>
        <rFont val="Montserrat"/>
        <color rgb="FF1155CC"/>
        <sz val="11.0"/>
        <u/>
      </rPr>
      <t>Ravenswood</t>
    </r>
  </si>
  <si>
    <t>26164-1772</t>
  </si>
  <si>
    <r>
      <rPr>
        <rFont val="Montserrat"/>
        <color rgb="FF1155CC"/>
        <sz val="11.0"/>
        <u/>
      </rPr>
      <t>Reedsville</t>
    </r>
  </si>
  <si>
    <t>26547-0817</t>
  </si>
  <si>
    <r>
      <rPr>
        <rFont val="Montserrat"/>
        <color rgb="FF1155CC"/>
        <sz val="11.0"/>
        <u/>
      </rPr>
      <t>Richwood</t>
    </r>
  </si>
  <si>
    <t>4823 Indian Creek Rd</t>
  </si>
  <si>
    <r>
      <rPr>
        <rFont val="Montserrat"/>
        <color rgb="FF1155CC"/>
        <sz val="11.0"/>
        <u/>
      </rPr>
      <t>Elkview</t>
    </r>
  </si>
  <si>
    <r>
      <rPr>
        <rFont val="Montserrat"/>
        <color rgb="FF1155CC"/>
        <sz val="11.0"/>
        <u/>
      </rPr>
      <t>Ridgeley</t>
    </r>
  </si>
  <si>
    <t>26753-7499</t>
  </si>
  <si>
    <r>
      <rPr>
        <rFont val="Montserrat"/>
        <color rgb="FF1155CC"/>
        <sz val="11.0"/>
        <u/>
      </rPr>
      <t>Ripley</t>
    </r>
  </si>
  <si>
    <t>3461 Hood Ave</t>
  </si>
  <si>
    <r>
      <rPr>
        <rFont val="Montserrat"/>
        <color rgb="FF1155CC"/>
        <sz val="11.0"/>
        <u/>
      </rPr>
      <t>Enterprise</t>
    </r>
  </si>
  <si>
    <t>25271-6314</t>
  </si>
  <si>
    <r>
      <rPr>
        <rFont val="Montserrat"/>
        <color rgb="FF1155CC"/>
        <sz val="11.0"/>
        <u/>
      </rPr>
      <t>Ripley</t>
    </r>
  </si>
  <si>
    <t>SHINNSTON PRICE CUTTER (V1705)</t>
  </si>
  <si>
    <r>
      <rPr>
        <rFont val="Montserrat"/>
        <color rgb="FF1155CC"/>
        <sz val="11.0"/>
        <u/>
      </rPr>
      <t>Ripley</t>
    </r>
  </si>
  <si>
    <t>25271-5552</t>
  </si>
  <si>
    <t xml:space="preserve">Rock </t>
  </si>
  <si>
    <t>1025 Indiana Ave</t>
  </si>
  <si>
    <r>
      <rPr>
        <rFont val="Montserrat"/>
        <color rgb="FF1155CC"/>
        <sz val="11.0"/>
        <u/>
      </rPr>
      <t>Fairmont</t>
    </r>
  </si>
  <si>
    <t>24747-9278</t>
  </si>
  <si>
    <r>
      <rPr>
        <rFont val="Montserrat"/>
        <color rgb="FF1155CC"/>
        <sz val="11.0"/>
        <u/>
      </rPr>
      <t>Romney</t>
    </r>
  </si>
  <si>
    <t>EAST FAIRMONT PRICE CUTTER (V2533)</t>
  </si>
  <si>
    <t>26757-9706</t>
  </si>
  <si>
    <r>
      <rPr>
        <rFont val="Montserrat"/>
        <color rgb="FF1155CC"/>
        <sz val="11.0"/>
        <u/>
      </rPr>
      <t>Ronceverte</t>
    </r>
  </si>
  <si>
    <t>1228 Country Club Rd</t>
  </si>
  <si>
    <r>
      <rPr>
        <rFont val="Montserrat"/>
        <color rgb="FF1155CC"/>
        <sz val="11.0"/>
        <u/>
      </rPr>
      <t>Fairmont</t>
    </r>
  </si>
  <si>
    <r>
      <rPr>
        <rFont val="Montserrat"/>
        <color rgb="FF1155CC"/>
        <sz val="11.0"/>
        <u/>
      </rPr>
      <t>Ronceverte</t>
    </r>
  </si>
  <si>
    <t>24970-9704</t>
  </si>
  <si>
    <t>SOUTH FAIRMONT PRICE CUTTER (V2530)</t>
  </si>
  <si>
    <r>
      <rPr>
        <rFont val="Montserrat"/>
        <color rgb="FF1155CC"/>
        <sz val="11.0"/>
        <u/>
      </rPr>
      <t>Rupert</t>
    </r>
  </si>
  <si>
    <r>
      <rPr>
        <rFont val="Montserrat"/>
        <color rgb="FF1155CC"/>
        <sz val="11.0"/>
        <u/>
      </rPr>
      <t>Saint Albans</t>
    </r>
  </si>
  <si>
    <t>218 Adams St</t>
  </si>
  <si>
    <r>
      <rPr>
        <rFont val="Montserrat"/>
        <color rgb="FF1155CC"/>
        <sz val="11.0"/>
        <u/>
      </rPr>
      <t>Fairmont</t>
    </r>
  </si>
  <si>
    <t>25177-1854</t>
  </si>
  <si>
    <r>
      <rPr>
        <rFont val="Montserrat"/>
        <color rgb="FF1155CC"/>
        <sz val="11.0"/>
        <u/>
      </rPr>
      <t>Saint Albans</t>
    </r>
  </si>
  <si>
    <t>25177-5400</t>
  </si>
  <si>
    <r>
      <rPr>
        <rFont val="Montserrat"/>
        <color rgb="FF1155CC"/>
        <sz val="11.0"/>
        <u/>
      </rPr>
      <t>Saint Albans</t>
    </r>
  </si>
  <si>
    <t>25177-3216</t>
  </si>
  <si>
    <r>
      <rPr>
        <rFont val="Montserrat"/>
        <color rgb="FF1155CC"/>
        <sz val="11.0"/>
        <u/>
      </rPr>
      <t>Saint Albans</t>
    </r>
  </si>
  <si>
    <t>8225 Williamsport Pike</t>
  </si>
  <si>
    <r>
      <rPr>
        <rFont val="Montserrat"/>
        <color rgb="FF1155CC"/>
        <sz val="11.0"/>
        <u/>
      </rPr>
      <t>Falling Waters</t>
    </r>
  </si>
  <si>
    <r>
      <rPr>
        <rFont val="Montserrat"/>
        <color rgb="FF1155CC"/>
        <sz val="11.0"/>
        <u/>
      </rPr>
      <t>Saint Albans</t>
    </r>
  </si>
  <si>
    <t>25177-2328</t>
  </si>
  <si>
    <r>
      <rPr>
        <rFont val="Montserrat"/>
        <color rgb="FF1155CC"/>
        <sz val="11.0"/>
        <u/>
      </rPr>
      <t>Saint Albans</t>
    </r>
  </si>
  <si>
    <r>
      <rPr>
        <rFont val="Montserrat"/>
        <color rgb="FF1155CC"/>
        <sz val="11.0"/>
        <u/>
      </rPr>
      <t>Saint Marys</t>
    </r>
  </si>
  <si>
    <t>26170-0487</t>
  </si>
  <si>
    <r>
      <rPr>
        <rFont val="Montserrat"/>
        <color rgb="FF1155CC"/>
        <sz val="11.0"/>
        <u/>
      </rPr>
      <t>Salem</t>
    </r>
  </si>
  <si>
    <t>185 Lively St</t>
  </si>
  <si>
    <r>
      <rPr>
        <rFont val="Montserrat"/>
        <color rgb="FF1155CC"/>
        <sz val="11.0"/>
        <u/>
      </rPr>
      <t>Fayetteville</t>
    </r>
  </si>
  <si>
    <t>26426-1302</t>
  </si>
  <si>
    <r>
      <rPr>
        <rFont val="Montserrat"/>
        <color rgb="FF1155CC"/>
        <sz val="11.0"/>
        <u/>
      </rPr>
      <t>Salt Rock</t>
    </r>
  </si>
  <si>
    <t>25559-9657</t>
  </si>
  <si>
    <r>
      <rPr>
        <rFont val="Montserrat"/>
        <color rgb="FF1155CC"/>
        <sz val="11.0"/>
        <u/>
      </rPr>
      <t>Shady Spring</t>
    </r>
  </si>
  <si>
    <t>561 W Veterans Memorial Hwy</t>
  </si>
  <si>
    <r>
      <rPr>
        <rFont val="Montserrat"/>
        <color rgb="FF1155CC"/>
        <sz val="11.0"/>
        <u/>
      </rPr>
      <t>Flemington</t>
    </r>
  </si>
  <si>
    <t>25918-8520</t>
  </si>
  <si>
    <r>
      <rPr>
        <rFont val="Montserrat"/>
        <color rgb="FF1155CC"/>
        <sz val="11.0"/>
        <u/>
      </rPr>
      <t>Shenandoah Junction</t>
    </r>
  </si>
  <si>
    <r>
      <rPr>
        <rFont val="Montserrat"/>
        <color rgb="FF1155CC"/>
        <sz val="11.0"/>
        <u/>
      </rPr>
      <t>Shepherdstown</t>
    </r>
  </si>
  <si>
    <t>Rt 28</t>
  </si>
  <si>
    <r>
      <rPr>
        <rFont val="Montserrat"/>
        <color rgb="FF1155CC"/>
        <sz val="11.0"/>
        <u/>
      </rPr>
      <t>Fort Ashby</t>
    </r>
  </si>
  <si>
    <t>25443-3699</t>
  </si>
  <si>
    <r>
      <rPr>
        <rFont val="Montserrat"/>
        <color rgb="FF1155CC"/>
        <sz val="11.0"/>
        <u/>
      </rPr>
      <t>Shinnston</t>
    </r>
  </si>
  <si>
    <t>26431-9751</t>
  </si>
  <si>
    <r>
      <rPr>
        <rFont val="Montserrat"/>
        <color rgb="FF1155CC"/>
        <sz val="11.0"/>
        <u/>
      </rPr>
      <t>Shinnston</t>
    </r>
  </si>
  <si>
    <r>
      <rPr>
        <rFont val="Montserrat"/>
        <color rgb="FF1155CC"/>
        <sz val="11.0"/>
        <u/>
      </rPr>
      <t>Sissonville</t>
    </r>
  </si>
  <si>
    <t>351 Court St</t>
  </si>
  <si>
    <r>
      <rPr>
        <rFont val="Montserrat"/>
        <color rgb="FF1155CC"/>
        <sz val="11.0"/>
        <u/>
      </rPr>
      <t>Fort Gay</t>
    </r>
  </si>
  <si>
    <r>
      <rPr>
        <rFont val="Montserrat"/>
        <color rgb="FF1155CC"/>
        <sz val="11.0"/>
        <u/>
      </rPr>
      <t>Slanesville</t>
    </r>
  </si>
  <si>
    <t>REBEL MART (V5046)</t>
  </si>
  <si>
    <r>
      <rPr>
        <rFont val="Montserrat"/>
        <color rgb="FF1155CC"/>
        <sz val="11.0"/>
        <u/>
      </rPr>
      <t>Slaty Fork</t>
    </r>
  </si>
  <si>
    <t>926 Daniel Boone Pkwy</t>
  </si>
  <si>
    <r>
      <rPr>
        <rFont val="Montserrat"/>
        <color rgb="FF1155CC"/>
        <sz val="11.0"/>
        <u/>
      </rPr>
      <t>Foster</t>
    </r>
  </si>
  <si>
    <r>
      <rPr>
        <rFont val="Montserrat"/>
        <color rgb="FF1155CC"/>
        <sz val="11.0"/>
        <u/>
      </rPr>
      <t>Smithers</t>
    </r>
  </si>
  <si>
    <t>MARKET EXPRESS 4015 (V2216)</t>
  </si>
  <si>
    <r>
      <rPr>
        <rFont val="Montserrat"/>
        <color rgb="FF1155CC"/>
        <sz val="11.0"/>
        <u/>
      </rPr>
      <t>Smithville</t>
    </r>
  </si>
  <si>
    <r>
      <rPr>
        <rFont val="Montserrat"/>
        <color rgb="FF1155CC"/>
        <sz val="11.0"/>
        <u/>
      </rPr>
      <t>Sophia</t>
    </r>
  </si>
  <si>
    <t>21224 Seneca Trail N</t>
  </si>
  <si>
    <r>
      <rPr>
        <rFont val="Montserrat"/>
        <color rgb="FF1155CC"/>
        <sz val="11.0"/>
        <u/>
      </rPr>
      <t>Frankford</t>
    </r>
  </si>
  <si>
    <t>25921-0418</t>
  </si>
  <si>
    <r>
      <rPr>
        <rFont val="Montserrat"/>
        <color rgb="FF1155CC"/>
        <sz val="11.0"/>
        <u/>
      </rPr>
      <t>Sophia</t>
    </r>
  </si>
  <si>
    <t>25921-0977</t>
  </si>
  <si>
    <r>
      <rPr>
        <rFont val="Montserrat"/>
        <color rgb="FF1155CC"/>
        <sz val="11.0"/>
        <u/>
      </rPr>
      <t>South Charleston</t>
    </r>
  </si>
  <si>
    <t>WALMART SUPERCENTER 1499 (V1315)</t>
  </si>
  <si>
    <t>25309-2034</t>
  </si>
  <si>
    <r>
      <rPr>
        <rFont val="Montserrat"/>
        <color rgb="FF1155CC"/>
        <sz val="11.0"/>
        <u/>
      </rPr>
      <t>South Charleston</t>
    </r>
  </si>
  <si>
    <t>25303-1210</t>
  </si>
  <si>
    <r>
      <rPr>
        <rFont val="Montserrat"/>
        <color rgb="FF1155CC"/>
        <sz val="11.0"/>
        <u/>
      </rPr>
      <t>South Charleston</t>
    </r>
  </si>
  <si>
    <t>25309-6131</t>
  </si>
  <si>
    <t>7319 Rt. 20 South Rd</t>
  </si>
  <si>
    <r>
      <rPr>
        <rFont val="Montserrat"/>
        <color rgb="FF1155CC"/>
        <sz val="11.0"/>
        <u/>
      </rPr>
      <t>French Creek</t>
    </r>
  </si>
  <si>
    <r>
      <rPr>
        <rFont val="Montserrat"/>
        <color rgb="FF1155CC"/>
        <sz val="11.0"/>
        <u/>
      </rPr>
      <t>Spencer</t>
    </r>
  </si>
  <si>
    <t>25276-1322</t>
  </si>
  <si>
    <r>
      <rPr>
        <rFont val="Montserrat"/>
        <color rgb="FF1155CC"/>
        <sz val="11.0"/>
        <u/>
      </rPr>
      <t>Springfield</t>
    </r>
  </si>
  <si>
    <r>
      <rPr>
        <rFont val="Montserrat"/>
        <color rgb="FF1155CC"/>
        <sz val="11.0"/>
        <u/>
      </rPr>
      <t>Star City</t>
    </r>
  </si>
  <si>
    <t>26505-7226</t>
  </si>
  <si>
    <r>
      <rPr>
        <rFont val="Montserrat"/>
        <color rgb="FF1155CC"/>
        <sz val="11.0"/>
        <u/>
      </rPr>
      <t>Summersville</t>
    </r>
  </si>
  <si>
    <t xml:space="preserve">12351 Huntington Rd. </t>
  </si>
  <si>
    <r>
      <rPr>
        <rFont val="Montserrat"/>
        <color rgb="FF1155CC"/>
        <sz val="11.0"/>
        <u/>
      </rPr>
      <t>Gallipolis Ferry</t>
    </r>
  </si>
  <si>
    <t>Store Type</t>
  </si>
  <si>
    <t>Produce/Fresh?</t>
  </si>
  <si>
    <t>26651-1041</t>
  </si>
  <si>
    <t>DG Market/Expanded Grocery?</t>
  </si>
  <si>
    <t>Hours</t>
  </si>
  <si>
    <t>Verified Date</t>
  </si>
  <si>
    <r>
      <rPr>
        <rFont val="Montserrat"/>
        <color rgb="FF1155CC"/>
        <sz val="11.0"/>
        <u/>
      </rPr>
      <t>Summersville</t>
    </r>
  </si>
  <si>
    <r>
      <rPr>
        <rFont val="Montserrat"/>
        <color rgb="FF1155CC"/>
        <sz val="11.0"/>
        <u/>
      </rPr>
      <t>Sutton</t>
    </r>
  </si>
  <si>
    <t>POINT PLEASANT PIGGLY WIGGLY (V2701)</t>
  </si>
  <si>
    <t>26601-1019</t>
  </si>
  <si>
    <r>
      <rPr>
        <rFont val="Montserrat"/>
        <color rgb="FF1155CC"/>
        <sz val="11.0"/>
        <u/>
      </rPr>
      <t>Terra Alta</t>
    </r>
  </si>
  <si>
    <t>199 State St</t>
  </si>
  <si>
    <r>
      <rPr>
        <rFont val="Montserrat"/>
        <color rgb="FF1155CC"/>
        <sz val="11.0"/>
        <u/>
      </rPr>
      <t>Gassaway</t>
    </r>
  </si>
  <si>
    <t>26764-3063</t>
  </si>
  <si>
    <r>
      <rPr>
        <rFont val="Montserrat"/>
        <color rgb="FF1155CC"/>
        <sz val="11.0"/>
        <u/>
      </rPr>
      <t>Union</t>
    </r>
  </si>
  <si>
    <t>24983-0364</t>
  </si>
  <si>
    <r>
      <rPr>
        <rFont val="Montserrat"/>
        <color rgb="FF1155CC"/>
        <sz val="11.0"/>
        <u/>
      </rPr>
      <t>Valley Bend</t>
    </r>
  </si>
  <si>
    <t>26145 Rt 152</t>
  </si>
  <si>
    <r>
      <rPr>
        <rFont val="Montserrat"/>
        <color rgb="FF1155CC"/>
        <sz val="11.0"/>
        <u/>
      </rPr>
      <t>Genoa</t>
    </r>
  </si>
  <si>
    <r>
      <rPr>
        <rFont val="Montserrat"/>
        <color rgb="FF1155CC"/>
        <sz val="11.0"/>
        <u/>
      </rPr>
      <t>Valley Head</t>
    </r>
  </si>
  <si>
    <t>26294-4620</t>
  </si>
  <si>
    <r>
      <rPr>
        <rFont val="Montserrat"/>
        <color rgb="FF1155CC"/>
        <sz val="11.0"/>
        <u/>
      </rPr>
      <t>Vienna</t>
    </r>
  </si>
  <si>
    <t>26105-1540</t>
  </si>
  <si>
    <r>
      <rPr>
        <rFont val="Montserrat"/>
        <color rgb="FF1155CC"/>
        <sz val="11.0"/>
        <u/>
      </rPr>
      <t>Vienna</t>
    </r>
  </si>
  <si>
    <r>
      <rPr>
        <rFont val="Montserrat"/>
        <color rgb="FF1155CC"/>
        <sz val="11.0"/>
        <u/>
      </rPr>
      <t>Walker</t>
    </r>
  </si>
  <si>
    <t>26180-5644</t>
  </si>
  <si>
    <r>
      <rPr>
        <rFont val="Montserrat"/>
        <color rgb="FF1155CC"/>
        <sz val="11.0"/>
        <u/>
      </rPr>
      <t>Wallace</t>
    </r>
  </si>
  <si>
    <t>26448-8934</t>
  </si>
  <si>
    <r>
      <rPr>
        <rFont val="Montserrat"/>
        <color rgb="FF1155CC"/>
        <sz val="11.0"/>
        <u/>
      </rPr>
      <t>Wallback</t>
    </r>
  </si>
  <si>
    <t>25285-9524</t>
  </si>
  <si>
    <r>
      <rPr>
        <rFont val="Montserrat"/>
        <color rgb="FF1155CC"/>
        <sz val="11.0"/>
        <u/>
      </rPr>
      <t>War</t>
    </r>
  </si>
  <si>
    <t>24892-0104</t>
  </si>
  <si>
    <t>Component</t>
  </si>
  <si>
    <t>Weight</t>
  </si>
  <si>
    <t>Measures</t>
  </si>
  <si>
    <r>
      <rPr>
        <rFont val="Montserrat"/>
        <color rgb="FF1155CC"/>
        <sz val="11.0"/>
        <u/>
      </rPr>
      <t>Wardensville</t>
    </r>
  </si>
  <si>
    <t>Initial Scoring Concept</t>
  </si>
  <si>
    <t>Why Included</t>
  </si>
  <si>
    <t>WIC Participation</t>
  </si>
  <si>
    <t>Active WIC families/participants near DG</t>
  </si>
  <si>
    <t>Normalize active WIC demand to 0-100</t>
  </si>
  <si>
    <t>Shows real existing WIC purchasing demand</t>
  </si>
  <si>
    <t>Retail Access</t>
  </si>
  <si>
    <t>Nearest WIC vendor, vendors within 10 mi, miles saved, grocery isolation</t>
  </si>
  <si>
    <t>Highest points for &gt;10 mi current access and large travel reduction</t>
  </si>
  <si>
    <t>Pilot should primarily solve an access problem</t>
  </si>
  <si>
    <t>Community Need</t>
  </si>
  <si>
    <t>26851-9507</t>
  </si>
  <si>
    <t>Poverty, WIC eligibility, under-5 population, births</t>
  </si>
  <si>
    <t>Composite normalized to 0-100</t>
  </si>
  <si>
    <t>Prioritizes high-need rural communities</t>
  </si>
  <si>
    <t>DG Suitability</t>
  </si>
  <si>
    <t>DG format, produce, SNAP, stock/POS/formula feasibility</t>
  </si>
  <si>
    <t>Operational readiness scored 0-100</t>
  </si>
  <si>
    <t>Prevents ranking stores that cannot realistically participate</t>
  </si>
  <si>
    <r>
      <rPr>
        <rFont val="Montserrat"/>
        <color rgb="FF1155CC"/>
        <sz val="11.0"/>
        <u/>
      </rPr>
      <t>Washington</t>
    </r>
  </si>
  <si>
    <t>Proposed Pilot Tier</t>
  </si>
  <si>
    <t>Interpretation</t>
  </si>
  <si>
    <t>Tier 1</t>
  </si>
  <si>
    <t>Highest-priority rural access gap + strong WIC demand + DG appears feasible</t>
  </si>
  <si>
    <t>Tier 2</t>
  </si>
  <si>
    <t>26181-8716</t>
  </si>
  <si>
    <t>Strong access/need case but one or more feasibility questions remain</t>
  </si>
  <si>
    <t>Tier 3</t>
  </si>
  <si>
    <t>Moderate benefit; useful expansion candidate after pilot</t>
  </si>
  <si>
    <t>Do Not Prioritize</t>
  </si>
  <si>
    <t>Little access improvement or major feasibility barrier</t>
  </si>
  <si>
    <r>
      <rPr>
        <rFont val="Montserrat"/>
        <color rgb="FF1155CC"/>
        <sz val="11.0"/>
        <u/>
      </rPr>
      <t>Wayne</t>
    </r>
  </si>
  <si>
    <t>County Screening Method</t>
  </si>
  <si>
    <t>3878 Apple Harvest Dr</t>
  </si>
  <si>
    <r>
      <rPr>
        <rFont val="Montserrat"/>
        <color rgb="FF1155CC"/>
        <sz val="11.0"/>
        <u/>
      </rPr>
      <t>Gerrardstown</t>
    </r>
  </si>
  <si>
    <t>Metric</t>
  </si>
  <si>
    <t>25570-0782</t>
  </si>
  <si>
    <t>Definition</t>
  </si>
  <si>
    <t>Purpose</t>
  </si>
  <si>
    <t>Next Step</t>
  </si>
  <si>
    <t>Retail Pressure</t>
  </si>
  <si>
    <t>Active WIC families divided by number of current WIC retailers, normalized 0-100</t>
  </si>
  <si>
    <t>Finds counties where the existing vendor network is thinnest relative to current WIC demand</t>
  </si>
  <si>
    <t>Refine to 10-mile driving access</t>
  </si>
  <si>
    <r>
      <rPr>
        <rFont val="Montserrat"/>
        <color rgb="FF1155CC"/>
        <sz val="11.0"/>
        <u/>
      </rPr>
      <t>Wayne</t>
    </r>
  </si>
  <si>
    <t>25570-5800</t>
  </si>
  <si>
    <t>Active WIC families, normalized 0-100</t>
  </si>
  <si>
    <t>Ensures low-retailer counties with very little WIC use do not automatically outrank high-demand areas</t>
  </si>
  <si>
    <t>Add benefits issued/redeemed</t>
  </si>
  <si>
    <t>DG Presence</t>
  </si>
  <si>
    <t>Screen</t>
  </si>
  <si>
    <t>DG count and DG Market count by county</t>
  </si>
  <si>
    <t>Identifies where Dollar General can realistically fill the gap</t>
  </si>
  <si>
    <r>
      <rPr>
        <rFont val="Montserrat"/>
        <color rgb="FF1155CC"/>
        <sz val="11.0"/>
        <u/>
      </rPr>
      <t>Webster Springs</t>
    </r>
  </si>
  <si>
    <t>Populate WV Dollar General tab</t>
  </si>
  <si>
    <t>26288-1120</t>
  </si>
  <si>
    <r>
      <rPr>
        <rFont val="Montserrat"/>
        <color rgb="FF1155CC"/>
        <sz val="11.0"/>
        <u/>
      </rPr>
      <t>Weirton</t>
    </r>
  </si>
  <si>
    <t>26062-3815</t>
  </si>
  <si>
    <t>3285 Flat Top Rd</t>
  </si>
  <si>
    <r>
      <rPr>
        <rFont val="Montserrat"/>
        <color rgb="FF1155CC"/>
        <sz val="11.0"/>
        <u/>
      </rPr>
      <t>Ghent</t>
    </r>
  </si>
  <si>
    <r>
      <rPr>
        <rFont val="Montserrat"/>
        <color rgb="FF1155CC"/>
        <sz val="11.0"/>
        <u/>
      </rPr>
      <t>Weirton</t>
    </r>
  </si>
  <si>
    <r>
      <rPr>
        <rFont val="Montserrat"/>
        <color rgb="FF1155CC"/>
        <sz val="11.0"/>
        <u/>
      </rPr>
      <t>Weirton</t>
    </r>
  </si>
  <si>
    <t>26062-3340</t>
  </si>
  <si>
    <r>
      <rPr>
        <rFont val="Montserrat"/>
        <color rgb="FF1155CC"/>
        <sz val="11.0"/>
        <u/>
      </rPr>
      <t>Weirton</t>
    </r>
  </si>
  <si>
    <t>26062-4713</t>
  </si>
  <si>
    <r>
      <rPr>
        <rFont val="Montserrat"/>
        <color rgb="FF1155CC"/>
        <sz val="11.0"/>
        <u/>
      </rPr>
      <t>Welch</t>
    </r>
  </si>
  <si>
    <t>24801-2814</t>
  </si>
  <si>
    <r>
      <rPr>
        <rFont val="Montserrat"/>
        <color rgb="FF1155CC"/>
        <sz val="11.0"/>
        <u/>
      </rPr>
      <t>Wellsburg</t>
    </r>
  </si>
  <si>
    <t>26070-2088</t>
  </si>
  <si>
    <t>Meade Shpg Ctr US 52</t>
  </si>
  <si>
    <r>
      <rPr>
        <rFont val="Montserrat"/>
        <color rgb="FF1155CC"/>
        <sz val="11.0"/>
        <u/>
      </rPr>
      <t>Gilbert</t>
    </r>
  </si>
  <si>
    <r>
      <rPr>
        <rFont val="Montserrat"/>
        <color rgb="FF1155CC"/>
        <sz val="11.0"/>
        <u/>
      </rPr>
      <t>Wellsburg</t>
    </r>
  </si>
  <si>
    <t>26070-3100</t>
  </si>
  <si>
    <r>
      <rPr>
        <rFont val="Montserrat"/>
        <color rgb="FF1155CC"/>
        <sz val="11.0"/>
        <u/>
      </rPr>
      <t>Wellsburg</t>
    </r>
  </si>
  <si>
    <t>26070-1557</t>
  </si>
  <si>
    <r>
      <rPr>
        <rFont val="Montserrat"/>
        <color rgb="FF1155CC"/>
        <sz val="11.0"/>
        <u/>
      </rPr>
      <t>West Milford</t>
    </r>
  </si>
  <si>
    <r>
      <rPr>
        <rFont val="Montserrat"/>
        <color rgb="FF1155CC"/>
        <sz val="11.0"/>
        <u/>
      </rPr>
      <t>West Union</t>
    </r>
  </si>
  <si>
    <t>26456-1103</t>
  </si>
  <si>
    <t>6000 E Dupont Ave</t>
  </si>
  <si>
    <r>
      <rPr>
        <rFont val="Montserrat"/>
        <color rgb="FF1155CC"/>
        <sz val="11.0"/>
        <u/>
      </rPr>
      <t>Weston</t>
    </r>
  </si>
  <si>
    <r>
      <rPr>
        <rFont val="Montserrat"/>
        <color rgb="FF1155CC"/>
        <sz val="11.0"/>
        <u/>
      </rPr>
      <t>Glasgow</t>
    </r>
  </si>
  <si>
    <t>26452-7079</t>
  </si>
  <si>
    <r>
      <rPr>
        <rFont val="Montserrat"/>
        <color rgb="FF1155CC"/>
        <sz val="11.0"/>
        <u/>
      </rPr>
      <t>Weston</t>
    </r>
  </si>
  <si>
    <t>26452-7480</t>
  </si>
  <si>
    <r>
      <rPr>
        <rFont val="Montserrat"/>
        <color rgb="FF1155CC"/>
        <sz val="11.0"/>
        <u/>
      </rPr>
      <t>Wheeling</t>
    </r>
  </si>
  <si>
    <t>26003-6833</t>
  </si>
  <si>
    <r>
      <rPr>
        <rFont val="Montserrat"/>
        <color rgb="FF1155CC"/>
        <sz val="11.0"/>
        <u/>
      </rPr>
      <t>Wheeling</t>
    </r>
  </si>
  <si>
    <t>26003-6240</t>
  </si>
  <si>
    <t>7131 Harper Rd</t>
  </si>
  <si>
    <r>
      <rPr>
        <rFont val="Montserrat"/>
        <color rgb="FF1155CC"/>
        <sz val="11.0"/>
        <u/>
      </rPr>
      <t>Glen Daniel</t>
    </r>
  </si>
  <si>
    <r>
      <rPr>
        <rFont val="Montserrat"/>
        <color rgb="FF1155CC"/>
        <sz val="11.0"/>
        <u/>
      </rPr>
      <t>Wheeling</t>
    </r>
  </si>
  <si>
    <t>26003-5064</t>
  </si>
  <si>
    <r>
      <rPr>
        <rFont val="Montserrat"/>
        <color rgb="FF1155CC"/>
        <sz val="11.0"/>
        <u/>
      </rPr>
      <t>Wheeling</t>
    </r>
  </si>
  <si>
    <r>
      <rPr>
        <rFont val="Montserrat"/>
        <color rgb="FF1155CC"/>
        <sz val="11.0"/>
        <u/>
      </rPr>
      <t>White Hall</t>
    </r>
  </si>
  <si>
    <t>26554-2193</t>
  </si>
  <si>
    <r>
      <rPr>
        <rFont val="Montserrat"/>
        <color rgb="FF1155CC"/>
        <sz val="11.0"/>
        <u/>
      </rPr>
      <t>Whitesville</t>
    </r>
  </si>
  <si>
    <t>25209-0566</t>
  </si>
  <si>
    <r>
      <rPr>
        <rFont val="Montserrat"/>
        <color rgb="FF1155CC"/>
        <sz val="11.0"/>
        <u/>
      </rPr>
      <t>Wilcoe</t>
    </r>
  </si>
  <si>
    <t>19 Wood Mountain Rd</t>
  </si>
  <si>
    <r>
      <rPr>
        <rFont val="Montserrat"/>
        <color rgb="FF1155CC"/>
        <sz val="11.0"/>
        <u/>
      </rPr>
      <t>Glen Jean</t>
    </r>
  </si>
  <si>
    <r>
      <rPr>
        <rFont val="Montserrat"/>
        <color rgb="FF1155CC"/>
        <sz val="11.0"/>
        <u/>
      </rPr>
      <t>Williamson</t>
    </r>
  </si>
  <si>
    <r>
      <rPr>
        <rFont val="Montserrat"/>
        <color rgb="FF1155CC"/>
        <sz val="11.0"/>
        <u/>
      </rPr>
      <t>Williamson</t>
    </r>
  </si>
  <si>
    <r>
      <rPr>
        <rFont val="Montserrat"/>
        <color rgb="FF1155CC"/>
        <sz val="11.0"/>
        <u/>
      </rPr>
      <t>Williamstown</t>
    </r>
  </si>
  <si>
    <t>400 WV Hwy 5 E</t>
  </si>
  <si>
    <r>
      <rPr>
        <rFont val="Montserrat"/>
        <color rgb="FF1155CC"/>
        <sz val="11.0"/>
        <u/>
      </rPr>
      <t>Glenville</t>
    </r>
  </si>
  <si>
    <r>
      <rPr>
        <rFont val="Montserrat"/>
        <color rgb="FF1155CC"/>
        <sz val="11.0"/>
        <u/>
      </rPr>
      <t>Williamstown</t>
    </r>
  </si>
  <si>
    <t>26187-8086</t>
  </si>
  <si>
    <r>
      <rPr>
        <rFont val="Montserrat"/>
        <color rgb="FF1155CC"/>
        <sz val="11.0"/>
        <u/>
      </rPr>
      <t>Winfield</t>
    </r>
  </si>
  <si>
    <t>25213-9552</t>
  </si>
  <si>
    <r>
      <rPr>
        <rFont val="Montserrat"/>
        <color rgb="FF1155CC"/>
        <sz val="11.0"/>
        <u/>
      </rPr>
      <t>Winfield</t>
    </r>
  </si>
  <si>
    <r>
      <rPr>
        <rFont val="Montserrat"/>
        <color rgb="FF1155CC"/>
        <sz val="11.0"/>
        <u/>
      </rPr>
      <t>Worthington</t>
    </r>
  </si>
  <si>
    <r>
      <rPr>
        <rFont val="Montserrat"/>
        <color rgb="FF1155CC"/>
        <sz val="11.0"/>
        <u/>
      </rPr>
      <t>Yawkey</t>
    </r>
  </si>
  <si>
    <t>3 Harman Plz</t>
  </si>
  <si>
    <r>
      <rPr>
        <rFont val="Montserrat"/>
        <color rgb="FF1155CC"/>
        <sz val="11.0"/>
        <u/>
      </rPr>
      <t>Grafton</t>
    </r>
  </si>
  <si>
    <t>25573-9732</t>
  </si>
  <si>
    <t>GUMP IGA (V4602)</t>
  </si>
  <si>
    <t>20 Valley Falls Rd</t>
  </si>
  <si>
    <r>
      <rPr>
        <rFont val="Montserrat"/>
        <color rgb="FF1155CC"/>
        <sz val="11.0"/>
        <u/>
      </rPr>
      <t>Grafton</t>
    </r>
  </si>
  <si>
    <t>4968 Potomac Highlands Trail</t>
  </si>
  <si>
    <r>
      <rPr>
        <rFont val="Montserrat"/>
        <color rgb="FF1155CC"/>
        <sz val="11.0"/>
        <u/>
      </rPr>
      <t>Green Bank</t>
    </r>
  </si>
  <si>
    <t>PAR MAR STORE #50 (V3805)</t>
  </si>
  <si>
    <t>7350 Lynn Ave</t>
  </si>
  <si>
    <r>
      <rPr>
        <rFont val="Montserrat"/>
        <color rgb="FF1155CC"/>
        <sz val="11.0"/>
        <u/>
      </rPr>
      <t>Hamlin</t>
    </r>
  </si>
  <si>
    <t>8315 Court Ave</t>
  </si>
  <si>
    <r>
      <rPr>
        <rFont val="Montserrat"/>
        <color rgb="FF1155CC"/>
        <sz val="11.0"/>
        <u/>
      </rPr>
      <t>Hamlin</t>
    </r>
  </si>
  <si>
    <t>22418 Allegheny Hwy</t>
  </si>
  <si>
    <r>
      <rPr>
        <rFont val="Montserrat"/>
        <color rgb="FF1155CC"/>
        <sz val="11.0"/>
        <u/>
      </rPr>
      <t>Harman</t>
    </r>
  </si>
  <si>
    <t>Category</t>
  </si>
  <si>
    <t>Field</t>
  </si>
  <si>
    <t>What It Measures</t>
  </si>
  <si>
    <t>Why It Matters for DG Pilot</t>
  </si>
  <si>
    <t>Preferred Source</t>
  </si>
  <si>
    <t>Status</t>
  </si>
  <si>
    <t>DG Store</t>
  </si>
  <si>
    <t>Unique Dollar General location identifier</t>
  </si>
  <si>
    <t>Lets WIC/DG discuss exact pilot stores</t>
  </si>
  <si>
    <t>Dollar General</t>
  </si>
  <si>
    <t>Need</t>
  </si>
  <si>
    <t>Dollar General vs DG Market/expanded format</t>
  </si>
  <si>
    <t>Helps assess grocery assortment and pilot readiness</t>
  </si>
  <si>
    <t>Whether store carries fresh produce/expanded perishables</t>
  </si>
  <si>
    <t>Proxy for food assortment and WIC stocking feasibility</t>
  </si>
  <si>
    <t>Dollar General store directory / DG</t>
  </si>
  <si>
    <t>Geography</t>
  </si>
  <si>
    <t>DG ZIP / County / WIC Region</t>
  </si>
  <si>
    <t>Store location aligned to WIC geography</t>
  </si>
  <si>
    <t>Allows joins to WIC participation and community need</t>
  </si>
  <si>
    <t>DG + WV WIC</t>
  </si>
  <si>
    <t>Rural Classification</t>
  </si>
  <si>
    <t>Rural/urban status of store/community</t>
  </si>
  <si>
    <t>Pilot is focused on rural retail access gaps</t>
  </si>
  <si>
    <t>USDA/RUCA/Census</t>
  </si>
  <si>
    <t>WIC Demand</t>
  </si>
  <si>
    <t>Current WIC families living in ZIP</t>
  </si>
  <si>
    <t>Shows existing customers with benefits to spend</t>
  </si>
  <si>
    <t>WV WIC internal data</t>
  </si>
  <si>
    <t>Have</t>
  </si>
  <si>
    <t>Current participant count</t>
  </si>
  <si>
    <t>Primary measure of current WIC demand</t>
  </si>
  <si>
    <t>Partial/Need</t>
  </si>
  <si>
    <t>Estimated eligible population</t>
  </si>
  <si>
    <t>Shows total potential WIC need</t>
  </si>
  <si>
    <t>WV Map Project</t>
  </si>
  <si>
    <t>Active participation relative to estimated eligibility</t>
  </si>
  <si>
    <t>Helps identify participation gaps</t>
  </si>
  <si>
    <t>Young child population</t>
  </si>
  <si>
    <t>Core WIC-eligible demographic indicator</t>
  </si>
  <si>
    <t>Recent births in ZIP/community</t>
  </si>
  <si>
    <t>Indicator of future/current maternal-infant demand</t>
  </si>
  <si>
    <t>County Data</t>
  </si>
  <si>
    <t>Population under WIC income threshold proxy</t>
  </si>
  <si>
    <t>Measures economic need</t>
  </si>
  <si>
    <t>Local income context</t>
  </si>
  <si>
    <t>Adds socioeconomic vulnerability context</t>
  </si>
  <si>
    <t>Benefit Use</t>
  </si>
  <si>
    <t>Benefits Issued $ - 12 Mo</t>
  </si>
  <si>
    <t>Dollar value of WIC food benefits issued</t>
  </si>
  <si>
    <t>Quantifies purchasing opportunity</t>
  </si>
  <si>
    <t>WV WIC benefit report</t>
  </si>
  <si>
    <t>User finding</t>
  </si>
  <si>
    <t>Benefits Redeemed $ - 12 Mo</t>
  </si>
  <si>
    <t>Dollar value actually redeemed</t>
  </si>
  <si>
    <t>Shows current utilization and potential lost purchasing power</t>
  </si>
  <si>
    <t>Benefit Redemption %</t>
  </si>
  <si>
    <t>Redeemed divided by issued</t>
  </si>
  <si>
    <t>Potential indicator of benefit-use barriers</t>
  </si>
  <si>
    <t>Calculated</t>
  </si>
  <si>
    <t>Formula</t>
  </si>
  <si>
    <t>Current WIC Vendors Within 5 Mi</t>
  </si>
  <si>
    <t>Authorized vendors close to community</t>
  </si>
  <si>
    <t>Identifies severe local access gaps</t>
  </si>
  <si>
    <t>WV WIC vendor list + geocoding</t>
  </si>
  <si>
    <t>Authorized vendors within USDA rural convenience threshold</t>
  </si>
  <si>
    <t>Core pilot-access measure</t>
  </si>
  <si>
    <t>WV WIC vendor list + routing</t>
  </si>
  <si>
    <t>Driving distance to nearest current WIC vendor</t>
  </si>
  <si>
    <t>Quantifies current shopping burden</t>
  </si>
  <si>
    <t>Routing analysis</t>
  </si>
  <si>
    <t>Driving distance to proposed DG</t>
  </si>
  <si>
    <t>Shows accessibility of proposed pilot store</t>
  </si>
  <si>
    <t>Nearest WIC vendor miles minus DG miles</t>
  </si>
  <si>
    <t>Simple, persuasive measure of access improvement</t>
  </si>
  <si>
    <t>Whether nearest WIC retailer is &gt;10 driving miles away</t>
  </si>
  <si>
    <t>Uses a defensible rural access benchmark</t>
  </si>
  <si>
    <t>Calculated from distance</t>
  </si>
  <si>
    <t>Whether community lacks another practical grocery option</t>
  </si>
  <si>
    <t>Identifies locations where DG could uniquely solve the problem</t>
  </si>
  <si>
    <t>Retail/business research</t>
  </si>
  <si>
    <t>Distance to nearest full-service grocery store</t>
  </si>
  <si>
    <t>Measures broader food-shopping isolation</t>
  </si>
  <si>
    <t>DG Feasibility</t>
  </si>
  <si>
    <t>Store's SNAP authorization status</t>
  </si>
  <si>
    <t>WV WIC vendor prerequisite consideration</t>
  </si>
  <si>
    <t>USDA SNAP retailer data / DG</t>
  </si>
  <si>
    <t>Whether store can meet WV minimum stock requirements</t>
  </si>
  <si>
    <t>Determines operational feasibility</t>
  </si>
  <si>
    <t>WV WIC + DG inventory crosswalk</t>
  </si>
  <si>
    <t>45 Amanda Ct</t>
  </si>
  <si>
    <t>Whether DG POS can support WV eWIC</t>
  </si>
  <si>
    <r>
      <rPr>
        <rFont val="Montserrat"/>
        <color rgb="FF1155CC"/>
        <sz val="11.0"/>
        <u/>
      </rPr>
      <t>Harpers Ferry</t>
    </r>
  </si>
  <si>
    <t>Major corporate implementation requirement</t>
  </si>
  <si>
    <t>DG corporate + WV WIC</t>
  </si>
  <si>
    <t>Ability to stock required infant formula appropriately</t>
  </si>
  <si>
    <t>Potential critical stocking barrier</t>
  </si>
  <si>
    <t>Scoring</t>
  </si>
  <si>
    <t>0-100 normalized measure of active WIC demand</t>
  </si>
  <si>
    <t>30% of proposed pilot score</t>
  </si>
  <si>
    <t>Planned</t>
  </si>
  <si>
    <t>0-100 measure of poor existing access and travel savings</t>
  </si>
  <si>
    <t>Largest score component at 40%</t>
  </si>
  <si>
    <t>0-100 poverty/demographic vulnerability measure</t>
  </si>
  <si>
    <t>20% of proposed pilot score</t>
  </si>
  <si>
    <t>0-100 operational readiness measure</t>
  </si>
  <si>
    <t>10% of proposed pilot score</t>
  </si>
  <si>
    <t>Overall Pilot Priority Score</t>
  </si>
  <si>
    <t>Weighted composite score</t>
  </si>
  <si>
    <t>Ranks the best stores for a targeted pilot</t>
  </si>
  <si>
    <t xml:space="preserve">rurality </t>
  </si>
  <si>
    <t>remoteness</t>
  </si>
  <si>
    <t>Distance to nearest WIC Retailer</t>
  </si>
  <si>
    <t xml:space="preserve">actual WIC retail access </t>
  </si>
  <si>
    <t>1601 E Main St</t>
  </si>
  <si>
    <r>
      <rPr>
        <rFont val="Montserrat"/>
        <color rgb="FF1155CC"/>
        <sz val="11.0"/>
        <u/>
      </rPr>
      <t>Harrisville</t>
    </r>
  </si>
  <si>
    <t>HARRISVILLE SHOP N SAVE EXPRESS (V4310)</t>
  </si>
  <si>
    <t>1088 Mcclellan Hwy</t>
  </si>
  <si>
    <r>
      <rPr>
        <rFont val="Montserrat"/>
        <color rgb="FF1155CC"/>
        <sz val="11.0"/>
        <u/>
      </rPr>
      <t>Harts</t>
    </r>
  </si>
  <si>
    <t>9122 Hedgesville Rd</t>
  </si>
  <si>
    <r>
      <rPr>
        <rFont val="Montserrat"/>
        <color rgb="FF1155CC"/>
        <sz val="11.0"/>
        <u/>
      </rPr>
      <t>Hedgesville</t>
    </r>
  </si>
  <si>
    <t>MARTINS FOOD MARKET 6557 (V0223)</t>
  </si>
  <si>
    <t>3790 Hedgesville Rd Ste T</t>
  </si>
  <si>
    <r>
      <rPr>
        <rFont val="Montserrat"/>
        <color rgb="FF1155CC"/>
        <sz val="11.0"/>
        <u/>
      </rPr>
      <t>Hedgesville</t>
    </r>
  </si>
  <si>
    <t>RUCA Classification:</t>
  </si>
  <si>
    <t xml:space="preserve">RUCA link: </t>
  </si>
  <si>
    <t>Rurality Score:</t>
  </si>
  <si>
    <t>Urban/Metro = 0</t>
  </si>
  <si>
    <t>Large Rural/Micropolitan = 1</t>
  </si>
  <si>
    <t>Small Rural/Small Town = 2</t>
  </si>
  <si>
    <t>Isolated Rural = 3</t>
  </si>
  <si>
    <t>Item</t>
  </si>
  <si>
    <t>Working Definition / Decision</t>
  </si>
  <si>
    <t>Primary question</t>
  </si>
  <si>
    <t>Which WV Dollar General locations could most meaningfully improve access to WIC-authorized food purchasing for rural participants who currently lack convenient shopping options?</t>
  </si>
  <si>
    <t>Pilot philosophy</t>
  </si>
  <si>
    <t>Start with a small number of high-impact rural stores, evaluate results, then consider expansion.</t>
  </si>
  <si>
    <t>Primary outcome</t>
  </si>
  <si>
    <t>Number of active WIC families/participants gaining a substantially closer authorized retailer.</t>
  </si>
  <si>
    <t>Key access benchmark</t>
  </si>
  <si>
    <t>Flag rural communities where the nearest current WIC retailer is more than 10 driving miles away.</t>
  </si>
  <si>
    <t>Key DG metric</t>
  </si>
  <si>
    <t>Potential Miles Saved = current nearest WIC vendor distance minus distance to proposed DG.</t>
  </si>
  <si>
    <t>Business case for DG</t>
  </si>
  <si>
    <t>Pair community impact with annual WIC benefits issued/redeemed in the proposed pilot footprint.</t>
  </si>
  <si>
    <t>Evaluation concept</t>
  </si>
  <si>
    <t>Compare redemption/utilization and access metrics before and after pilot authorization where feasible.</t>
  </si>
  <si>
    <t>Important caution</t>
  </si>
  <si>
    <t>Retail access may be associated with redemption/participation, but observational data alone should not be described as proving causation.</t>
  </si>
  <si>
    <t>5339 Hedgesville Rd</t>
  </si>
  <si>
    <r>
      <rPr>
        <rFont val="Montserrat"/>
        <color rgb="FF1155CC"/>
        <sz val="11.0"/>
        <u/>
      </rPr>
      <t>Hedgesville</t>
    </r>
  </si>
  <si>
    <t>7958 Seneca Trail</t>
  </si>
  <si>
    <r>
      <rPr>
        <rFont val="Montserrat"/>
        <color rgb="FF1155CC"/>
        <sz val="11.0"/>
        <u/>
      </rPr>
      <t>Hillsboro</t>
    </r>
  </si>
  <si>
    <t>237 Main St</t>
  </si>
  <si>
    <r>
      <rPr>
        <rFont val="Montserrat"/>
        <color rgb="FF1155CC"/>
        <sz val="11.0"/>
        <u/>
      </rPr>
      <t>Hinton</t>
    </r>
  </si>
  <si>
    <t>SAVE A LOT # 107 (V4502)</t>
  </si>
  <si>
    <t>1089 St Rt 3 and 12</t>
  </si>
  <si>
    <r>
      <rPr>
        <rFont val="Montserrat"/>
        <color rgb="FF1155CC"/>
        <sz val="11.0"/>
        <u/>
      </rPr>
      <t>Hinton</t>
    </r>
  </si>
  <si>
    <t>4514 Waverly Rd</t>
  </si>
  <si>
    <r>
      <rPr>
        <rFont val="Montserrat"/>
        <color rgb="FF1155CC"/>
        <sz val="11.0"/>
        <u/>
      </rPr>
      <t>Huntington</t>
    </r>
  </si>
  <si>
    <t>KROGER COMPANY 792 (V0621)</t>
  </si>
  <si>
    <t>318 Norway Ave</t>
  </si>
  <si>
    <r>
      <rPr>
        <rFont val="Montserrat"/>
        <color rgb="FF1155CC"/>
        <sz val="11.0"/>
        <u/>
      </rPr>
      <t>Huntington</t>
    </r>
  </si>
  <si>
    <t>OLIVE STREET MARKET (V0619)</t>
  </si>
  <si>
    <t>2725 5th Ave</t>
  </si>
  <si>
    <r>
      <rPr>
        <rFont val="Montserrat"/>
        <color rgb="FF1155CC"/>
        <sz val="11.0"/>
        <u/>
      </rPr>
      <t>Huntington</t>
    </r>
  </si>
  <si>
    <t>4341 US Rt 60</t>
  </si>
  <si>
    <r>
      <rPr>
        <rFont val="Montserrat"/>
        <color rgb="FF1155CC"/>
        <sz val="11.0"/>
        <u/>
      </rPr>
      <t>Huntington</t>
    </r>
  </si>
  <si>
    <t xml:space="preserve">111 4th Ave </t>
  </si>
  <si>
    <r>
      <rPr>
        <rFont val="Montserrat"/>
        <color rgb="FF1155CC"/>
        <sz val="11.0"/>
        <u/>
      </rPr>
      <t>Huntington</t>
    </r>
  </si>
  <si>
    <t>KROGER COMPANY 782 (V0606)</t>
  </si>
  <si>
    <t>831 14th St W</t>
  </si>
  <si>
    <r>
      <rPr>
        <rFont val="Montserrat"/>
        <color rgb="FF1155CC"/>
        <sz val="11.0"/>
        <u/>
      </rPr>
      <t>Huntington</t>
    </r>
  </si>
  <si>
    <t>SAVE A LOT # 111 (V5047)</t>
  </si>
  <si>
    <t>2908 Spring Valley Dr</t>
  </si>
  <si>
    <r>
      <rPr>
        <rFont val="Montserrat"/>
        <color rgb="FF1155CC"/>
        <sz val="11.0"/>
        <u/>
      </rPr>
      <t>Huntington</t>
    </r>
  </si>
  <si>
    <t>73 Pointe Pl</t>
  </si>
  <si>
    <r>
      <rPr>
        <rFont val="Montserrat"/>
        <color rgb="FF1155CC"/>
        <sz val="11.0"/>
        <u/>
      </rPr>
      <t>Hurricane</t>
    </r>
  </si>
  <si>
    <t>3554 Teays Valley Rd #110</t>
  </si>
  <si>
    <r>
      <rPr>
        <rFont val="Montserrat"/>
        <color rgb="FF1155CC"/>
        <sz val="11.0"/>
        <u/>
      </rPr>
      <t>Hurricane</t>
    </r>
  </si>
  <si>
    <t>389 Putnam Village Dr</t>
  </si>
  <si>
    <r>
      <rPr>
        <rFont val="Montserrat"/>
        <color rgb="FF1155CC"/>
        <sz val="11.0"/>
        <u/>
      </rPr>
      <t>Hurricane</t>
    </r>
  </si>
  <si>
    <t>5351 Coal Heritage Rd</t>
  </si>
  <si>
    <r>
      <rPr>
        <rFont val="Montserrat"/>
        <color rgb="FF1155CC"/>
        <sz val="11.0"/>
        <u/>
      </rPr>
      <t>Iaeger</t>
    </r>
  </si>
  <si>
    <t>SAVE A LOT # 106 (V2443)</t>
  </si>
  <si>
    <t>526 Middleway Pike</t>
  </si>
  <si>
    <r>
      <rPr>
        <rFont val="Montserrat"/>
        <color rgb="FF1155CC"/>
        <sz val="11.0"/>
        <u/>
      </rPr>
      <t>Inwood</t>
    </r>
  </si>
  <si>
    <t>MARTINS FOOD MARKET 6107 (V0201)</t>
  </si>
  <si>
    <t>49 Court St</t>
  </si>
  <si>
    <r>
      <rPr>
        <rFont val="Montserrat"/>
        <color rgb="FF1155CC"/>
        <sz val="11.0"/>
        <u/>
      </rPr>
      <t>Jane Lew</t>
    </r>
  </si>
  <si>
    <t>WALMART SUPERCENTER 2809 (V4914)</t>
  </si>
  <si>
    <t>4735 Middleway Pike</t>
  </si>
  <si>
    <r>
      <rPr>
        <rFont val="Montserrat"/>
        <color rgb="FF1155CC"/>
        <sz val="11.0"/>
        <u/>
      </rPr>
      <t>Kearneysville</t>
    </r>
  </si>
  <si>
    <t>2941 Charles Town Rd</t>
  </si>
  <si>
    <r>
      <rPr>
        <rFont val="Montserrat"/>
        <color rgb="FF1155CC"/>
        <sz val="11.0"/>
        <u/>
      </rPr>
      <t>Kearneysville</t>
    </r>
  </si>
  <si>
    <t>1313 Oak St</t>
  </si>
  <si>
    <r>
      <rPr>
        <rFont val="Montserrat"/>
        <color rgb="FF1155CC"/>
        <sz val="11.0"/>
        <u/>
      </rPr>
      <t>Kenova</t>
    </r>
  </si>
  <si>
    <t>AIG GROCERY OF KENOVA (V5036)</t>
  </si>
  <si>
    <t>East Gate S/C Rte 52</t>
  </si>
  <si>
    <r>
      <rPr>
        <rFont val="Montserrat"/>
        <color rgb="FF1155CC"/>
        <sz val="11.0"/>
        <u/>
      </rPr>
      <t>Kermit</t>
    </r>
  </si>
  <si>
    <t xml:space="preserve">401 New Creek Hwy </t>
  </si>
  <si>
    <r>
      <rPr>
        <rFont val="Montserrat"/>
        <color rgb="FF1155CC"/>
        <sz val="11.0"/>
        <u/>
      </rPr>
      <t>Keyser</t>
    </r>
  </si>
  <si>
    <t>SAVE A LOT #30176 (V3302)</t>
  </si>
  <si>
    <t>11991 Fort Ashby Rd</t>
  </si>
  <si>
    <r>
      <rPr>
        <rFont val="Montserrat"/>
        <color rgb="FF1155CC"/>
        <sz val="11.0"/>
        <u/>
      </rPr>
      <t>Keyser</t>
    </r>
  </si>
  <si>
    <t>200 E Main St</t>
  </si>
  <si>
    <r>
      <rPr>
        <rFont val="Montserrat"/>
        <color rgb="FF1155CC"/>
        <sz val="11.0"/>
        <u/>
      </rPr>
      <t>Kingwood</t>
    </r>
  </si>
  <si>
    <t>4757 State Rt 152 #1</t>
  </si>
  <si>
    <r>
      <rPr>
        <rFont val="Montserrat"/>
        <color rgb="FF1155CC"/>
        <sz val="11.0"/>
        <u/>
      </rPr>
      <t>Lavalette</t>
    </r>
  </si>
  <si>
    <t>27115 Charleston Rd</t>
  </si>
  <si>
    <r>
      <rPr>
        <rFont val="Montserrat"/>
        <color rgb="FF1155CC"/>
        <sz val="11.0"/>
        <u/>
      </rPr>
      <t>Leon</t>
    </r>
  </si>
  <si>
    <t>6885 Hinton Rd</t>
  </si>
  <si>
    <r>
      <rPr>
        <rFont val="Montserrat"/>
        <color rgb="FF1155CC"/>
        <sz val="11.0"/>
        <u/>
      </rPr>
      <t>Lerona</t>
    </r>
  </si>
  <si>
    <t>6305 Ohio River Rd</t>
  </si>
  <si>
    <r>
      <rPr>
        <rFont val="Montserrat"/>
        <color rgb="FF1155CC"/>
        <sz val="11.0"/>
        <u/>
      </rPr>
      <t>Lesage</t>
    </r>
  </si>
  <si>
    <t>1838 Lester Hwy</t>
  </si>
  <si>
    <r>
      <rPr>
        <rFont val="Montserrat"/>
        <color rgb="FF1155CC"/>
        <sz val="11.0"/>
        <u/>
      </rPr>
      <t>Lester</t>
    </r>
  </si>
  <si>
    <t>RICKS SUPERMARKET (V4109)</t>
  </si>
  <si>
    <t>3492 Jefferson St N</t>
  </si>
  <si>
    <r>
      <rPr>
        <rFont val="Montserrat"/>
        <color rgb="FF1155CC"/>
        <sz val="11.0"/>
        <u/>
      </rPr>
      <t>Lewisburg</t>
    </r>
  </si>
  <si>
    <t>8348 Seneca Trl S</t>
  </si>
  <si>
    <r>
      <rPr>
        <rFont val="Montserrat"/>
        <color rgb="FF1155CC"/>
        <sz val="11.0"/>
        <u/>
      </rPr>
      <t>Lindside</t>
    </r>
  </si>
  <si>
    <t>115-119 Stratton St</t>
  </si>
  <si>
    <r>
      <rPr>
        <rFont val="Montserrat"/>
        <color rgb="FF1155CC"/>
        <sz val="11.0"/>
        <u/>
      </rPr>
      <t>Logan</t>
    </r>
  </si>
  <si>
    <t>20 Zickafoose Rd</t>
  </si>
  <si>
    <r>
      <rPr>
        <rFont val="Montserrat"/>
        <color rgb="FF1155CC"/>
        <sz val="11.0"/>
        <u/>
      </rPr>
      <t>Lookout</t>
    </r>
  </si>
  <si>
    <t>466 N Streetcar Way</t>
  </si>
  <si>
    <r>
      <rPr>
        <rFont val="Montserrat"/>
        <color rgb="FF1155CC"/>
        <sz val="11.0"/>
        <u/>
      </rPr>
      <t>Lost Creek</t>
    </r>
  </si>
  <si>
    <t>421 Main St</t>
  </si>
  <si>
    <r>
      <rPr>
        <rFont val="Montserrat"/>
        <color rgb="FF1155CC"/>
        <sz val="11.0"/>
        <u/>
      </rPr>
      <t>Madison</t>
    </r>
  </si>
  <si>
    <t>80 Huffcreek Hwy</t>
  </si>
  <si>
    <r>
      <rPr>
        <rFont val="Montserrat"/>
        <color rgb="FF1155CC"/>
        <sz val="11.0"/>
        <u/>
      </rPr>
      <t>Man</t>
    </r>
  </si>
  <si>
    <t>920 E Main St</t>
  </si>
  <si>
    <r>
      <rPr>
        <rFont val="Montserrat"/>
        <color rgb="FF1155CC"/>
        <sz val="11.0"/>
        <u/>
      </rPr>
      <t>Mannington</t>
    </r>
  </si>
  <si>
    <t>18914 Seneca Trail</t>
  </si>
  <si>
    <r>
      <rPr>
        <rFont val="Montserrat"/>
        <color rgb="FF1155CC"/>
        <sz val="11.0"/>
        <u/>
      </rPr>
      <t>Marlinton</t>
    </r>
  </si>
  <si>
    <t>9106 Maccorkle Ave</t>
  </si>
  <si>
    <r>
      <rPr>
        <rFont val="Montserrat"/>
        <color rgb="FF1155CC"/>
        <sz val="11.0"/>
        <u/>
      </rPr>
      <t>Marmet</t>
    </r>
  </si>
  <si>
    <t>2185 Winchester Ave</t>
  </si>
  <si>
    <r>
      <rPr>
        <rFont val="Montserrat"/>
        <color rgb="FF1155CC"/>
        <sz val="11.0"/>
        <u/>
      </rPr>
      <t>Martinsburg</t>
    </r>
  </si>
  <si>
    <t>129 Eagle School Rd</t>
  </si>
  <si>
    <r>
      <rPr>
        <rFont val="Montserrat"/>
        <color rgb="FF1155CC"/>
        <sz val="11.0"/>
        <u/>
      </rPr>
      <t>Martinsburg</t>
    </r>
  </si>
  <si>
    <t>MARTINSBURG SAVE A LOT (V0222)</t>
  </si>
  <si>
    <t>3251 Eagle School Rd</t>
  </si>
  <si>
    <r>
      <rPr>
        <rFont val="Montserrat"/>
        <color rgb="FF1155CC"/>
        <sz val="11.0"/>
        <u/>
      </rPr>
      <t>Martinsburg</t>
    </r>
  </si>
  <si>
    <t>5611 Winchester Ave</t>
  </si>
  <si>
    <r>
      <rPr>
        <rFont val="Montserrat"/>
        <color rgb="FF1155CC"/>
        <sz val="11.0"/>
        <u/>
      </rPr>
      <t>Martinsburg</t>
    </r>
  </si>
  <si>
    <t>575 Adamsville Rd</t>
  </si>
  <si>
    <r>
      <rPr>
        <rFont val="Montserrat"/>
        <color rgb="FF1155CC"/>
        <sz val="11.0"/>
        <u/>
      </rPr>
      <t>Mason</t>
    </r>
  </si>
  <si>
    <t>1136 Route 49</t>
  </si>
  <si>
    <r>
      <rPr>
        <rFont val="Montserrat"/>
        <color rgb="FF1155CC"/>
        <sz val="11.0"/>
        <u/>
      </rPr>
      <t>Matewan</t>
    </r>
  </si>
  <si>
    <t>1003 W Baltimore St</t>
  </si>
  <si>
    <r>
      <rPr>
        <rFont val="Montserrat"/>
        <color rgb="FF1155CC"/>
        <sz val="11.0"/>
        <u/>
      </rPr>
      <t>Mcmechen</t>
    </r>
  </si>
  <si>
    <t>WALMART SUPERCENTER 2852 (V2616)</t>
  </si>
  <si>
    <t>8845 Sewell Creek Rd</t>
  </si>
  <si>
    <r>
      <rPr>
        <rFont val="Montserrat"/>
        <color rgb="FF1155CC"/>
        <sz val="11.0"/>
        <u/>
      </rPr>
      <t>Meadow Bridge</t>
    </r>
  </si>
  <si>
    <t>5014 Cabin Creek Rd</t>
  </si>
  <si>
    <r>
      <rPr>
        <rFont val="Montserrat"/>
        <color rgb="FF1155CC"/>
        <sz val="11.0"/>
        <u/>
      </rPr>
      <t>Miami</t>
    </r>
  </si>
  <si>
    <t>123 Main St</t>
  </si>
  <si>
    <r>
      <rPr>
        <rFont val="Montserrat"/>
        <color rgb="FF1155CC"/>
        <sz val="11.0"/>
        <u/>
      </rPr>
      <t>Middlebourne</t>
    </r>
  </si>
  <si>
    <t>MIDDLEBOURNE GALAXY FOOD CENTER (V4803)</t>
  </si>
  <si>
    <t>10008 Seneca Trail</t>
  </si>
  <si>
    <r>
      <rPr>
        <rFont val="Montserrat"/>
        <color rgb="FF1155CC"/>
        <sz val="11.0"/>
        <u/>
      </rPr>
      <t>Mill Creek</t>
    </r>
  </si>
  <si>
    <t>9341 Point Pleasant Rd</t>
  </si>
  <si>
    <r>
      <rPr>
        <rFont val="Montserrat"/>
        <color rgb="FF1155CC"/>
        <sz val="11.0"/>
        <u/>
      </rPr>
      <t>Millwood</t>
    </r>
  </si>
  <si>
    <t>RAVENSWOOD FOODFAIR (V1811)</t>
  </si>
  <si>
    <t>1010 S Main St</t>
  </si>
  <si>
    <r>
      <rPr>
        <rFont val="Montserrat"/>
        <color rgb="FF1155CC"/>
        <sz val="11.0"/>
        <u/>
      </rPr>
      <t>Milton</t>
    </r>
  </si>
  <si>
    <t>1534 Elizabeth Pike</t>
  </si>
  <si>
    <r>
      <rPr>
        <rFont val="Montserrat"/>
        <color rgb="FF1155CC"/>
        <sz val="11.0"/>
        <u/>
      </rPr>
      <t>Mineral Wells</t>
    </r>
  </si>
  <si>
    <t>WALMART SUPERCENTER 2823 (V5402)</t>
  </si>
  <si>
    <t>1320 Fayette Pike W</t>
  </si>
  <si>
    <r>
      <rPr>
        <rFont val="Montserrat"/>
        <color rgb="FF1155CC"/>
        <sz val="11.0"/>
        <u/>
      </rPr>
      <t>Montgomery</t>
    </r>
  </si>
  <si>
    <t>SUPER DOLLAR STORE INC (V1036)</t>
  </si>
  <si>
    <t>741d N Main St</t>
  </si>
  <si>
    <r>
      <rPr>
        <rFont val="Montserrat"/>
        <color rgb="FF1155CC"/>
        <sz val="11.0"/>
        <u/>
      </rPr>
      <t>Moorefield</t>
    </r>
  </si>
  <si>
    <t>MOOREFIELD SHOP N SAVE EXPRESS (V1605)</t>
  </si>
  <si>
    <t>2201 Cheat Rd</t>
  </si>
  <si>
    <r>
      <rPr>
        <rFont val="Montserrat"/>
        <color rgb="FF1155CC"/>
        <sz val="11.0"/>
        <u/>
      </rPr>
      <t>Morgantown</t>
    </r>
  </si>
  <si>
    <t>CHEAT LAKE PRICE CUTTER (V3111)</t>
  </si>
  <si>
    <t>3787 Earl L Core Rd</t>
  </si>
  <si>
    <r>
      <rPr>
        <rFont val="Montserrat"/>
        <color rgb="FF1155CC"/>
        <sz val="11.0"/>
        <u/>
      </rPr>
      <t>Morgantown</t>
    </r>
  </si>
  <si>
    <t>KROGER COMPANY 755 (V3101)</t>
  </si>
  <si>
    <t xml:space="preserve">1803 Earl L Core Rd </t>
  </si>
  <si>
    <r>
      <rPr>
        <rFont val="Montserrat"/>
        <color rgb="FF1155CC"/>
        <sz val="11.0"/>
        <u/>
      </rPr>
      <t>Morgantown</t>
    </r>
  </si>
  <si>
    <t>3034 Grafton Rd</t>
  </si>
  <si>
    <r>
      <rPr>
        <rFont val="Montserrat"/>
        <color rgb="FF1155CC"/>
        <sz val="11.0"/>
        <u/>
      </rPr>
      <t>Morgantown</t>
    </r>
  </si>
  <si>
    <t>REEDSVILLE SHOP N SAVE EXPRESS (V3912)</t>
  </si>
  <si>
    <t xml:space="preserve">228 High St </t>
  </si>
  <si>
    <r>
      <rPr>
        <rFont val="Montserrat"/>
        <color rgb="FF1155CC"/>
        <sz val="11.0"/>
        <u/>
      </rPr>
      <t>Morgantown</t>
    </r>
  </si>
  <si>
    <t>GIANT #59 (V3103)</t>
  </si>
  <si>
    <t>1345 1st St</t>
  </si>
  <si>
    <r>
      <rPr>
        <rFont val="Montserrat"/>
        <color rgb="FF1155CC"/>
        <sz val="11.0"/>
        <u/>
      </rPr>
      <t>Moundsville</t>
    </r>
  </si>
  <si>
    <t>4503 Buckhannon Pike</t>
  </si>
  <si>
    <r>
      <rPr>
        <rFont val="Montserrat"/>
        <color rgb="FF1155CC"/>
        <sz val="11.0"/>
        <u/>
      </rPr>
      <t>Mount Clare</t>
    </r>
  </si>
  <si>
    <t>WALMART SUPERCENTER 1544 (V1715)</t>
  </si>
  <si>
    <t>1830 Legends Hwy</t>
  </si>
  <si>
    <r>
      <rPr>
        <rFont val="Montserrat"/>
        <color rgb="FF1155CC"/>
        <sz val="11.0"/>
        <u/>
      </rPr>
      <t>Mount Hope</t>
    </r>
  </si>
  <si>
    <t>5975 Robert C Byrd Drive</t>
  </si>
  <si>
    <r>
      <rPr>
        <rFont val="Montserrat"/>
        <color rgb="FF1155CC"/>
        <sz val="11.0"/>
        <u/>
      </rPr>
      <t>Mount Lookout</t>
    </r>
  </si>
  <si>
    <t>62 Riviera Road</t>
  </si>
  <si>
    <r>
      <rPr>
        <rFont val="Montserrat"/>
        <color rgb="FF1155CC"/>
        <sz val="11.0"/>
        <u/>
      </rPr>
      <t>Mount Nebo</t>
    </r>
  </si>
  <si>
    <t>SAVE A LOT # 247 (V3421)</t>
  </si>
  <si>
    <t>16524 George Washington Hwy</t>
  </si>
  <si>
    <r>
      <rPr>
        <rFont val="Montserrat"/>
        <color rgb="FF1155CC"/>
        <sz val="11.0"/>
        <u/>
      </rPr>
      <t>Mount Storm</t>
    </r>
  </si>
  <si>
    <t>211 Howard Ave</t>
  </si>
  <si>
    <r>
      <rPr>
        <rFont val="Montserrat"/>
        <color rgb="FF1155CC"/>
        <sz val="11.0"/>
        <u/>
      </rPr>
      <t>Mullens</t>
    </r>
  </si>
  <si>
    <t>CORNERSTONE IGA 3 (V5523)</t>
  </si>
  <si>
    <t>11435 Canvas Nettie Rd</t>
  </si>
  <si>
    <r>
      <rPr>
        <rFont val="Montserrat"/>
        <color rgb="FF1155CC"/>
        <sz val="11.0"/>
        <u/>
      </rPr>
      <t>Nettie</t>
    </r>
  </si>
  <si>
    <t>704 Ridge Ave</t>
  </si>
  <si>
    <r>
      <rPr>
        <rFont val="Montserrat"/>
        <color rgb="FF1155CC"/>
        <sz val="11.0"/>
        <u/>
      </rPr>
      <t>New Cumberland</t>
    </r>
  </si>
  <si>
    <t>NEW CUMBERLAND SPARKLE (V1517)</t>
  </si>
  <si>
    <t>305 5th St</t>
  </si>
  <si>
    <r>
      <rPr>
        <rFont val="Montserrat"/>
        <color rgb="FF1155CC"/>
        <sz val="11.0"/>
        <u/>
      </rPr>
      <t>New Haven</t>
    </r>
  </si>
  <si>
    <t>2745 Veterans Blvd</t>
  </si>
  <si>
    <r>
      <rPr>
        <rFont val="Montserrat"/>
        <color rgb="FF1155CC"/>
        <sz val="11.0"/>
        <u/>
      </rPr>
      <t>New Manchester</t>
    </r>
  </si>
  <si>
    <t xml:space="preserve">279 N State Rt 2 </t>
  </si>
  <si>
    <r>
      <rPr>
        <rFont val="Montserrat"/>
        <color rgb="FF1155CC"/>
        <sz val="11.0"/>
        <u/>
      </rPr>
      <t>New Martinsville</t>
    </r>
  </si>
  <si>
    <t>WALMART SUPERCENTER 2684 (V5209)</t>
  </si>
  <si>
    <t>1237 Washington St</t>
  </si>
  <si>
    <r>
      <rPr>
        <rFont val="Montserrat"/>
        <color rgb="FF1155CC"/>
        <sz val="11.0"/>
        <u/>
      </rPr>
      <t>Newell</t>
    </r>
  </si>
  <si>
    <t>6850 Beech Run Rd</t>
  </si>
  <si>
    <r>
      <rPr>
        <rFont val="Montserrat"/>
        <color rgb="FF1155CC"/>
        <sz val="11.0"/>
        <u/>
      </rPr>
      <t>Nimitz</t>
    </r>
  </si>
  <si>
    <t>422 1st Ave S</t>
  </si>
  <si>
    <r>
      <rPr>
        <rFont val="Montserrat"/>
        <color rgb="FF1155CC"/>
        <sz val="11.0"/>
        <u/>
      </rPr>
      <t>Nitro</t>
    </r>
  </si>
  <si>
    <t>KROGER COMPANY 725 (V2037)</t>
  </si>
  <si>
    <t>4104 1st Ave</t>
  </si>
  <si>
    <r>
      <rPr>
        <rFont val="Montserrat"/>
        <color rgb="FF1155CC"/>
        <sz val="11.0"/>
        <u/>
      </rPr>
      <t>Nitro</t>
    </r>
  </si>
  <si>
    <t>AIG GROCERY OF CROSS LANES, LLC (V2085)</t>
  </si>
  <si>
    <t>532 Jones Ave</t>
  </si>
  <si>
    <r>
      <rPr>
        <rFont val="Montserrat"/>
        <color rgb="FF1155CC"/>
        <sz val="11.0"/>
        <u/>
      </rPr>
      <t>Oak Hill</t>
    </r>
  </si>
  <si>
    <t>2013 E Main St</t>
  </si>
  <si>
    <r>
      <rPr>
        <rFont val="Montserrat"/>
        <color rgb="FF1155CC"/>
        <sz val="11.0"/>
        <u/>
      </rPr>
      <t>Oak Hill</t>
    </r>
  </si>
  <si>
    <t>120 Kopperston Rd</t>
  </si>
  <si>
    <r>
      <rPr>
        <rFont val="Montserrat"/>
        <color rgb="FF1155CC"/>
        <sz val="11.0"/>
        <u/>
      </rPr>
      <t>Oceana</t>
    </r>
  </si>
  <si>
    <t>#1 Wildwood Rd</t>
  </si>
  <si>
    <r>
      <rPr>
        <rFont val="Montserrat"/>
        <color rgb="FF1155CC"/>
        <sz val="11.0"/>
        <u/>
      </rPr>
      <t>Ona</t>
    </r>
  </si>
  <si>
    <t>835 7th St</t>
  </si>
  <si>
    <r>
      <rPr>
        <rFont val="Montserrat"/>
        <color rgb="FF1155CC"/>
        <sz val="11.0"/>
        <u/>
      </rPr>
      <t>Parkersburg</t>
    </r>
  </si>
  <si>
    <t>PLUM STREET PIGGLY WIGGLY (V5446)</t>
  </si>
  <si>
    <t>3344 Staunton Tpke</t>
  </si>
  <si>
    <r>
      <rPr>
        <rFont val="Montserrat"/>
        <color rgb="FF1155CC"/>
        <sz val="11.0"/>
        <u/>
      </rPr>
      <t>Parkersburg</t>
    </r>
  </si>
  <si>
    <t>30 Neal run Blvd</t>
  </si>
  <si>
    <r>
      <rPr>
        <rFont val="Montserrat"/>
        <color rgb="FF1155CC"/>
        <sz val="11.0"/>
        <u/>
      </rPr>
      <t>Parkersburg</t>
    </r>
  </si>
  <si>
    <t>2107 Pike St Ste 12</t>
  </si>
  <si>
    <r>
      <rPr>
        <rFont val="Montserrat"/>
        <color rgb="FF1155CC"/>
        <sz val="11.0"/>
        <u/>
      </rPr>
      <t>Parkersburg</t>
    </r>
  </si>
  <si>
    <t>3001 Dudley Ave</t>
  </si>
  <si>
    <r>
      <rPr>
        <rFont val="Montserrat"/>
        <color rgb="FF1155CC"/>
        <sz val="11.0"/>
        <u/>
      </rPr>
      <t>Parkersburg</t>
    </r>
  </si>
  <si>
    <t>4803 Emerson Ave</t>
  </si>
  <si>
    <r>
      <rPr>
        <rFont val="Montserrat"/>
        <color rgb="FF1155CC"/>
        <sz val="11.0"/>
        <u/>
      </rPr>
      <t>Parkersburg</t>
    </r>
  </si>
  <si>
    <t>WALMART SUPERCENTER 1782 (V5437)</t>
  </si>
  <si>
    <t>1000 E Dupont Rd</t>
  </si>
  <si>
    <r>
      <rPr>
        <rFont val="Montserrat"/>
        <color rgb="FF1155CC"/>
        <sz val="11.0"/>
        <u/>
      </rPr>
      <t>Parkersburg</t>
    </r>
  </si>
  <si>
    <t>515 1st St</t>
  </si>
  <si>
    <r>
      <rPr>
        <rFont val="Montserrat"/>
        <color rgb="FF1155CC"/>
        <sz val="11.0"/>
        <u/>
      </rPr>
      <t>Parsons</t>
    </r>
  </si>
  <si>
    <t>PARSONS SHOP N SAVE (V4701)</t>
  </si>
  <si>
    <t>273 Henry Miller Blvd</t>
  </si>
  <si>
    <r>
      <rPr>
        <rFont val="Montserrat"/>
        <color rgb="FF1155CC"/>
        <sz val="11.0"/>
        <u/>
      </rPr>
      <t>Paw Paw</t>
    </r>
  </si>
  <si>
    <t>17087 Marshall Hwy</t>
  </si>
  <si>
    <r>
      <rPr>
        <rFont val="Montserrat"/>
        <color rgb="FF1155CC"/>
        <sz val="11.0"/>
        <u/>
      </rPr>
      <t>Paynesville</t>
    </r>
  </si>
  <si>
    <t>29 Thunder Rd</t>
  </si>
  <si>
    <r>
      <rPr>
        <rFont val="Montserrat"/>
        <color rgb="FF1155CC"/>
        <sz val="11.0"/>
        <u/>
      </rPr>
      <t>Pecks Mill</t>
    </r>
  </si>
  <si>
    <t>411 W Myles Ave</t>
  </si>
  <si>
    <r>
      <rPr>
        <rFont val="Montserrat"/>
        <color rgb="FF1155CC"/>
        <sz val="11.0"/>
        <u/>
      </rPr>
      <t>Pennsboro</t>
    </r>
  </si>
  <si>
    <t>1 Park St</t>
  </si>
  <si>
    <r>
      <rPr>
        <rFont val="Montserrat"/>
        <color rgb="FF1155CC"/>
        <sz val="11.0"/>
        <u/>
      </rPr>
      <t>Petersburg</t>
    </r>
  </si>
  <si>
    <t>PETERSBURG SHOP N SAVE EXPRESS (V1203)</t>
  </si>
  <si>
    <t>4380 Ballard-Red Sulphur Pkwy</t>
  </si>
  <si>
    <r>
      <rPr>
        <rFont val="Montserrat"/>
        <color rgb="FF1155CC"/>
        <sz val="11.0"/>
        <u/>
      </rPr>
      <t>Peterstown</t>
    </r>
  </si>
  <si>
    <t>2 Swamp Ln</t>
  </si>
  <si>
    <r>
      <rPr>
        <rFont val="Montserrat"/>
        <color rgb="FF1155CC"/>
        <sz val="11.0"/>
        <u/>
      </rPr>
      <t>Philippi</t>
    </r>
  </si>
  <si>
    <t>12700 Shortline Hwy</t>
  </si>
  <si>
    <r>
      <rPr>
        <rFont val="Montserrat"/>
        <color rgb="FF1155CC"/>
        <sz val="11.0"/>
        <u/>
      </rPr>
      <t>Pine Grove</t>
    </r>
  </si>
  <si>
    <t>1399 Appalachian Hwy</t>
  </si>
  <si>
    <r>
      <rPr>
        <rFont val="Montserrat"/>
        <color rgb="FF1155CC"/>
        <sz val="11.0"/>
        <u/>
      </rPr>
      <t>Pineville</t>
    </r>
  </si>
  <si>
    <t>146 Main St</t>
  </si>
  <si>
    <r>
      <rPr>
        <rFont val="Montserrat"/>
        <color rgb="FF1155CC"/>
        <sz val="11.0"/>
        <u/>
      </rPr>
      <t>Poca</t>
    </r>
  </si>
  <si>
    <t>7809 Ripley Rd</t>
  </si>
  <si>
    <r>
      <rPr>
        <rFont val="Montserrat"/>
        <color rgb="FF1155CC"/>
        <sz val="11.0"/>
        <u/>
      </rPr>
      <t>Point Pleasant</t>
    </r>
  </si>
  <si>
    <t>165 Ohio River Rd</t>
  </si>
  <si>
    <r>
      <rPr>
        <rFont val="Montserrat"/>
        <color rgb="FF1155CC"/>
        <sz val="11.0"/>
        <u/>
      </rPr>
      <t>Point Pleasant</t>
    </r>
  </si>
  <si>
    <t>905 Viand St</t>
  </si>
  <si>
    <r>
      <rPr>
        <rFont val="Montserrat"/>
        <color rgb="FF1155CC"/>
        <sz val="11.0"/>
        <u/>
      </rPr>
      <t>Point Pleasant</t>
    </r>
  </si>
  <si>
    <t>325 Round Bottom Rd</t>
  </si>
  <si>
    <r>
      <rPr>
        <rFont val="Montserrat"/>
        <color rgb="FF1155CC"/>
        <sz val="11.0"/>
        <u/>
      </rPr>
      <t>Prichard</t>
    </r>
  </si>
  <si>
    <t>101 Morrison Dr</t>
  </si>
  <si>
    <r>
      <rPr>
        <rFont val="Montserrat"/>
        <color rgb="FF1155CC"/>
        <sz val="11.0"/>
        <u/>
      </rPr>
      <t>Princeton</t>
    </r>
  </si>
  <si>
    <t>GRANTS SUPERMARKET 03 (V2856)</t>
  </si>
  <si>
    <t>745 Athens Rd</t>
  </si>
  <si>
    <r>
      <rPr>
        <rFont val="Montserrat"/>
        <color rgb="FF1155CC"/>
        <sz val="11.0"/>
        <u/>
      </rPr>
      <t>Princeton</t>
    </r>
  </si>
  <si>
    <t>GRANTS SUPERMARKET 08 (V2858)</t>
  </si>
  <si>
    <t>1231 Beckley Rd</t>
  </si>
  <si>
    <r>
      <rPr>
        <rFont val="Montserrat"/>
        <color rgb="FF1155CC"/>
        <sz val="11.0"/>
        <u/>
      </rPr>
      <t>Princeton</t>
    </r>
  </si>
  <si>
    <t>1251 Stafford Dr</t>
  </si>
  <si>
    <r>
      <rPr>
        <rFont val="Montserrat"/>
        <color rgb="FF1155CC"/>
        <sz val="11.0"/>
        <u/>
      </rPr>
      <t>Princeton</t>
    </r>
  </si>
  <si>
    <t>380 Glenwood Park Rd</t>
  </si>
  <si>
    <r>
      <rPr>
        <rFont val="Montserrat"/>
        <color rgb="FF1155CC"/>
        <sz val="11.0"/>
        <u/>
      </rPr>
      <t>Princeton</t>
    </r>
  </si>
  <si>
    <t>GRANTS SUPERMARKET 07 (V2859)</t>
  </si>
  <si>
    <t xml:space="preserve">513 Kanawha Ave Ste 1 </t>
  </si>
  <si>
    <r>
      <rPr>
        <rFont val="Montserrat"/>
        <color rgb="FF1155CC"/>
        <sz val="11.0"/>
        <u/>
      </rPr>
      <t>Rainelle</t>
    </r>
  </si>
  <si>
    <t>805 N Mildred St #1</t>
  </si>
  <si>
    <r>
      <rPr>
        <rFont val="Montserrat"/>
        <color rgb="FF1155CC"/>
        <sz val="11.0"/>
        <u/>
      </rPr>
      <t>Ranson</t>
    </r>
  </si>
  <si>
    <t>MARTINS FOOD MARKET 6102 (V1908)</t>
  </si>
  <si>
    <t>719 Washington St</t>
  </si>
  <si>
    <r>
      <rPr>
        <rFont val="Montserrat"/>
        <color rgb="FF1155CC"/>
        <sz val="11.0"/>
        <u/>
      </rPr>
      <t>Ravenswood</t>
    </r>
  </si>
  <si>
    <t>165 N Robert Stone Way</t>
  </si>
  <si>
    <r>
      <rPr>
        <rFont val="Montserrat"/>
        <color rgb="FF1155CC"/>
        <sz val="11.0"/>
        <u/>
      </rPr>
      <t>Reedsville</t>
    </r>
  </si>
  <si>
    <t>84 E Main St</t>
  </si>
  <si>
    <r>
      <rPr>
        <rFont val="Montserrat"/>
        <color rgb="FF1155CC"/>
        <sz val="11.0"/>
        <u/>
      </rPr>
      <t>Richwood</t>
    </r>
  </si>
  <si>
    <t>PAR MAR STORE #143 (V3422)</t>
  </si>
  <si>
    <t>4801 Frankfort Hwy</t>
  </si>
  <si>
    <r>
      <rPr>
        <rFont val="Montserrat"/>
        <color rgb="FF1155CC"/>
        <sz val="11.0"/>
        <u/>
      </rPr>
      <t>Ridgeley</t>
    </r>
  </si>
  <si>
    <t>96 Evansview Rd</t>
  </si>
  <si>
    <r>
      <rPr>
        <rFont val="Montserrat"/>
        <color rgb="FF1155CC"/>
        <sz val="11.0"/>
        <u/>
      </rPr>
      <t>Ripley</t>
    </r>
  </si>
  <si>
    <t>326 W Main St</t>
  </si>
  <si>
    <r>
      <rPr>
        <rFont val="Montserrat"/>
        <color rgb="FF1155CC"/>
        <sz val="11.0"/>
        <u/>
      </rPr>
      <t>Ripley</t>
    </r>
  </si>
  <si>
    <t>WALMART SUPERCENTER 1450 (V1810)</t>
  </si>
  <si>
    <t>3052 Charleston Rd</t>
  </si>
  <si>
    <r>
      <rPr>
        <rFont val="Montserrat"/>
        <color rgb="FF1155CC"/>
        <sz val="11.0"/>
        <u/>
      </rPr>
      <t>Ripley</t>
    </r>
  </si>
  <si>
    <t>4074 Makota Rd</t>
  </si>
  <si>
    <t>73 Hannas Rd</t>
  </si>
  <si>
    <r>
      <rPr>
        <rFont val="Montserrat"/>
        <color rgb="FF1155CC"/>
        <sz val="11.0"/>
        <u/>
      </rPr>
      <t>Romney</t>
    </r>
  </si>
  <si>
    <t>2715 Seneca Trl S</t>
  </si>
  <si>
    <r>
      <rPr>
        <rFont val="Montserrat"/>
        <color rgb="FF1155CC"/>
        <sz val="11.0"/>
        <u/>
      </rPr>
      <t>Ronceverte</t>
    </r>
  </si>
  <si>
    <t>8442 Seneca Trail S</t>
  </si>
  <si>
    <r>
      <rPr>
        <rFont val="Montserrat"/>
        <color rgb="FF1155CC"/>
        <sz val="11.0"/>
        <u/>
      </rPr>
      <t>Ronceverte</t>
    </r>
  </si>
  <si>
    <t>233 Nicholas St</t>
  </si>
  <si>
    <r>
      <rPr>
        <rFont val="Montserrat"/>
        <color rgb="FF1155CC"/>
        <sz val="11.0"/>
        <u/>
      </rPr>
      <t>Rupert</t>
    </r>
  </si>
  <si>
    <t>302 B St</t>
  </si>
  <si>
    <r>
      <rPr>
        <rFont val="Montserrat"/>
        <color rgb="FF1155CC"/>
        <sz val="11.0"/>
        <u/>
      </rPr>
      <t>Saint Albans</t>
    </r>
  </si>
  <si>
    <t>8651 Coal River Rd</t>
  </si>
  <si>
    <r>
      <rPr>
        <rFont val="Montserrat"/>
        <color rgb="FF1155CC"/>
        <sz val="11.0"/>
        <u/>
      </rPr>
      <t>Saint Albans</t>
    </r>
  </si>
  <si>
    <t>2510 Kanawha Ter</t>
  </si>
  <si>
    <r>
      <rPr>
        <rFont val="Montserrat"/>
        <color rgb="FF1155CC"/>
        <sz val="11.0"/>
        <u/>
      </rPr>
      <t>Saint Albans</t>
    </r>
  </si>
  <si>
    <t>KANAWHA TERRACE IGA (V2023)</t>
  </si>
  <si>
    <t>517 Winfield Rd</t>
  </si>
  <si>
    <r>
      <rPr>
        <rFont val="Montserrat"/>
        <color rgb="FF1155CC"/>
        <sz val="11.0"/>
        <u/>
      </rPr>
      <t>Saint Albans</t>
    </r>
  </si>
  <si>
    <t xml:space="preserve">6400 Mc Corkle Ave </t>
  </si>
  <si>
    <r>
      <rPr>
        <rFont val="Montserrat"/>
        <color rgb="FF1155CC"/>
        <sz val="11.0"/>
        <u/>
      </rPr>
      <t>Saint Albans</t>
    </r>
  </si>
  <si>
    <t>1977 Pennsylvania Ave</t>
  </si>
  <si>
    <r>
      <rPr>
        <rFont val="Montserrat"/>
        <color rgb="FF1155CC"/>
        <sz val="11.0"/>
        <u/>
      </rPr>
      <t>Saint Albans</t>
    </r>
  </si>
  <si>
    <t>1395 N Pleasants Hwy</t>
  </si>
  <si>
    <r>
      <rPr>
        <rFont val="Montserrat"/>
        <color rgb="FF1155CC"/>
        <sz val="11.0"/>
        <u/>
      </rPr>
      <t>Saint Marys</t>
    </r>
  </si>
  <si>
    <t>ST MARYS GALAXY (V3705)</t>
  </si>
  <si>
    <t>119 E Main St</t>
  </si>
  <si>
    <r>
      <rPr>
        <rFont val="Montserrat"/>
        <color rgb="FF1155CC"/>
        <sz val="11.0"/>
        <u/>
      </rPr>
      <t>Salem</t>
    </r>
  </si>
  <si>
    <t>SALEM SHOP N SAVE EXPRESS (V1726)</t>
  </si>
  <si>
    <t>9992 Rt 10</t>
  </si>
  <si>
    <r>
      <rPr>
        <rFont val="Montserrat"/>
        <color rgb="FF1155CC"/>
        <sz val="11.0"/>
        <u/>
      </rPr>
      <t>Salt Rock</t>
    </r>
  </si>
  <si>
    <t>2974 Ritter Dr</t>
  </si>
  <si>
    <r>
      <rPr>
        <rFont val="Montserrat"/>
        <color rgb="FF1155CC"/>
        <sz val="11.0"/>
        <u/>
      </rPr>
      <t>Shady Spring</t>
    </r>
  </si>
  <si>
    <t>100 Shenandoah Junction Rd</t>
  </si>
  <si>
    <r>
      <rPr>
        <rFont val="Montserrat"/>
        <color rgb="FF1155CC"/>
        <sz val="11.0"/>
        <u/>
      </rPr>
      <t>Shenandoah Junction</t>
    </r>
  </si>
  <si>
    <t>WEIS MARKET 183 (V1911)</t>
  </si>
  <si>
    <t>7670 Martinsburg Pike Ste 1</t>
  </si>
  <si>
    <r>
      <rPr>
        <rFont val="Montserrat"/>
        <color rgb="FF1155CC"/>
        <sz val="11.0"/>
        <u/>
      </rPr>
      <t>Shepherdstown</t>
    </r>
  </si>
  <si>
    <t>FOOD LION 0871 (V1905)</t>
  </si>
  <si>
    <t>Rr 1 Box 312</t>
  </si>
  <si>
    <r>
      <rPr>
        <rFont val="Montserrat"/>
        <color rgb="FF1155CC"/>
        <sz val="11.0"/>
        <u/>
      </rPr>
      <t>Shinnston</t>
    </r>
  </si>
  <si>
    <t>256 Middletown Road</t>
  </si>
  <si>
    <r>
      <rPr>
        <rFont val="Montserrat"/>
        <color rgb="FF1155CC"/>
        <sz val="11.0"/>
        <u/>
      </rPr>
      <t>Shinnston</t>
    </r>
  </si>
  <si>
    <t>7797 Sissonville Drive</t>
  </si>
  <si>
    <r>
      <rPr>
        <rFont val="Montserrat"/>
        <color rgb="FF1155CC"/>
        <sz val="11.0"/>
        <u/>
      </rPr>
      <t>Sissonville</t>
    </r>
  </si>
  <si>
    <t>SISSONVILLE SAVE A LOT (V2223)</t>
  </si>
  <si>
    <t>6853 Bloomery Pike</t>
  </si>
  <si>
    <r>
      <rPr>
        <rFont val="Montserrat"/>
        <color rgb="FF1155CC"/>
        <sz val="11.0"/>
        <u/>
      </rPr>
      <t>Slanesville</t>
    </r>
  </si>
  <si>
    <t>237 Cass Rd</t>
  </si>
  <si>
    <r>
      <rPr>
        <rFont val="Montserrat"/>
        <color rgb="FF1155CC"/>
        <sz val="11.0"/>
        <u/>
      </rPr>
      <t>Slaty Fork</t>
    </r>
  </si>
  <si>
    <t>41 Redwood St</t>
  </si>
  <si>
    <r>
      <rPr>
        <rFont val="Montserrat"/>
        <color rgb="FF1155CC"/>
        <sz val="11.0"/>
        <u/>
      </rPr>
      <t>Smithers</t>
    </r>
  </si>
  <si>
    <t>15831 Staunton Tpke</t>
  </si>
  <si>
    <r>
      <rPr>
        <rFont val="Montserrat"/>
        <color rgb="FF1155CC"/>
        <sz val="11.0"/>
        <u/>
      </rPr>
      <t>Smithville</t>
    </r>
  </si>
  <si>
    <t>834 B Hwy 16</t>
  </si>
  <si>
    <r>
      <rPr>
        <rFont val="Montserrat"/>
        <color rgb="FF1155CC"/>
        <sz val="11.0"/>
        <u/>
      </rPr>
      <t>Sophia</t>
    </r>
  </si>
  <si>
    <t>499 E Main Street</t>
  </si>
  <si>
    <r>
      <rPr>
        <rFont val="Montserrat"/>
        <color rgb="FF1155CC"/>
        <sz val="11.0"/>
        <u/>
      </rPr>
      <t>Sophia</t>
    </r>
  </si>
  <si>
    <t>800 Chestnut St</t>
  </si>
  <si>
    <r>
      <rPr>
        <rFont val="Montserrat"/>
        <color rgb="FF1155CC"/>
        <sz val="11.0"/>
        <u/>
      </rPr>
      <t>South Charleston</t>
    </r>
  </si>
  <si>
    <t>302 7th Ave</t>
  </si>
  <si>
    <r>
      <rPr>
        <rFont val="Montserrat"/>
        <color rgb="FF1155CC"/>
        <sz val="11.0"/>
        <u/>
      </rPr>
      <t>South Charleston</t>
    </r>
  </si>
  <si>
    <t>KROGER COMPANY 785 (V2022)</t>
  </si>
  <si>
    <t>4030 Brounland Rd</t>
  </si>
  <si>
    <r>
      <rPr>
        <rFont val="Montserrat"/>
        <color rgb="FF1155CC"/>
        <sz val="11.0"/>
        <u/>
      </rPr>
      <t>South Charleston</t>
    </r>
  </si>
  <si>
    <t>106 Parking Plz</t>
  </si>
  <si>
    <r>
      <rPr>
        <rFont val="Montserrat"/>
        <color rgb="FF1155CC"/>
        <sz val="11.0"/>
        <u/>
      </rPr>
      <t>Spencer</t>
    </r>
  </si>
  <si>
    <t>8180 Cumberland Rd</t>
  </si>
  <si>
    <r>
      <rPr>
        <rFont val="Montserrat"/>
        <color rgb="FF1155CC"/>
        <sz val="11.0"/>
        <u/>
      </rPr>
      <t>Springfield</t>
    </r>
  </si>
  <si>
    <t>3390 University Ave</t>
  </si>
  <si>
    <r>
      <rPr>
        <rFont val="Montserrat"/>
        <color rgb="FF1155CC"/>
        <sz val="11.0"/>
        <u/>
      </rPr>
      <t>Star City</t>
    </r>
  </si>
  <si>
    <t>KROGER COMPANY 714 (V3104)</t>
  </si>
  <si>
    <t>3011 Webster Rd</t>
  </si>
  <si>
    <r>
      <rPr>
        <rFont val="Montserrat"/>
        <color rgb="FF1155CC"/>
        <sz val="11.0"/>
        <u/>
      </rPr>
      <t>Summersville</t>
    </r>
  </si>
  <si>
    <t>WALMART SUPERCENTER 1477 (V3417)</t>
  </si>
  <si>
    <t>3919 Turnpike Rd</t>
  </si>
  <si>
    <r>
      <rPr>
        <rFont val="Montserrat"/>
        <color rgb="FF1155CC"/>
        <sz val="11.0"/>
        <u/>
      </rPr>
      <t>Summersville</t>
    </r>
  </si>
  <si>
    <t>275 W Main Street</t>
  </si>
  <si>
    <r>
      <rPr>
        <rFont val="Montserrat"/>
        <color rgb="FF1155CC"/>
        <sz val="11.0"/>
        <u/>
      </rPr>
      <t>Sutton</t>
    </r>
  </si>
  <si>
    <t>ELK RIVER MARKET OF GASSAWAY (V0403)</t>
  </si>
  <si>
    <t>1208 E State Ave</t>
  </si>
  <si>
    <r>
      <rPr>
        <rFont val="Montserrat"/>
        <color rgb="FF1155CC"/>
        <sz val="11.0"/>
        <u/>
      </rPr>
      <t>Terra Alta</t>
    </r>
  </si>
  <si>
    <t>184 Route 3 E</t>
  </si>
  <si>
    <r>
      <rPr>
        <rFont val="Montserrat"/>
        <color rgb="FF1155CC"/>
        <sz val="11.0"/>
        <u/>
      </rPr>
      <t>Union</t>
    </r>
  </si>
  <si>
    <t>3410 Seneca Trail</t>
  </si>
  <si>
    <r>
      <rPr>
        <rFont val="Montserrat"/>
        <color rgb="FF1155CC"/>
        <sz val="11.0"/>
        <u/>
      </rPr>
      <t>Valley Bend</t>
    </r>
  </si>
  <si>
    <t>24690 Seneca Trl</t>
  </si>
  <si>
    <r>
      <rPr>
        <rFont val="Montserrat"/>
        <color rgb="FF1155CC"/>
        <sz val="11.0"/>
        <u/>
      </rPr>
      <t>Valley Head</t>
    </r>
  </si>
  <si>
    <t>3200 Grand Central Ave</t>
  </si>
  <si>
    <r>
      <rPr>
        <rFont val="Montserrat"/>
        <color rgb="FF1155CC"/>
        <sz val="11.0"/>
        <u/>
      </rPr>
      <t>Vienna</t>
    </r>
  </si>
  <si>
    <t>VIENNA PIGGLY WIGGLY (V5447)</t>
  </si>
  <si>
    <t>5808 Grand Central Ave</t>
  </si>
  <si>
    <r>
      <rPr>
        <rFont val="Montserrat"/>
        <color rgb="FF1155CC"/>
        <sz val="11.0"/>
        <u/>
      </rPr>
      <t>Vienna</t>
    </r>
  </si>
  <si>
    <t>11494 Staunton Turnpike</t>
  </si>
  <si>
    <r>
      <rPr>
        <rFont val="Montserrat"/>
        <color rgb="FF1155CC"/>
        <sz val="11.0"/>
        <u/>
      </rPr>
      <t>Walker</t>
    </r>
  </si>
  <si>
    <t>MOORE'S PIGGLY WIGGLY (V5303)</t>
  </si>
  <si>
    <t>5620 Wallace Pike</t>
  </si>
  <si>
    <r>
      <rPr>
        <rFont val="Montserrat"/>
        <color rgb="FF1155CC"/>
        <sz val="11.0"/>
        <u/>
      </rPr>
      <t>Wallace</t>
    </r>
  </si>
  <si>
    <t>6450 Wallback Rd</t>
  </si>
  <si>
    <r>
      <rPr>
        <rFont val="Montserrat"/>
        <color rgb="FF1155CC"/>
        <sz val="11.0"/>
        <u/>
      </rPr>
      <t>Wallback</t>
    </r>
  </si>
  <si>
    <t>Route 16</t>
  </si>
  <si>
    <r>
      <rPr>
        <rFont val="Montserrat"/>
        <color rgb="FF1155CC"/>
        <sz val="11.0"/>
        <u/>
      </rPr>
      <t>War</t>
    </r>
  </si>
  <si>
    <t>417 E Main Street</t>
  </si>
  <si>
    <r>
      <rPr>
        <rFont val="Montserrat"/>
        <color rgb="FF1155CC"/>
        <sz val="11.0"/>
        <u/>
      </rPr>
      <t>Wardensville</t>
    </r>
  </si>
  <si>
    <t>3092 Harris Hwy</t>
  </si>
  <si>
    <r>
      <rPr>
        <rFont val="Montserrat"/>
        <color rgb="FF1155CC"/>
        <sz val="11.0"/>
        <u/>
      </rPr>
      <t>Washington</t>
    </r>
  </si>
  <si>
    <t>KROGER COMPANY 753 (V5407)</t>
  </si>
  <si>
    <t>90 Mcginnis Dr</t>
  </si>
  <si>
    <r>
      <rPr>
        <rFont val="Montserrat"/>
        <color rgb="FF1155CC"/>
        <sz val="11.0"/>
        <u/>
      </rPr>
      <t>Wayne</t>
    </r>
  </si>
  <si>
    <t>10422 Route 152</t>
  </si>
  <si>
    <r>
      <rPr>
        <rFont val="Montserrat"/>
        <color rgb="FF1155CC"/>
        <sz val="11.0"/>
        <u/>
      </rPr>
      <t>Wayne</t>
    </r>
  </si>
  <si>
    <t>VERNICKS COUNTRY CORNER (V5009)</t>
  </si>
  <si>
    <t>259 Main St</t>
  </si>
  <si>
    <r>
      <rPr>
        <rFont val="Montserrat"/>
        <color rgb="FF1155CC"/>
        <sz val="11.0"/>
        <u/>
      </rPr>
      <t>Webster Springs</t>
    </r>
  </si>
  <si>
    <t>G AND R IGA (V5102)</t>
  </si>
  <si>
    <t>286 Three Springs Dr</t>
  </si>
  <si>
    <r>
      <rPr>
        <rFont val="Montserrat"/>
        <color rgb="FF1155CC"/>
        <sz val="11.0"/>
        <u/>
      </rPr>
      <t>Weirton</t>
    </r>
  </si>
  <si>
    <t>KROGER COMPANY 803 (V1503)</t>
  </si>
  <si>
    <t>2619 Pennsylvania Avenue</t>
  </si>
  <si>
    <r>
      <rPr>
        <rFont val="Montserrat"/>
        <color rgb="FF1155CC"/>
        <sz val="11.0"/>
        <u/>
      </rPr>
      <t>Weirton</t>
    </r>
  </si>
  <si>
    <t>WEIRTON SHOP N SAVE (V1501)</t>
  </si>
  <si>
    <t>1220 Pennsylvania Ave</t>
  </si>
  <si>
    <r>
      <rPr>
        <rFont val="Montserrat"/>
        <color rgb="FF1155CC"/>
        <sz val="11.0"/>
        <u/>
      </rPr>
      <t>Weirton</t>
    </r>
  </si>
  <si>
    <t>3644 Main St</t>
  </si>
  <si>
    <r>
      <rPr>
        <rFont val="Montserrat"/>
        <color rgb="FF1155CC"/>
        <sz val="11.0"/>
        <u/>
      </rPr>
      <t>Weirton</t>
    </r>
  </si>
  <si>
    <t>916 Virginia Ave</t>
  </si>
  <si>
    <r>
      <rPr>
        <rFont val="Montserrat"/>
        <color rgb="FF1155CC"/>
        <sz val="11.0"/>
        <u/>
      </rPr>
      <t>Welch</t>
    </r>
  </si>
  <si>
    <t>948 Washington Pike</t>
  </si>
  <si>
    <r>
      <rPr>
        <rFont val="Montserrat"/>
        <color rgb="FF1155CC"/>
        <sz val="11.0"/>
        <u/>
      </rPr>
      <t>Wellsburg</t>
    </r>
  </si>
  <si>
    <t>KROGER COMPANY 268 (V0503)</t>
  </si>
  <si>
    <t>16470 River Rd</t>
  </si>
  <si>
    <r>
      <rPr>
        <rFont val="Montserrat"/>
        <color rgb="FF1155CC"/>
        <sz val="11.0"/>
        <u/>
      </rPr>
      <t>Wellsburg</t>
    </r>
  </si>
  <si>
    <t>125 7th St</t>
  </si>
  <si>
    <r>
      <rPr>
        <rFont val="Montserrat"/>
        <color rgb="FF1155CC"/>
        <sz val="11.0"/>
        <u/>
      </rPr>
      <t>Wellsburg</t>
    </r>
  </si>
  <si>
    <t>447 W Main St</t>
  </si>
  <si>
    <r>
      <rPr>
        <rFont val="Montserrat"/>
        <color rgb="FF1155CC"/>
        <sz val="11.0"/>
        <u/>
      </rPr>
      <t>West Milford</t>
    </r>
  </si>
  <si>
    <t>105 Cheuvront Ave</t>
  </si>
  <si>
    <r>
      <rPr>
        <rFont val="Montserrat"/>
        <color rgb="FF1155CC"/>
        <sz val="11.0"/>
        <u/>
      </rPr>
      <t>West Union</t>
    </r>
  </si>
  <si>
    <t>WEST UNION SHOP N SAVE EXPRESS (V0906)</t>
  </si>
  <si>
    <t>201 Elizabeth Dr</t>
  </si>
  <si>
    <r>
      <rPr>
        <rFont val="Montserrat"/>
        <color rgb="FF1155CC"/>
        <sz val="11.0"/>
        <u/>
      </rPr>
      <t>Weston</t>
    </r>
  </si>
  <si>
    <t>1515 Us Highway 33 W</t>
  </si>
  <si>
    <r>
      <rPr>
        <rFont val="Montserrat"/>
        <color rgb="FF1155CC"/>
        <sz val="11.0"/>
        <u/>
      </rPr>
      <t>Weston</t>
    </r>
  </si>
  <si>
    <t>WALMART SUPERCENTER 1653 (V2109)</t>
  </si>
  <si>
    <t>151 Warwood Avenue</t>
  </si>
  <si>
    <r>
      <rPr>
        <rFont val="Montserrat"/>
        <color rgb="FF1155CC"/>
        <sz val="11.0"/>
        <u/>
      </rPr>
      <t>Wheeling</t>
    </r>
  </si>
  <si>
    <t>KROGER COMPANY 202 (V3501)</t>
  </si>
  <si>
    <t>37 Washington Ave</t>
  </si>
  <si>
    <r>
      <rPr>
        <rFont val="Montserrat"/>
        <color rgb="FF1155CC"/>
        <sz val="11.0"/>
        <u/>
      </rPr>
      <t>Wheeling</t>
    </r>
  </si>
  <si>
    <t>KROGER COMPANY 562 (V3505)</t>
  </si>
  <si>
    <t>1 Elm Terrace</t>
  </si>
  <si>
    <r>
      <rPr>
        <rFont val="Montserrat"/>
        <color rgb="FF1155CC"/>
        <sz val="11.0"/>
        <u/>
      </rPr>
      <t>Wheeling</t>
    </r>
  </si>
  <si>
    <t>RIESBECKS FOOD MARKET 5 (V3502)</t>
  </si>
  <si>
    <r>
      <rPr>
        <rFont val="Montserrat"/>
        <color rgb="FF1155CC"/>
        <sz val="11.0"/>
        <u/>
      </rPr>
      <t>Wheeling</t>
    </r>
  </si>
  <si>
    <t>9343 Middletown Mall</t>
  </si>
  <si>
    <r>
      <rPr>
        <rFont val="Montserrat"/>
        <color rgb="FF1155CC"/>
        <sz val="11.0"/>
        <u/>
      </rPr>
      <t>White Hall</t>
    </r>
  </si>
  <si>
    <t>12790 Coal River Rd</t>
  </si>
  <si>
    <r>
      <rPr>
        <rFont val="Montserrat"/>
        <color rgb="FF1155CC"/>
        <sz val="11.0"/>
        <u/>
      </rPr>
      <t>Whitesville</t>
    </r>
  </si>
  <si>
    <t>7411 Black Diamond Hwy</t>
  </si>
  <si>
    <r>
      <rPr>
        <rFont val="Montserrat"/>
        <color rgb="FF1155CC"/>
        <sz val="11.0"/>
        <u/>
      </rPr>
      <t>Wilcoe</t>
    </r>
  </si>
  <si>
    <t>384 Route 65</t>
  </si>
  <si>
    <r>
      <rPr>
        <rFont val="Montserrat"/>
        <color rgb="FF1155CC"/>
        <sz val="11.0"/>
        <u/>
      </rPr>
      <t>Williamson</t>
    </r>
  </si>
  <si>
    <t>1772 W 3rd Ave</t>
  </si>
  <si>
    <r>
      <rPr>
        <rFont val="Montserrat"/>
        <color rgb="FF1155CC"/>
        <sz val="11.0"/>
        <u/>
      </rPr>
      <t>Williamson</t>
    </r>
  </si>
  <si>
    <t>1020 Highland Avenue</t>
  </si>
  <si>
    <r>
      <rPr>
        <rFont val="Montserrat"/>
        <color rgb="FF1155CC"/>
        <sz val="11.0"/>
        <u/>
      </rPr>
      <t>Williamstown</t>
    </r>
  </si>
  <si>
    <t>13198 Emerson Ave</t>
  </si>
  <si>
    <r>
      <rPr>
        <rFont val="Montserrat"/>
        <color rgb="FF1155CC"/>
        <sz val="11.0"/>
        <u/>
      </rPr>
      <t>Williamstown</t>
    </r>
  </si>
  <si>
    <t>KROGER COMPANY 752 (V5410)</t>
  </si>
  <si>
    <t>3274 Winfield Rd</t>
  </si>
  <si>
    <r>
      <rPr>
        <rFont val="Montserrat"/>
        <color rgb="FF1155CC"/>
        <sz val="11.0"/>
        <u/>
      </rPr>
      <t>Winfield</t>
    </r>
  </si>
  <si>
    <t>7809 Winfield Road</t>
  </si>
  <si>
    <r>
      <rPr>
        <rFont val="Montserrat"/>
        <color rgb="FF1155CC"/>
        <sz val="11.0"/>
        <u/>
      </rPr>
      <t>Winfield</t>
    </r>
  </si>
  <si>
    <t>4584 Freedom Hwy</t>
  </si>
  <si>
    <r>
      <rPr>
        <rFont val="Montserrat"/>
        <color rgb="FF1155CC"/>
        <sz val="11.0"/>
        <u/>
      </rPr>
      <t>Worthington</t>
    </r>
  </si>
  <si>
    <t>4956 Midway Rd</t>
  </si>
  <si>
    <r>
      <rPr>
        <rFont val="Montserrat"/>
        <color rgb="FF1155CC"/>
        <sz val="11.0"/>
        <u/>
      </rPr>
      <t>Yawkey</t>
    </r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</si>
</sst>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0.0"/>
    <numFmt numFmtId="165" formatCode="$#,##0"/>
    <numFmt numFmtId="166" formatCode="&quot;$&quot;#,##0.00"/>
    <numFmt numFmtId="167" formatCode="0.0%"/>
  </numFmts>
  <fonts count="18">
    <font>
      <sz val="11.0"/>
      <color rgb="FF000000"/>
      <name val="Carlito"/>
      <scheme val="minor"/>
    </font>
    <font>
      <color theme="1"/>
      <name val="Carlito"/>
      <scheme val="minor"/>
    </font>
    <font>
      <b/>
      <sz val="11.0"/>
      <color rgb="FFFFFFFF"/>
      <name val="Carlito"/>
    </font>
    <font>
      <b/>
      <sz val="11.0"/>
      <color rgb="FFFFFFFF"/>
      <name val="Carlito"/>
      <scheme val="minor"/>
    </font>
    <font>
      <sz val="11.0"/>
      <color rgb="FF000000"/>
      <name val="Carlito"/>
    </font>
    <font>
      <sz val="11.0"/>
      <color theme="1"/>
      <name val="Carlito"/>
    </font>
    <font>
      <u/>
      <sz val="11.0"/>
      <color rgb="FF000000"/>
      <name val="Montserrat"/>
    </font>
    <font>
      <sz val="11.0"/>
      <color theme="1"/>
      <name val="Carlito"/>
      <scheme val="minor"/>
    </font>
    <font>
      <color theme="1"/>
      <name val="Arial"/>
    </font>
    <font>
      <sz val="11.0"/>
      <color rgb="FF000000"/>
      <name val="Calibri"/>
    </font>
    <font>
      <color theme="1"/>
      <name val="Ui-monospace"/>
    </font>
    <font>
      <b/>
      <sz val="11.0"/>
      <color theme="1"/>
      <name val="Carlito"/>
    </font>
    <font>
      <sz val="11.0"/>
      <color rgb="FF000000"/>
      <name val="Montserrat"/>
    </font>
    <font>
      <u/>
      <sz val="11.0"/>
      <color rgb="FF0000FF"/>
      <name val="Montserrat"/>
    </font>
    <font>
      <b/>
      <sz val="11.0"/>
      <color rgb="FF000000"/>
      <name val="Carlito"/>
    </font>
    <font>
      <b/>
      <color theme="1"/>
      <name val="Carlito"/>
      <scheme val="minor"/>
    </font>
    <font>
      <u/>
      <color rgb="FF0000FF"/>
    </font>
    <font>
      <sz val="12.0"/>
      <color rgb="FF000000"/>
      <name val="Carlito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FFFFFF"/>
        <bgColor rgb="FFFFFFFF"/>
      </patternFill>
    </fill>
    <fill>
      <patternFill patternType="solid">
        <fgColor rgb="FFD9EAF7"/>
        <bgColor rgb="FFD9EAF7"/>
      </patternFill>
    </fill>
    <fill>
      <patternFill patternType="solid">
        <fgColor rgb="FFC9DAF8"/>
        <bgColor rgb="FFC9DAF8"/>
      </patternFill>
    </fill>
  </fills>
  <borders count="10">
    <border/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8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0" fillId="2" fontId="2" numFmtId="0" xfId="0" applyAlignment="1" applyFill="1" applyFont="1">
      <alignment horizontal="center" shrinkToFit="0" vertical="center" wrapText="1"/>
    </xf>
    <xf borderId="0" fillId="2" fontId="2" numFmtId="0" xfId="0" applyAlignment="1" applyFill="1" applyFont="1">
      <alignment horizontal="center" readingOrder="0"/>
    </xf>
    <xf borderId="0" fillId="2" fontId="3" numFmtId="0" xfId="0" applyAlignment="1" applyFill="1" applyFont="1">
      <alignment horizontal="left" shrinkToFit="0" vertical="center" wrapText="1"/>
    </xf>
    <xf borderId="0" fillId="0" fontId="4" numFmtId="0" xfId="0" applyAlignment="1" applyFont="1">
      <alignment readingOrder="0" shrinkToFit="0" vertical="bottom" wrapText="0"/>
    </xf>
    <xf borderId="0" fillId="0" fontId="5" numFmtId="0" xfId="0" applyAlignment="1" applyFont="1">
      <alignment readingOrder="0" vertical="bottom"/>
    </xf>
    <xf borderId="0" fillId="0" fontId="4" numFmtId="0" xfId="0" applyAlignment="1" applyFont="1">
      <alignment shrinkToFit="0" vertical="bottom" wrapText="0"/>
    </xf>
    <xf borderId="0" fillId="0" fontId="5" numFmtId="0" xfId="0" applyAlignment="1" applyFont="1">
      <alignment vertical="bottom"/>
    </xf>
    <xf borderId="0" fillId="0" fontId="5" numFmtId="164" xfId="0" applyAlignment="1" applyFont="1" applyNumberFormat="1">
      <alignment shrinkToFit="0" wrapText="1"/>
    </xf>
    <xf borderId="0" fillId="2" fontId="2" numFmtId="0" xfId="0" applyAlignment="1" applyFill="1" applyFont="1">
      <alignment horizontal="center" readingOrder="0" shrinkToFit="0" vertical="center" wrapText="1"/>
    </xf>
    <xf borderId="0" fillId="0" fontId="6" numFmtId="0" xfId="0" applyAlignment="1" applyFont="1">
      <alignment readingOrder="0"/>
    </xf>
    <xf borderId="0" fillId="0" fontId="7" numFmtId="0" xfId="0" applyAlignment="1" applyFont="1">
      <alignment horizontal="left" readingOrder="0" shrinkToFit="0" wrapText="1"/>
    </xf>
    <xf borderId="0" fillId="0" fontId="8" numFmtId="0" xfId="0" applyAlignment="1" applyFont="1">
      <alignment horizontal="center" vertical="bottom"/>
    </xf>
    <xf borderId="0" fillId="0" fontId="9" numFmtId="0" xfId="0" applyAlignment="1" applyFont="1">
      <alignment readingOrder="0" shrinkToFit="0" vertical="bottom" wrapText="0"/>
    </xf>
    <xf borderId="0" fillId="0" fontId="5" numFmtId="0" xfId="0" applyAlignment="1" applyFont="1">
      <alignment shrinkToFit="0" wrapText="1"/>
    </xf>
    <xf borderId="0" fillId="0" fontId="5" numFmtId="0" xfId="0" applyAlignment="1" applyFont="1">
      <alignment readingOrder="0" shrinkToFit="0" wrapText="1"/>
    </xf>
    <xf borderId="0" fillId="0" fontId="4" numFmtId="0" xfId="0" applyAlignment="1" applyFont="1">
      <alignment readingOrder="0" vertical="bottom"/>
    </xf>
    <xf borderId="0" fillId="0" fontId="4" numFmtId="1" xfId="0" applyAlignment="1" applyFont="1" applyNumberFormat="1">
      <alignment readingOrder="0" vertical="bottom"/>
    </xf>
    <xf borderId="0" fillId="0" fontId="4" numFmtId="9" xfId="0" applyAlignment="1" applyFont="1" applyNumberFormat="1">
      <alignment readingOrder="0" vertical="top"/>
    </xf>
    <xf borderId="0" fillId="0" fontId="4" numFmtId="1" xfId="0" applyAlignment="1" applyFont="1" applyNumberFormat="1">
      <alignment readingOrder="0" shrinkToFit="0" vertical="bottom" wrapText="0"/>
    </xf>
    <xf borderId="0" fillId="3" fontId="10" numFmtId="1" xfId="0" applyAlignment="1" applyFill="1" applyFont="1" applyNumberFormat="1">
      <alignment horizontal="right" vertical="bottom"/>
    </xf>
    <xf borderId="0" fillId="0" fontId="4" numFmtId="165" xfId="0" applyAlignment="1" applyFont="1" applyNumberFormat="1">
      <alignment readingOrder="0" shrinkToFit="0" vertical="bottom" wrapText="0"/>
    </xf>
    <xf borderId="0" fillId="0" fontId="11" numFmtId="0" xfId="0" applyAlignment="1" applyFont="1">
      <alignment horizontal="center" readingOrder="0" shrinkToFit="0" vertical="bottom" wrapText="0"/>
    </xf>
    <xf borderId="0" fillId="0" fontId="4" numFmtId="0" xfId="0" applyAlignment="1" applyFont="1">
      <alignment horizontal="center" readingOrder="0" vertical="bottom"/>
    </xf>
    <xf borderId="0" fillId="0" fontId="5" numFmtId="0" xfId="0" applyAlignment="1" applyFont="1">
      <alignment horizontal="center" readingOrder="0" shrinkToFit="0" wrapText="1"/>
    </xf>
    <xf borderId="0" fillId="0" fontId="5" numFmtId="164" xfId="0" applyAlignment="1" applyFont="1" applyNumberFormat="1">
      <alignment horizontal="center" readingOrder="0" shrinkToFit="0" wrapText="1"/>
    </xf>
    <xf borderId="0" fillId="0" fontId="9" numFmtId="0" xfId="0" applyAlignment="1" applyFont="1">
      <alignment shrinkToFit="0" vertical="bottom" wrapText="0"/>
    </xf>
    <xf borderId="0" fillId="0" fontId="5" numFmtId="0" xfId="0" applyAlignment="1" applyFont="1">
      <alignment horizontal="left" readingOrder="0" shrinkToFit="0" vertical="bottom" wrapText="0"/>
    </xf>
    <xf borderId="0" fillId="0" fontId="4" numFmtId="0" xfId="0" applyAlignment="1" applyFont="1">
      <alignment readingOrder="0" shrinkToFit="0" vertical="bottom" wrapText="0"/>
    </xf>
    <xf borderId="0" fillId="0" fontId="5" numFmtId="0" xfId="0" applyAlignment="1" applyFont="1">
      <alignment shrinkToFit="0" vertical="bottom" wrapText="0"/>
    </xf>
    <xf borderId="0" fillId="0" fontId="4" numFmtId="166" xfId="0" applyAlignment="1" applyFont="1" applyNumberFormat="1">
      <alignment readingOrder="0" shrinkToFit="0" vertical="bottom" wrapText="0"/>
    </xf>
    <xf borderId="0" fillId="0" fontId="1" numFmtId="0" xfId="0" applyAlignment="1" applyFont="1">
      <alignment horizontal="center" readingOrder="0"/>
    </xf>
    <xf borderId="0" fillId="0" fontId="4" numFmtId="0" xfId="0" applyAlignment="1" applyFont="1">
      <alignment horizontal="right" readingOrder="0" shrinkToFit="0" vertical="bottom" wrapText="0"/>
    </xf>
    <xf borderId="0" fillId="0" fontId="4" numFmtId="0" xfId="0" applyAlignment="1" applyFont="1">
      <alignment shrinkToFit="0" vertical="bottom" wrapText="0"/>
    </xf>
    <xf borderId="0" fillId="0" fontId="4" numFmtId="165" xfId="0" applyAlignment="1" applyFont="1" applyNumberFormat="1">
      <alignment shrinkToFit="0" vertical="bottom" wrapText="0"/>
    </xf>
    <xf borderId="0" fillId="0" fontId="4" numFmtId="166" xfId="0" applyAlignment="1" applyFont="1" applyNumberFormat="1">
      <alignment horizontal="right" readingOrder="0" shrinkToFit="0" vertical="bottom" wrapText="0"/>
    </xf>
    <xf borderId="0" fillId="0" fontId="5" numFmtId="0" xfId="0" applyAlignment="1" applyFont="1">
      <alignment horizontal="center" shrinkToFit="0" wrapText="1"/>
    </xf>
    <xf borderId="0" fillId="0" fontId="5" numFmtId="164" xfId="0" applyAlignment="1" applyFont="1" applyNumberFormat="1">
      <alignment horizontal="center" shrinkToFit="0" wrapText="1"/>
    </xf>
    <xf borderId="0" fillId="0" fontId="4" numFmtId="1" xfId="0" applyAlignment="1" applyFont="1" applyNumberFormat="1">
      <alignment vertical="top"/>
    </xf>
    <xf borderId="0" fillId="0" fontId="4" numFmtId="1" xfId="0" applyAlignment="1" applyFont="1" applyNumberFormat="1">
      <alignment shrinkToFit="0" vertical="bottom" wrapText="0"/>
    </xf>
    <xf borderId="0" fillId="0" fontId="4" numFmtId="167" xfId="0" applyAlignment="1" applyFont="1" applyNumberFormat="1">
      <alignment shrinkToFit="0" vertical="bottom" wrapText="0"/>
    </xf>
    <xf borderId="0" fillId="0" fontId="4" numFmtId="0" xfId="0" applyAlignment="1" applyFont="1">
      <alignment vertical="bottom"/>
    </xf>
    <xf borderId="0" fillId="0" fontId="7" numFmtId="0" xfId="0" applyAlignment="1" applyFont="1">
      <alignment horizontal="left" shrinkToFit="0" wrapText="1"/>
    </xf>
    <xf borderId="0" fillId="0" fontId="4" numFmtId="1" xfId="0" applyAlignment="1" applyFont="1" applyNumberFormat="1">
      <alignment vertical="bottom"/>
    </xf>
    <xf borderId="0" fillId="0" fontId="12" numFmtId="0" xfId="0" applyAlignment="1" applyFont="1">
      <alignment readingOrder="0"/>
    </xf>
    <xf borderId="0" fillId="0" fontId="0" numFmtId="0" xfId="0" applyAlignment="1" applyFont="1">
      <alignment horizontal="left" readingOrder="0"/>
    </xf>
    <xf borderId="0" fillId="0" fontId="13" numFmtId="0" xfId="0" applyAlignment="1" applyFont="1">
      <alignment readingOrder="0"/>
    </xf>
    <xf borderId="1" fillId="2" fontId="2" numFmtId="0" xfId="0" applyAlignment="1" applyBorder="1" applyFill="1" applyFont="1">
      <alignment horizontal="center" readingOrder="0"/>
    </xf>
    <xf borderId="2" fillId="2" fontId="2" numFmtId="0" xfId="0" applyAlignment="1" applyBorder="1" applyFill="1" applyFont="1">
      <alignment horizontal="center" readingOrder="0"/>
    </xf>
    <xf borderId="3" fillId="2" fontId="2" numFmtId="0" xfId="0" applyAlignment="1" applyBorder="1" applyFill="1" applyFont="1">
      <alignment horizontal="center" readingOrder="0"/>
    </xf>
    <xf borderId="4" fillId="0" fontId="4" numFmtId="0" xfId="0" applyAlignment="1" applyBorder="1" applyFont="1">
      <alignment readingOrder="0" shrinkToFit="0" vertical="bottom" wrapText="0"/>
    </xf>
    <xf borderId="0" fillId="0" fontId="4" numFmtId="9" xfId="0" applyAlignment="1" applyFont="1" applyNumberFormat="1">
      <alignment horizontal="center" readingOrder="0" shrinkToFit="0" vertical="bottom" wrapText="0"/>
    </xf>
    <xf borderId="5" fillId="0" fontId="4" numFmtId="0" xfId="0" applyAlignment="1" applyBorder="1" applyFont="1">
      <alignment readingOrder="0" shrinkToFit="0" vertical="bottom" wrapText="0"/>
    </xf>
    <xf borderId="6" fillId="0" fontId="4" numFmtId="0" xfId="0" applyAlignment="1" applyBorder="1" applyFont="1">
      <alignment readingOrder="0" shrinkToFit="0" vertical="bottom" wrapText="0"/>
    </xf>
    <xf borderId="7" fillId="0" fontId="4" numFmtId="9" xfId="0" applyAlignment="1" applyBorder="1" applyFont="1" applyNumberFormat="1">
      <alignment horizontal="center" readingOrder="0" shrinkToFit="0" vertical="bottom" wrapText="0"/>
    </xf>
    <xf borderId="7" fillId="0" fontId="4" numFmtId="0" xfId="0" applyAlignment="1" applyBorder="1" applyFont="1">
      <alignment readingOrder="0" shrinkToFit="0" vertical="bottom" wrapText="0"/>
    </xf>
    <xf borderId="8" fillId="0" fontId="4" numFmtId="0" xfId="0" applyAlignment="1" applyBorder="1" applyFont="1">
      <alignment readingOrder="0" shrinkToFit="0" vertical="bottom" wrapText="0"/>
    </xf>
    <xf borderId="9" fillId="0" fontId="4" numFmtId="0" xfId="0" applyAlignment="1" applyBorder="1" applyFont="1">
      <alignment readingOrder="0" shrinkToFit="0" vertical="bottom" wrapText="0"/>
    </xf>
    <xf borderId="1" fillId="4" fontId="14" numFmtId="0" xfId="0" applyAlignment="1" applyBorder="1" applyFill="1" applyFont="1">
      <alignment readingOrder="0" vertical="bottom"/>
    </xf>
    <xf borderId="2" fillId="4" fontId="14" numFmtId="0" xfId="0" applyAlignment="1" applyBorder="1" applyFill="1" applyFont="1">
      <alignment vertical="bottom"/>
    </xf>
    <xf borderId="3" fillId="4" fontId="14" numFmtId="0" xfId="0" applyAlignment="1" applyBorder="1" applyFill="1" applyFont="1">
      <alignment vertical="bottom"/>
    </xf>
    <xf borderId="4" fillId="2" fontId="2" numFmtId="0" xfId="0" applyAlignment="1" applyBorder="1" applyFill="1" applyFont="1">
      <alignment readingOrder="0" vertical="bottom"/>
    </xf>
    <xf borderId="0" fillId="2" fontId="2" numFmtId="0" xfId="0" applyAlignment="1" applyFill="1" applyFont="1">
      <alignment readingOrder="0" vertical="bottom"/>
    </xf>
    <xf borderId="5" fillId="2" fontId="2" numFmtId="0" xfId="0" applyAlignment="1" applyBorder="1" applyFill="1" applyFont="1">
      <alignment readingOrder="0" vertical="bottom"/>
    </xf>
    <xf borderId="4" fillId="0" fontId="4" numFmtId="0" xfId="0" applyAlignment="1" applyBorder="1" applyFont="1">
      <alignment readingOrder="0" vertical="bottom"/>
    </xf>
    <xf borderId="0" fillId="0" fontId="4" numFmtId="9" xfId="0" applyAlignment="1" applyFont="1" applyNumberFormat="1">
      <alignment readingOrder="0" vertical="bottom"/>
    </xf>
    <xf borderId="5" fillId="0" fontId="4" numFmtId="0" xfId="0" applyAlignment="1" applyBorder="1" applyFont="1">
      <alignment readingOrder="0" vertical="bottom"/>
    </xf>
    <xf borderId="6" fillId="0" fontId="4" numFmtId="0" xfId="0" applyAlignment="1" applyBorder="1" applyFont="1">
      <alignment readingOrder="0" vertical="bottom"/>
    </xf>
    <xf borderId="7" fillId="0" fontId="4" numFmtId="0" xfId="0" applyAlignment="1" applyBorder="1" applyFont="1">
      <alignment readingOrder="0" vertical="bottom"/>
    </xf>
    <xf borderId="8" fillId="0" fontId="4" numFmtId="0" xfId="0" applyAlignment="1" applyBorder="1" applyFont="1">
      <alignment readingOrder="0" vertical="bottom"/>
    </xf>
    <xf borderId="0" fillId="0" fontId="1" numFmtId="0" xfId="0" applyFont="1"/>
    <xf borderId="0" fillId="0" fontId="15" numFmtId="0" xfId="0" applyFont="1"/>
    <xf borderId="0" fillId="0" fontId="15" numFmtId="0" xfId="0" applyAlignment="1" applyFont="1">
      <alignment readingOrder="0"/>
    </xf>
    <xf borderId="0" fillId="0" fontId="1" numFmtId="0" xfId="0" applyAlignment="1" applyFont="1">
      <alignment horizontal="left" readingOrder="0" shrinkToFit="0" vertical="center" wrapText="0"/>
    </xf>
    <xf borderId="0" fillId="0" fontId="1" numFmtId="0" xfId="0" applyAlignment="1" applyFont="1">
      <alignment readingOrder="0" shrinkToFit="0" vertical="center" wrapText="0"/>
    </xf>
    <xf borderId="0" fillId="5" fontId="16" numFmtId="0" xfId="0" applyAlignment="1" applyFill="1" applyFont="1">
      <alignment readingOrder="0"/>
    </xf>
    <xf borderId="0" fillId="0" fontId="1" numFmtId="0" xfId="0" applyAlignment="1" applyFont="1">
      <alignment horizontal="left"/>
    </xf>
    <xf borderId="0" fillId="0" fontId="5" numFmtId="1" xfId="0" applyAlignment="1" applyFont="1" applyNumberFormat="1">
      <alignment shrinkToFit="0" wrapText="1"/>
    </xf>
    <xf borderId="0" fillId="0" fontId="17" numFmtId="0" xfId="0" applyAlignment="1" applyFont="1">
      <alignment horizontal="left" readingOrder="0"/>
    </xf>
    <xf borderId="0" fillId="3" fontId="8" numFmtId="1" xfId="0" applyAlignment="1" applyFill="1" applyFont="1" applyNumberFormat="1">
      <alignment vertical="bottom"/>
    </xf>
    <xf borderId="0" fillId="0" fontId="5" numFmtId="167" xfId="0" applyAlignment="1" applyFont="1" applyNumberFormat="1">
      <alignment shrinkToFit="0" wrapText="1"/>
    </xf>
    <xf borderId="0" fillId="0" fontId="5" numFmtId="165" xfId="0" applyAlignment="1" applyFont="1" applyNumberFormat="1">
      <alignment shrinkToFit="0" wrapText="1"/>
    </xf>
    <xf borderId="0" fillId="0" fontId="5" numFmtId="167" xfId="0" applyAlignment="1" applyFont="1" applyNumberFormat="1">
      <alignment horizontal="center" shrinkToFit="0" wrapText="1"/>
    </xf>
    <xf borderId="0" fillId="3" fontId="8" numFmtId="0" xfId="0" applyAlignment="1" applyFill="1" applyFont="1">
      <alignment vertical="bottom"/>
    </xf>
    <xf borderId="0" fillId="0" fontId="1" numFmtId="0" xfId="0" applyAlignment="1" applyFont="1">
      <alignment horizontal="center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/>
      <fill>
        <patternFill patternType="solid">
          <fgColor rgb="FF535FC1"/>
          <bgColor rgb="FF535FC1"/>
        </patternFill>
      </fill>
      <border/>
    </dxf>
  </dxfs>
  <tableStyles count="4">
    <tableStyle count="4" pivot="0" name="Redemption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Redemption-style 2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RUCA Categori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RUCA Categories-style 2">
      <tableStyleElement dxfId="5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4" Type="http://customschemas.google.com/relationships/workbookmetadata" Target="metadata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E1000" displayName="Vendors" name="Vendors" id="1">
  <tableColumns count="5">
    <tableColumn name="ZIP" id="1"/>
    <tableColumn name="City" id="2"/>
    <tableColumn name="WIC Vendor Redemption $ - 12 Mo" id="3"/>
    <tableColumn name="# WIC Vendors" id="4"/>
    <tableColumn name="Avg $ Redeemed per Vendor" id="5"/>
  </tableColumns>
  <tableStyleInfo name="Redemption-style" showColumnStripes="0" showFirstColumn="1" showLastColumn="1" showRowStripes="1"/>
</table>
</file>

<file path=xl/tables/table2.xml><?xml version="1.0" encoding="utf-8"?>
<table xmlns="http://schemas.openxmlformats.org/spreadsheetml/2006/main" ref="H1:L1000" displayName="Dollar_Generals_in_WV" name="Dollar_Generals_in_WV" id="2">
  <tableColumns count="5">
    <tableColumn name="DG 5-Digit ZIP" id="1"/>
    <tableColumn name="# DG Stores in ZIP" id="2"/>
    <tableColumn name="12-Month WIC Redemption in ZIP" id="3"/>
    <tableColumn name="# Current WIC Vendors in DG ZIP" id="4"/>
    <tableColumn name="Average Redemption per WIC Vendor" id="5"/>
  </tableColumns>
  <tableStyleInfo name="Redemption-style 2" showColumnStripes="0" showFirstColumn="1" showLastColumn="1" showRowStripes="1"/>
</table>
</file>

<file path=xl/tables/table3.xml><?xml version="1.0" encoding="utf-8"?>
<table xmlns="http://schemas.openxmlformats.org/spreadsheetml/2006/main" ref="A1:A5" displayName="RUCA" name="RUCA" id="3">
  <tableColumns count="1">
    <tableColumn name="RUCA Classification:" id="1"/>
  </tableColumns>
  <tableStyleInfo name="RUCA Categories-style" showColumnStripes="0" showFirstColumn="1" showLastColumn="1" showRowStripes="1"/>
</table>
</file>

<file path=xl/tables/table4.xml><?xml version="1.0" encoding="utf-8"?>
<table xmlns="http://schemas.openxmlformats.org/spreadsheetml/2006/main" ref="A7:A11" displayName="Rurality" name="Rurality" id="4">
  <tableColumns count="1">
    <tableColumn name="Rurality Score:" id="1"/>
  </tableColumns>
  <tableStyleInfo name="RUCA Categories-style 2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www.dollargeneral.com/store-directory/wv/burlington" TargetMode="External"/><Relationship Id="rId190" Type="http://schemas.openxmlformats.org/officeDocument/2006/relationships/hyperlink" Target="https://www.dollargeneral.com/store-directory/wv/mullens" TargetMode="External"/><Relationship Id="rId42" Type="http://schemas.openxmlformats.org/officeDocument/2006/relationships/hyperlink" Target="https://www.dollargeneral.com/store-directory/wv/burton" TargetMode="External"/><Relationship Id="rId41" Type="http://schemas.openxmlformats.org/officeDocument/2006/relationships/hyperlink" Target="https://www.dollargeneral.com/store-directory/wv/burnsville" TargetMode="External"/><Relationship Id="rId44" Type="http://schemas.openxmlformats.org/officeDocument/2006/relationships/hyperlink" Target="https://www.dollargeneral.com/store-directory/wv/cameron" TargetMode="External"/><Relationship Id="rId194" Type="http://schemas.openxmlformats.org/officeDocument/2006/relationships/hyperlink" Target="https://www.dollargeneral.com/store-directory/wv/new-manchester" TargetMode="External"/><Relationship Id="rId43" Type="http://schemas.openxmlformats.org/officeDocument/2006/relationships/hyperlink" Target="https://www.dollargeneral.com/store-directory/wv/caldwell" TargetMode="External"/><Relationship Id="rId193" Type="http://schemas.openxmlformats.org/officeDocument/2006/relationships/hyperlink" Target="https://www.dollargeneral.com/store-directory/wv/new-haven" TargetMode="External"/><Relationship Id="rId46" Type="http://schemas.openxmlformats.org/officeDocument/2006/relationships/hyperlink" Target="https://www.dollargeneral.com/store-directory/wv/cassville" TargetMode="External"/><Relationship Id="rId192" Type="http://schemas.openxmlformats.org/officeDocument/2006/relationships/hyperlink" Target="https://www.dollargeneral.com/store-directory/wv/new-cumberland" TargetMode="External"/><Relationship Id="rId45" Type="http://schemas.openxmlformats.org/officeDocument/2006/relationships/hyperlink" Target="https://www.dollargeneral.com/store-directory/wv/capon-bridge" TargetMode="External"/><Relationship Id="rId191" Type="http://schemas.openxmlformats.org/officeDocument/2006/relationships/hyperlink" Target="https://www.dollargeneral.com/store-directory/wv/nettie" TargetMode="External"/><Relationship Id="rId48" Type="http://schemas.openxmlformats.org/officeDocument/2006/relationships/hyperlink" Target="https://www.dollargeneral.com/store-directory/wv/charles-town" TargetMode="External"/><Relationship Id="rId187" Type="http://schemas.openxmlformats.org/officeDocument/2006/relationships/hyperlink" Target="https://www.dollargeneral.com/store-directory/wv/mount-lookout" TargetMode="External"/><Relationship Id="rId47" Type="http://schemas.openxmlformats.org/officeDocument/2006/relationships/hyperlink" Target="https://www.dollargeneral.com/store-directory/wv/chapmanville" TargetMode="External"/><Relationship Id="rId186" Type="http://schemas.openxmlformats.org/officeDocument/2006/relationships/hyperlink" Target="https://www.dollargeneral.com/store-directory/wv/mount-hope" TargetMode="External"/><Relationship Id="rId185" Type="http://schemas.openxmlformats.org/officeDocument/2006/relationships/hyperlink" Target="https://www.dollargeneral.com/store-directory/wv/mount-clare" TargetMode="External"/><Relationship Id="rId49" Type="http://schemas.openxmlformats.org/officeDocument/2006/relationships/hyperlink" Target="https://www.dollargeneral.com/store-directory/wv/charles-town" TargetMode="External"/><Relationship Id="rId184" Type="http://schemas.openxmlformats.org/officeDocument/2006/relationships/hyperlink" Target="https://www.dollargeneral.com/store-directory/wv/moundsville" TargetMode="External"/><Relationship Id="rId189" Type="http://schemas.openxmlformats.org/officeDocument/2006/relationships/hyperlink" Target="https://www.dollargeneral.com/store-directory/wv/mount-storm" TargetMode="External"/><Relationship Id="rId188" Type="http://schemas.openxmlformats.org/officeDocument/2006/relationships/hyperlink" Target="https://www.dollargeneral.com/store-directory/wv/mount-nebo" TargetMode="External"/><Relationship Id="rId31" Type="http://schemas.openxmlformats.org/officeDocument/2006/relationships/hyperlink" Target="https://www.dollargeneral.com/store-directory/wv/bluefield" TargetMode="External"/><Relationship Id="rId30" Type="http://schemas.openxmlformats.org/officeDocument/2006/relationships/hyperlink" Target="https://www.dollargeneral.com/store-directory/wv/bluefield" TargetMode="External"/><Relationship Id="rId33" Type="http://schemas.openxmlformats.org/officeDocument/2006/relationships/hyperlink" Target="https://www.dollargeneral.com/store-directory/wv/bradshaw" TargetMode="External"/><Relationship Id="rId183" Type="http://schemas.openxmlformats.org/officeDocument/2006/relationships/hyperlink" Target="https://www.dollargeneral.com/store-directory/wv/morgantown" TargetMode="External"/><Relationship Id="rId32" Type="http://schemas.openxmlformats.org/officeDocument/2006/relationships/hyperlink" Target="https://www.dollargeneral.com/store-directory/wv/bluefield" TargetMode="External"/><Relationship Id="rId182" Type="http://schemas.openxmlformats.org/officeDocument/2006/relationships/hyperlink" Target="https://www.dollargeneral.com/store-directory/wv/morgantown" TargetMode="External"/><Relationship Id="rId35" Type="http://schemas.openxmlformats.org/officeDocument/2006/relationships/hyperlink" Target="https://www.dollargeneral.com/store-directory/wv/branchland" TargetMode="External"/><Relationship Id="rId181" Type="http://schemas.openxmlformats.org/officeDocument/2006/relationships/hyperlink" Target="https://www.dollargeneral.com/store-directory/wv/morgantown" TargetMode="External"/><Relationship Id="rId34" Type="http://schemas.openxmlformats.org/officeDocument/2006/relationships/hyperlink" Target="https://www.dollargeneral.com/store-directory/wv/branchland" TargetMode="External"/><Relationship Id="rId180" Type="http://schemas.openxmlformats.org/officeDocument/2006/relationships/hyperlink" Target="https://www.dollargeneral.com/store-directory/wv/morgantown" TargetMode="External"/><Relationship Id="rId37" Type="http://schemas.openxmlformats.org/officeDocument/2006/relationships/hyperlink" Target="https://www.dollargeneral.com/store-directory/wv/buckhannon" TargetMode="External"/><Relationship Id="rId176" Type="http://schemas.openxmlformats.org/officeDocument/2006/relationships/hyperlink" Target="https://www.dollargeneral.com/store-directory/wv/mineral-wells" TargetMode="External"/><Relationship Id="rId297" Type="http://schemas.openxmlformats.org/officeDocument/2006/relationships/hyperlink" Target="https://www.dollargeneral.com/store-directory/wv/wellsburg" TargetMode="External"/><Relationship Id="rId36" Type="http://schemas.openxmlformats.org/officeDocument/2006/relationships/hyperlink" Target="https://www.dollargeneral.com/store-directory/wv/bridgeport" TargetMode="External"/><Relationship Id="rId175" Type="http://schemas.openxmlformats.org/officeDocument/2006/relationships/hyperlink" Target="https://www.dollargeneral.com/store-directory/wv/milton" TargetMode="External"/><Relationship Id="rId296" Type="http://schemas.openxmlformats.org/officeDocument/2006/relationships/hyperlink" Target="https://www.dollargeneral.com/store-directory/wv/wellsburg" TargetMode="External"/><Relationship Id="rId39" Type="http://schemas.openxmlformats.org/officeDocument/2006/relationships/hyperlink" Target="https://www.dollargeneral.com/store-directory/wv/bunker-hill" TargetMode="External"/><Relationship Id="rId174" Type="http://schemas.openxmlformats.org/officeDocument/2006/relationships/hyperlink" Target="https://www.dollargeneral.com/store-directory/wv/millwood" TargetMode="External"/><Relationship Id="rId295" Type="http://schemas.openxmlformats.org/officeDocument/2006/relationships/hyperlink" Target="https://www.dollargeneral.com/store-directory/wv/wellsburg" TargetMode="External"/><Relationship Id="rId38" Type="http://schemas.openxmlformats.org/officeDocument/2006/relationships/hyperlink" Target="https://www.dollargeneral.com/store-directory/wv/buffalo" TargetMode="External"/><Relationship Id="rId173" Type="http://schemas.openxmlformats.org/officeDocument/2006/relationships/hyperlink" Target="https://www.dollargeneral.com/store-directory/wv/mill-creek" TargetMode="External"/><Relationship Id="rId294" Type="http://schemas.openxmlformats.org/officeDocument/2006/relationships/hyperlink" Target="https://www.dollargeneral.com/store-directory/wv/welch" TargetMode="External"/><Relationship Id="rId179" Type="http://schemas.openxmlformats.org/officeDocument/2006/relationships/hyperlink" Target="https://www.dollargeneral.com/store-directory/wv/morgantown" TargetMode="External"/><Relationship Id="rId178" Type="http://schemas.openxmlformats.org/officeDocument/2006/relationships/hyperlink" Target="https://www.dollargeneral.com/store-directory/wv/moorefield" TargetMode="External"/><Relationship Id="rId299" Type="http://schemas.openxmlformats.org/officeDocument/2006/relationships/hyperlink" Target="https://www.dollargeneral.com/store-directory/wv/west-union" TargetMode="External"/><Relationship Id="rId177" Type="http://schemas.openxmlformats.org/officeDocument/2006/relationships/hyperlink" Target="https://www.dollargeneral.com/store-directory/wv/montgomery" TargetMode="External"/><Relationship Id="rId298" Type="http://schemas.openxmlformats.org/officeDocument/2006/relationships/hyperlink" Target="https://www.dollargeneral.com/store-directory/wv/west-milford" TargetMode="External"/><Relationship Id="rId20" Type="http://schemas.openxmlformats.org/officeDocument/2006/relationships/hyperlink" Target="https://www.dollargeneral.com/store-directory/wv/belle" TargetMode="External"/><Relationship Id="rId22" Type="http://schemas.openxmlformats.org/officeDocument/2006/relationships/hyperlink" Target="https://www.dollargeneral.com/store-directory/wv/belmont" TargetMode="External"/><Relationship Id="rId21" Type="http://schemas.openxmlformats.org/officeDocument/2006/relationships/hyperlink" Target="https://www.dollargeneral.com/store-directory/wv/belle" TargetMode="External"/><Relationship Id="rId24" Type="http://schemas.openxmlformats.org/officeDocument/2006/relationships/hyperlink" Target="https://www.dollargeneral.com/store-directory/wv/berkeley-springs" TargetMode="External"/><Relationship Id="rId23" Type="http://schemas.openxmlformats.org/officeDocument/2006/relationships/hyperlink" Target="https://www.dollargeneral.com/store-directory/wv/benwood" TargetMode="External"/><Relationship Id="rId26" Type="http://schemas.openxmlformats.org/officeDocument/2006/relationships/hyperlink" Target="https://www.dollargeneral.com/store-directory/wv/beverly" TargetMode="External"/><Relationship Id="rId25" Type="http://schemas.openxmlformats.org/officeDocument/2006/relationships/hyperlink" Target="https://www.dollargeneral.com/store-directory/wv/berkeley-springs" TargetMode="External"/><Relationship Id="rId28" Type="http://schemas.openxmlformats.org/officeDocument/2006/relationships/hyperlink" Target="https://www.dollargeneral.com/store-directory/wv/blacksville" TargetMode="External"/><Relationship Id="rId27" Type="http://schemas.openxmlformats.org/officeDocument/2006/relationships/hyperlink" Target="https://www.dollargeneral.com/store-directory/wv/birch-river" TargetMode="External"/><Relationship Id="rId29" Type="http://schemas.openxmlformats.org/officeDocument/2006/relationships/hyperlink" Target="https://www.dollargeneral.com/store-directory/wv/bluefield" TargetMode="External"/><Relationship Id="rId11" Type="http://schemas.openxmlformats.org/officeDocument/2006/relationships/hyperlink" Target="https://www.dollargeneral.com/store-directory/wv/barboursville" TargetMode="External"/><Relationship Id="rId10" Type="http://schemas.openxmlformats.org/officeDocument/2006/relationships/hyperlink" Target="https://www.dollargeneral.com/store-directory/wv/barboursville" TargetMode="External"/><Relationship Id="rId13" Type="http://schemas.openxmlformats.org/officeDocument/2006/relationships/hyperlink" Target="https://www.dollargeneral.com/store-directory/wv/beckley" TargetMode="External"/><Relationship Id="rId12" Type="http://schemas.openxmlformats.org/officeDocument/2006/relationships/hyperlink" Target="https://www.dollargeneral.com/store-directory/wv/barrackville" TargetMode="External"/><Relationship Id="rId15" Type="http://schemas.openxmlformats.org/officeDocument/2006/relationships/hyperlink" Target="https://www.dollargeneral.com/store-directory/wv/beckley" TargetMode="External"/><Relationship Id="rId198" Type="http://schemas.openxmlformats.org/officeDocument/2006/relationships/hyperlink" Target="https://www.dollargeneral.com/store-directory/wv/nitro" TargetMode="External"/><Relationship Id="rId14" Type="http://schemas.openxmlformats.org/officeDocument/2006/relationships/hyperlink" Target="https://www.dollargeneral.com/store-directory/wv/beckley" TargetMode="External"/><Relationship Id="rId197" Type="http://schemas.openxmlformats.org/officeDocument/2006/relationships/hyperlink" Target="https://www.dollargeneral.com/store-directory/wv/nimitz" TargetMode="External"/><Relationship Id="rId17" Type="http://schemas.openxmlformats.org/officeDocument/2006/relationships/hyperlink" Target="https://www.dollargeneral.com/store-directory/wv/beckley" TargetMode="External"/><Relationship Id="rId196" Type="http://schemas.openxmlformats.org/officeDocument/2006/relationships/hyperlink" Target="https://www.dollargeneral.com/store-directory/wv/newell" TargetMode="External"/><Relationship Id="rId16" Type="http://schemas.openxmlformats.org/officeDocument/2006/relationships/hyperlink" Target="https://www.dollargeneral.com/store-directory/wv/beckley" TargetMode="External"/><Relationship Id="rId195" Type="http://schemas.openxmlformats.org/officeDocument/2006/relationships/hyperlink" Target="https://www.dollargeneral.com/store-directory/wv/new-martinsville" TargetMode="External"/><Relationship Id="rId19" Type="http://schemas.openxmlformats.org/officeDocument/2006/relationships/hyperlink" Target="https://www.dollargeneral.com/store-directory/wv/belington" TargetMode="External"/><Relationship Id="rId18" Type="http://schemas.openxmlformats.org/officeDocument/2006/relationships/hyperlink" Target="https://www.dollargeneral.com/store-directory/wv/belington" TargetMode="External"/><Relationship Id="rId199" Type="http://schemas.openxmlformats.org/officeDocument/2006/relationships/hyperlink" Target="https://www.dollargeneral.com/store-directory/wv/nitro" TargetMode="External"/><Relationship Id="rId84" Type="http://schemas.openxmlformats.org/officeDocument/2006/relationships/hyperlink" Target="https://www.dollargeneral.com/store-directory/wv/east-bank" TargetMode="External"/><Relationship Id="rId83" Type="http://schemas.openxmlformats.org/officeDocument/2006/relationships/hyperlink" Target="https://www.dollargeneral.com/store-directory/wv/dunbar" TargetMode="External"/><Relationship Id="rId86" Type="http://schemas.openxmlformats.org/officeDocument/2006/relationships/hyperlink" Target="https://www.dollargeneral.com/store-directory/wv/elizabeth" TargetMode="External"/><Relationship Id="rId85" Type="http://schemas.openxmlformats.org/officeDocument/2006/relationships/hyperlink" Target="https://www.dollargeneral.com/store-directory/wv/eleanor" TargetMode="External"/><Relationship Id="rId88" Type="http://schemas.openxmlformats.org/officeDocument/2006/relationships/hyperlink" Target="https://www.dollargeneral.com/store-directory/wv/elkins" TargetMode="External"/><Relationship Id="rId150" Type="http://schemas.openxmlformats.org/officeDocument/2006/relationships/hyperlink" Target="https://www.dollargeneral.com/store-directory/wv/lerona" TargetMode="External"/><Relationship Id="rId271" Type="http://schemas.openxmlformats.org/officeDocument/2006/relationships/hyperlink" Target="https://www.dollargeneral.com/store-directory/wv/star-city" TargetMode="External"/><Relationship Id="rId87" Type="http://schemas.openxmlformats.org/officeDocument/2006/relationships/hyperlink" Target="https://www.dollargeneral.com/store-directory/wv/elkins" TargetMode="External"/><Relationship Id="rId270" Type="http://schemas.openxmlformats.org/officeDocument/2006/relationships/hyperlink" Target="https://www.dollargeneral.com/store-directory/wv/springfield" TargetMode="External"/><Relationship Id="rId89" Type="http://schemas.openxmlformats.org/officeDocument/2006/relationships/hyperlink" Target="https://www.dollargeneral.com/store-directory/wv/elkview" TargetMode="External"/><Relationship Id="rId80" Type="http://schemas.openxmlformats.org/officeDocument/2006/relationships/hyperlink" Target="https://www.dollargeneral.com/store-directory/wv/delbarton" TargetMode="External"/><Relationship Id="rId82" Type="http://schemas.openxmlformats.org/officeDocument/2006/relationships/hyperlink" Target="https://www.dollargeneral.com/store-directory/wv/dixie" TargetMode="External"/><Relationship Id="rId81" Type="http://schemas.openxmlformats.org/officeDocument/2006/relationships/hyperlink" Target="https://www.dollargeneral.com/store-directory/wv/delbarton" TargetMode="External"/><Relationship Id="rId1" Type="http://schemas.openxmlformats.org/officeDocument/2006/relationships/hyperlink" Target="https://www.dollargeneral.com/store-directory/wv/albright" TargetMode="External"/><Relationship Id="rId2" Type="http://schemas.openxmlformats.org/officeDocument/2006/relationships/hyperlink" Target="https://www.dollargeneral.com/store-directory/wv/alderson" TargetMode="External"/><Relationship Id="rId3" Type="http://schemas.openxmlformats.org/officeDocument/2006/relationships/hyperlink" Target="https://www.dollargeneral.com/store-directory/wv/ansted" TargetMode="External"/><Relationship Id="rId149" Type="http://schemas.openxmlformats.org/officeDocument/2006/relationships/hyperlink" Target="https://www.dollargeneral.com/store-directory/wv/leon" TargetMode="External"/><Relationship Id="rId4" Type="http://schemas.openxmlformats.org/officeDocument/2006/relationships/hyperlink" Target="https://www.dollargeneral.com/store-directory/wv/arnoldsburg" TargetMode="External"/><Relationship Id="rId148" Type="http://schemas.openxmlformats.org/officeDocument/2006/relationships/hyperlink" Target="https://www.dollargeneral.com/store-directory/wv/lavalette" TargetMode="External"/><Relationship Id="rId269" Type="http://schemas.openxmlformats.org/officeDocument/2006/relationships/hyperlink" Target="https://www.dollargeneral.com/store-directory/wv/spencer" TargetMode="External"/><Relationship Id="rId9" Type="http://schemas.openxmlformats.org/officeDocument/2006/relationships/hyperlink" Target="https://www.dollargeneral.com/store-directory/wv/baker" TargetMode="External"/><Relationship Id="rId143" Type="http://schemas.openxmlformats.org/officeDocument/2006/relationships/hyperlink" Target="https://www.dollargeneral.com/store-directory/wv/kenova" TargetMode="External"/><Relationship Id="rId264" Type="http://schemas.openxmlformats.org/officeDocument/2006/relationships/hyperlink" Target="https://www.dollargeneral.com/store-directory/wv/sophia" TargetMode="External"/><Relationship Id="rId142" Type="http://schemas.openxmlformats.org/officeDocument/2006/relationships/hyperlink" Target="https://www.dollargeneral.com/store-directory/wv/kearneysville" TargetMode="External"/><Relationship Id="rId263" Type="http://schemas.openxmlformats.org/officeDocument/2006/relationships/hyperlink" Target="https://www.dollargeneral.com/store-directory/wv/smithville" TargetMode="External"/><Relationship Id="rId141" Type="http://schemas.openxmlformats.org/officeDocument/2006/relationships/hyperlink" Target="https://www.dollargeneral.com/store-directory/wv/kearneysville" TargetMode="External"/><Relationship Id="rId262" Type="http://schemas.openxmlformats.org/officeDocument/2006/relationships/hyperlink" Target="https://www.dollargeneral.com/store-directory/wv/smithers" TargetMode="External"/><Relationship Id="rId140" Type="http://schemas.openxmlformats.org/officeDocument/2006/relationships/hyperlink" Target="https://www.dollargeneral.com/store-directory/wv/jane-lew" TargetMode="External"/><Relationship Id="rId261" Type="http://schemas.openxmlformats.org/officeDocument/2006/relationships/hyperlink" Target="https://www.dollargeneral.com/store-directory/wv/slaty-fork" TargetMode="External"/><Relationship Id="rId5" Type="http://schemas.openxmlformats.org/officeDocument/2006/relationships/hyperlink" Target="https://www.dollargeneral.com/store-directory/wv/ashton" TargetMode="External"/><Relationship Id="rId147" Type="http://schemas.openxmlformats.org/officeDocument/2006/relationships/hyperlink" Target="https://www.dollargeneral.com/store-directory/wv/kingwood" TargetMode="External"/><Relationship Id="rId268" Type="http://schemas.openxmlformats.org/officeDocument/2006/relationships/hyperlink" Target="https://www.dollargeneral.com/store-directory/wv/south-charleston" TargetMode="External"/><Relationship Id="rId6" Type="http://schemas.openxmlformats.org/officeDocument/2006/relationships/hyperlink" Target="https://www.dollargeneral.com/store-directory/wv/athens" TargetMode="External"/><Relationship Id="rId146" Type="http://schemas.openxmlformats.org/officeDocument/2006/relationships/hyperlink" Target="https://www.dollargeneral.com/store-directory/wv/keyser" TargetMode="External"/><Relationship Id="rId267" Type="http://schemas.openxmlformats.org/officeDocument/2006/relationships/hyperlink" Target="https://www.dollargeneral.com/store-directory/wv/south-charleston" TargetMode="External"/><Relationship Id="rId7" Type="http://schemas.openxmlformats.org/officeDocument/2006/relationships/hyperlink" Target="https://www.dollargeneral.com/store-directory/wv/augusta" TargetMode="External"/><Relationship Id="rId145" Type="http://schemas.openxmlformats.org/officeDocument/2006/relationships/hyperlink" Target="https://www.dollargeneral.com/store-directory/wv/keyser" TargetMode="External"/><Relationship Id="rId266" Type="http://schemas.openxmlformats.org/officeDocument/2006/relationships/hyperlink" Target="https://www.dollargeneral.com/store-directory/wv/south-charleston" TargetMode="External"/><Relationship Id="rId8" Type="http://schemas.openxmlformats.org/officeDocument/2006/relationships/hyperlink" Target="https://www.dollargeneral.com/store-directory/wv/aurora" TargetMode="External"/><Relationship Id="rId144" Type="http://schemas.openxmlformats.org/officeDocument/2006/relationships/hyperlink" Target="https://www.dollargeneral.com/store-directory/wv/kermit" TargetMode="External"/><Relationship Id="rId265" Type="http://schemas.openxmlformats.org/officeDocument/2006/relationships/hyperlink" Target="https://www.dollargeneral.com/store-directory/wv/sophia" TargetMode="External"/><Relationship Id="rId73" Type="http://schemas.openxmlformats.org/officeDocument/2006/relationships/hyperlink" Target="https://www.dollargeneral.com/store-directory/wv/craigsville" TargetMode="External"/><Relationship Id="rId72" Type="http://schemas.openxmlformats.org/officeDocument/2006/relationships/hyperlink" Target="https://www.dollargeneral.com/store-directory/wv/cowen" TargetMode="External"/><Relationship Id="rId75" Type="http://schemas.openxmlformats.org/officeDocument/2006/relationships/hyperlink" Target="https://www.dollargeneral.com/store-directory/wv/culloden" TargetMode="External"/><Relationship Id="rId74" Type="http://schemas.openxmlformats.org/officeDocument/2006/relationships/hyperlink" Target="https://www.dollargeneral.com/store-directory/wv/craigsville" TargetMode="External"/><Relationship Id="rId77" Type="http://schemas.openxmlformats.org/officeDocument/2006/relationships/hyperlink" Target="https://www.dollargeneral.com/store-directory/wv/daniels" TargetMode="External"/><Relationship Id="rId260" Type="http://schemas.openxmlformats.org/officeDocument/2006/relationships/hyperlink" Target="https://www.dollargeneral.com/store-directory/wv/slanesville" TargetMode="External"/><Relationship Id="rId76" Type="http://schemas.openxmlformats.org/officeDocument/2006/relationships/hyperlink" Target="https://www.dollargeneral.com/store-directory/wv/danese" TargetMode="External"/><Relationship Id="rId79" Type="http://schemas.openxmlformats.org/officeDocument/2006/relationships/hyperlink" Target="https://www.dollargeneral.com/store-directory/wv/davis" TargetMode="External"/><Relationship Id="rId78" Type="http://schemas.openxmlformats.org/officeDocument/2006/relationships/hyperlink" Target="https://www.dollargeneral.com/store-directory/wv/danville" TargetMode="External"/><Relationship Id="rId71" Type="http://schemas.openxmlformats.org/officeDocument/2006/relationships/hyperlink" Target="https://www.dollargeneral.com/store-directory/wv/cool-ridge" TargetMode="External"/><Relationship Id="rId70" Type="http://schemas.openxmlformats.org/officeDocument/2006/relationships/hyperlink" Target="https://www.dollargeneral.com/store-directory/wv/coal-city" TargetMode="External"/><Relationship Id="rId139" Type="http://schemas.openxmlformats.org/officeDocument/2006/relationships/hyperlink" Target="https://www.dollargeneral.com/store-directory/wv/inwood" TargetMode="External"/><Relationship Id="rId138" Type="http://schemas.openxmlformats.org/officeDocument/2006/relationships/hyperlink" Target="https://www.dollargeneral.com/store-directory/wv/iaeger" TargetMode="External"/><Relationship Id="rId259" Type="http://schemas.openxmlformats.org/officeDocument/2006/relationships/hyperlink" Target="https://www.dollargeneral.com/store-directory/wv/sissonville" TargetMode="External"/><Relationship Id="rId137" Type="http://schemas.openxmlformats.org/officeDocument/2006/relationships/hyperlink" Target="https://www.dollargeneral.com/store-directory/wv/hurricane" TargetMode="External"/><Relationship Id="rId258" Type="http://schemas.openxmlformats.org/officeDocument/2006/relationships/hyperlink" Target="https://www.dollargeneral.com/store-directory/wv/shinnston" TargetMode="External"/><Relationship Id="rId132" Type="http://schemas.openxmlformats.org/officeDocument/2006/relationships/hyperlink" Target="https://www.dollargeneral.com/store-directory/wv/huntington" TargetMode="External"/><Relationship Id="rId253" Type="http://schemas.openxmlformats.org/officeDocument/2006/relationships/hyperlink" Target="https://www.dollargeneral.com/store-directory/wv/salt-rock" TargetMode="External"/><Relationship Id="rId131" Type="http://schemas.openxmlformats.org/officeDocument/2006/relationships/hyperlink" Target="https://www.dollargeneral.com/store-directory/wv/huntington" TargetMode="External"/><Relationship Id="rId252" Type="http://schemas.openxmlformats.org/officeDocument/2006/relationships/hyperlink" Target="https://www.dollargeneral.com/store-directory/wv/salem" TargetMode="External"/><Relationship Id="rId130" Type="http://schemas.openxmlformats.org/officeDocument/2006/relationships/hyperlink" Target="https://www.dollargeneral.com/store-directory/wv/huntington" TargetMode="External"/><Relationship Id="rId251" Type="http://schemas.openxmlformats.org/officeDocument/2006/relationships/hyperlink" Target="https://www.dollargeneral.com/store-directory/wv/saint-marys" TargetMode="External"/><Relationship Id="rId250" Type="http://schemas.openxmlformats.org/officeDocument/2006/relationships/hyperlink" Target="https://www.dollargeneral.com/store-directory/wv/saint-albans" TargetMode="External"/><Relationship Id="rId136" Type="http://schemas.openxmlformats.org/officeDocument/2006/relationships/hyperlink" Target="https://www.dollargeneral.com/store-directory/wv/hurricane" TargetMode="External"/><Relationship Id="rId257" Type="http://schemas.openxmlformats.org/officeDocument/2006/relationships/hyperlink" Target="https://www.dollargeneral.com/store-directory/wv/shinnston" TargetMode="External"/><Relationship Id="rId135" Type="http://schemas.openxmlformats.org/officeDocument/2006/relationships/hyperlink" Target="https://www.dollargeneral.com/store-directory/wv/hurricane" TargetMode="External"/><Relationship Id="rId256" Type="http://schemas.openxmlformats.org/officeDocument/2006/relationships/hyperlink" Target="https://www.dollargeneral.com/store-directory/wv/shepherdstown" TargetMode="External"/><Relationship Id="rId134" Type="http://schemas.openxmlformats.org/officeDocument/2006/relationships/hyperlink" Target="https://www.dollargeneral.com/store-directory/wv/huntington" TargetMode="External"/><Relationship Id="rId255" Type="http://schemas.openxmlformats.org/officeDocument/2006/relationships/hyperlink" Target="https://www.dollargeneral.com/store-directory/wv/shenandoah-junction" TargetMode="External"/><Relationship Id="rId133" Type="http://schemas.openxmlformats.org/officeDocument/2006/relationships/hyperlink" Target="https://www.dollargeneral.com/store-directory/wv/huntington" TargetMode="External"/><Relationship Id="rId254" Type="http://schemas.openxmlformats.org/officeDocument/2006/relationships/hyperlink" Target="https://www.dollargeneral.com/store-directory/wv/shady-spring" TargetMode="External"/><Relationship Id="rId62" Type="http://schemas.openxmlformats.org/officeDocument/2006/relationships/hyperlink" Target="https://www.dollargeneral.com/store-directory/wv/clarksburg" TargetMode="External"/><Relationship Id="rId61" Type="http://schemas.openxmlformats.org/officeDocument/2006/relationships/hyperlink" Target="https://www.dollargeneral.com/store-directory/wv/chester" TargetMode="External"/><Relationship Id="rId64" Type="http://schemas.openxmlformats.org/officeDocument/2006/relationships/hyperlink" Target="https://www.dollargeneral.com/store-directory/wv/clarksburg" TargetMode="External"/><Relationship Id="rId63" Type="http://schemas.openxmlformats.org/officeDocument/2006/relationships/hyperlink" Target="https://www.dollargeneral.com/store-directory/wv/clarksburg" TargetMode="External"/><Relationship Id="rId66" Type="http://schemas.openxmlformats.org/officeDocument/2006/relationships/hyperlink" Target="https://www.dollargeneral.com/store-directory/wv/clarksburg" TargetMode="External"/><Relationship Id="rId172" Type="http://schemas.openxmlformats.org/officeDocument/2006/relationships/hyperlink" Target="https://www.dollargeneral.com/store-directory/wv/middlebourne" TargetMode="External"/><Relationship Id="rId293" Type="http://schemas.openxmlformats.org/officeDocument/2006/relationships/hyperlink" Target="https://www.dollargeneral.com/store-directory/wv/weirton" TargetMode="External"/><Relationship Id="rId65" Type="http://schemas.openxmlformats.org/officeDocument/2006/relationships/hyperlink" Target="https://www.dollargeneral.com/store-directory/wv/clarksburg" TargetMode="External"/><Relationship Id="rId171" Type="http://schemas.openxmlformats.org/officeDocument/2006/relationships/hyperlink" Target="https://www.dollargeneral.com/store-directory/wv/miami" TargetMode="External"/><Relationship Id="rId292" Type="http://schemas.openxmlformats.org/officeDocument/2006/relationships/hyperlink" Target="https://www.dollargeneral.com/store-directory/wv/weirton" TargetMode="External"/><Relationship Id="rId68" Type="http://schemas.openxmlformats.org/officeDocument/2006/relationships/hyperlink" Target="https://www.dollargeneral.com/store-directory/wv/clay" TargetMode="External"/><Relationship Id="rId170" Type="http://schemas.openxmlformats.org/officeDocument/2006/relationships/hyperlink" Target="https://www.dollargeneral.com/store-directory/wv/meadow-bridge" TargetMode="External"/><Relationship Id="rId291" Type="http://schemas.openxmlformats.org/officeDocument/2006/relationships/hyperlink" Target="https://www.dollargeneral.com/store-directory/wv/weirton" TargetMode="External"/><Relationship Id="rId67" Type="http://schemas.openxmlformats.org/officeDocument/2006/relationships/hyperlink" Target="https://www.dollargeneral.com/store-directory/wv/clarksburg" TargetMode="External"/><Relationship Id="rId290" Type="http://schemas.openxmlformats.org/officeDocument/2006/relationships/hyperlink" Target="https://www.dollargeneral.com/store-directory/wv/weirton" TargetMode="External"/><Relationship Id="rId60" Type="http://schemas.openxmlformats.org/officeDocument/2006/relationships/hyperlink" Target="https://www.dollargeneral.com/store-directory/wv/chesapeake" TargetMode="External"/><Relationship Id="rId165" Type="http://schemas.openxmlformats.org/officeDocument/2006/relationships/hyperlink" Target="https://www.dollargeneral.com/store-directory/wv/martinsburg" TargetMode="External"/><Relationship Id="rId286" Type="http://schemas.openxmlformats.org/officeDocument/2006/relationships/hyperlink" Target="https://www.dollargeneral.com/store-directory/wv/washington" TargetMode="External"/><Relationship Id="rId69" Type="http://schemas.openxmlformats.org/officeDocument/2006/relationships/hyperlink" Target="https://www.dollargeneral.com/store-directory/wv/clendenin" TargetMode="External"/><Relationship Id="rId164" Type="http://schemas.openxmlformats.org/officeDocument/2006/relationships/hyperlink" Target="https://www.dollargeneral.com/store-directory/wv/martinsburg" TargetMode="External"/><Relationship Id="rId285" Type="http://schemas.openxmlformats.org/officeDocument/2006/relationships/hyperlink" Target="https://www.dollargeneral.com/store-directory/wv/wardensville" TargetMode="External"/><Relationship Id="rId163" Type="http://schemas.openxmlformats.org/officeDocument/2006/relationships/hyperlink" Target="https://www.dollargeneral.com/store-directory/wv/martinsburg" TargetMode="External"/><Relationship Id="rId284" Type="http://schemas.openxmlformats.org/officeDocument/2006/relationships/hyperlink" Target="https://www.dollargeneral.com/store-directory/wv/war" TargetMode="External"/><Relationship Id="rId162" Type="http://schemas.openxmlformats.org/officeDocument/2006/relationships/hyperlink" Target="https://www.dollargeneral.com/store-directory/wv/marmet" TargetMode="External"/><Relationship Id="rId283" Type="http://schemas.openxmlformats.org/officeDocument/2006/relationships/hyperlink" Target="https://www.dollargeneral.com/store-directory/wv/wallback" TargetMode="External"/><Relationship Id="rId169" Type="http://schemas.openxmlformats.org/officeDocument/2006/relationships/hyperlink" Target="https://www.dollargeneral.com/store-directory/wv/mcmechen" TargetMode="External"/><Relationship Id="rId168" Type="http://schemas.openxmlformats.org/officeDocument/2006/relationships/hyperlink" Target="https://www.dollargeneral.com/store-directory/wv/matewan" TargetMode="External"/><Relationship Id="rId289" Type="http://schemas.openxmlformats.org/officeDocument/2006/relationships/hyperlink" Target="https://www.dollargeneral.com/store-directory/wv/webster-springs" TargetMode="External"/><Relationship Id="rId167" Type="http://schemas.openxmlformats.org/officeDocument/2006/relationships/hyperlink" Target="https://www.dollargeneral.com/store-directory/wv/mason" TargetMode="External"/><Relationship Id="rId288" Type="http://schemas.openxmlformats.org/officeDocument/2006/relationships/hyperlink" Target="https://www.dollargeneral.com/store-directory/wv/wayne" TargetMode="External"/><Relationship Id="rId166" Type="http://schemas.openxmlformats.org/officeDocument/2006/relationships/hyperlink" Target="https://www.dollargeneral.com/store-directory/wv/martinsburg" TargetMode="External"/><Relationship Id="rId287" Type="http://schemas.openxmlformats.org/officeDocument/2006/relationships/hyperlink" Target="https://www.dollargeneral.com/store-directory/wv/wayne" TargetMode="External"/><Relationship Id="rId51" Type="http://schemas.openxmlformats.org/officeDocument/2006/relationships/hyperlink" Target="https://www.dollargeneral.com/store-directory/wv/charleston" TargetMode="External"/><Relationship Id="rId50" Type="http://schemas.openxmlformats.org/officeDocument/2006/relationships/hyperlink" Target="https://www.dollargeneral.com/store-directory/wv/charleston" TargetMode="External"/><Relationship Id="rId53" Type="http://schemas.openxmlformats.org/officeDocument/2006/relationships/hyperlink" Target="https://www.dollargeneral.com/store-directory/wv/charleston" TargetMode="External"/><Relationship Id="rId52" Type="http://schemas.openxmlformats.org/officeDocument/2006/relationships/hyperlink" Target="https://www.dollargeneral.com/store-directory/wv/charleston" TargetMode="External"/><Relationship Id="rId55" Type="http://schemas.openxmlformats.org/officeDocument/2006/relationships/hyperlink" Target="https://www.dollargeneral.com/store-directory/wv/charleston" TargetMode="External"/><Relationship Id="rId161" Type="http://schemas.openxmlformats.org/officeDocument/2006/relationships/hyperlink" Target="https://www.dollargeneral.com/store-directory/wv/marlinton" TargetMode="External"/><Relationship Id="rId282" Type="http://schemas.openxmlformats.org/officeDocument/2006/relationships/hyperlink" Target="https://www.dollargeneral.com/store-directory/wv/wallace" TargetMode="External"/><Relationship Id="rId54" Type="http://schemas.openxmlformats.org/officeDocument/2006/relationships/hyperlink" Target="https://www.dollargeneral.com/store-directory/wv/charleston" TargetMode="External"/><Relationship Id="rId160" Type="http://schemas.openxmlformats.org/officeDocument/2006/relationships/hyperlink" Target="https://www.dollargeneral.com/store-directory/wv/mannington" TargetMode="External"/><Relationship Id="rId281" Type="http://schemas.openxmlformats.org/officeDocument/2006/relationships/hyperlink" Target="https://www.dollargeneral.com/store-directory/wv/walker" TargetMode="External"/><Relationship Id="rId57" Type="http://schemas.openxmlformats.org/officeDocument/2006/relationships/hyperlink" Target="https://www.dollargeneral.com/store-directory/wv/charleston" TargetMode="External"/><Relationship Id="rId280" Type="http://schemas.openxmlformats.org/officeDocument/2006/relationships/hyperlink" Target="https://www.dollargeneral.com/store-directory/wv/vienna" TargetMode="External"/><Relationship Id="rId56" Type="http://schemas.openxmlformats.org/officeDocument/2006/relationships/hyperlink" Target="https://www.dollargeneral.com/store-directory/wv/charleston" TargetMode="External"/><Relationship Id="rId159" Type="http://schemas.openxmlformats.org/officeDocument/2006/relationships/hyperlink" Target="https://www.dollargeneral.com/store-directory/wv/man" TargetMode="External"/><Relationship Id="rId59" Type="http://schemas.openxmlformats.org/officeDocument/2006/relationships/hyperlink" Target="https://www.dollargeneral.com/store-directory/wv/chelyan" TargetMode="External"/><Relationship Id="rId154" Type="http://schemas.openxmlformats.org/officeDocument/2006/relationships/hyperlink" Target="https://www.dollargeneral.com/store-directory/wv/lindside" TargetMode="External"/><Relationship Id="rId275" Type="http://schemas.openxmlformats.org/officeDocument/2006/relationships/hyperlink" Target="https://www.dollargeneral.com/store-directory/wv/terra-alta" TargetMode="External"/><Relationship Id="rId58" Type="http://schemas.openxmlformats.org/officeDocument/2006/relationships/hyperlink" Target="https://www.dollargeneral.com/store-directory/wv/charleston" TargetMode="External"/><Relationship Id="rId153" Type="http://schemas.openxmlformats.org/officeDocument/2006/relationships/hyperlink" Target="https://www.dollargeneral.com/store-directory/wv/lewisburg" TargetMode="External"/><Relationship Id="rId274" Type="http://schemas.openxmlformats.org/officeDocument/2006/relationships/hyperlink" Target="https://www.dollargeneral.com/store-directory/wv/sutton" TargetMode="External"/><Relationship Id="rId152" Type="http://schemas.openxmlformats.org/officeDocument/2006/relationships/hyperlink" Target="https://www.dollargeneral.com/store-directory/wv/lester" TargetMode="External"/><Relationship Id="rId273" Type="http://schemas.openxmlformats.org/officeDocument/2006/relationships/hyperlink" Target="https://www.dollargeneral.com/store-directory/wv/summersville" TargetMode="External"/><Relationship Id="rId151" Type="http://schemas.openxmlformats.org/officeDocument/2006/relationships/hyperlink" Target="https://www.dollargeneral.com/store-directory/wv/lesage" TargetMode="External"/><Relationship Id="rId272" Type="http://schemas.openxmlformats.org/officeDocument/2006/relationships/hyperlink" Target="https://www.dollargeneral.com/store-directory/wv/summersville" TargetMode="External"/><Relationship Id="rId158" Type="http://schemas.openxmlformats.org/officeDocument/2006/relationships/hyperlink" Target="https://www.dollargeneral.com/store-directory/wv/madison" TargetMode="External"/><Relationship Id="rId279" Type="http://schemas.openxmlformats.org/officeDocument/2006/relationships/hyperlink" Target="https://www.dollargeneral.com/store-directory/wv/vienna" TargetMode="External"/><Relationship Id="rId157" Type="http://schemas.openxmlformats.org/officeDocument/2006/relationships/hyperlink" Target="https://www.dollargeneral.com/store-directory/wv/lost-creek" TargetMode="External"/><Relationship Id="rId278" Type="http://schemas.openxmlformats.org/officeDocument/2006/relationships/hyperlink" Target="https://www.dollargeneral.com/store-directory/wv/valley-head" TargetMode="External"/><Relationship Id="rId156" Type="http://schemas.openxmlformats.org/officeDocument/2006/relationships/hyperlink" Target="https://www.dollargeneral.com/store-directory/wv/lookout" TargetMode="External"/><Relationship Id="rId277" Type="http://schemas.openxmlformats.org/officeDocument/2006/relationships/hyperlink" Target="https://www.dollargeneral.com/store-directory/wv/valley-bend" TargetMode="External"/><Relationship Id="rId155" Type="http://schemas.openxmlformats.org/officeDocument/2006/relationships/hyperlink" Target="https://www.dollargeneral.com/store-directory/wv/logan" TargetMode="External"/><Relationship Id="rId276" Type="http://schemas.openxmlformats.org/officeDocument/2006/relationships/hyperlink" Target="https://www.dollargeneral.com/store-directory/wv/union" TargetMode="External"/><Relationship Id="rId107" Type="http://schemas.openxmlformats.org/officeDocument/2006/relationships/hyperlink" Target="https://www.dollargeneral.com/store-directory/wv/ghent" TargetMode="External"/><Relationship Id="rId228" Type="http://schemas.openxmlformats.org/officeDocument/2006/relationships/hyperlink" Target="https://www.dollargeneral.com/store-directory/wv/princeton" TargetMode="External"/><Relationship Id="rId106" Type="http://schemas.openxmlformats.org/officeDocument/2006/relationships/hyperlink" Target="https://www.dollargeneral.com/store-directory/wv/gerrardstown" TargetMode="External"/><Relationship Id="rId227" Type="http://schemas.openxmlformats.org/officeDocument/2006/relationships/hyperlink" Target="https://www.dollargeneral.com/store-directory/wv/princeton" TargetMode="External"/><Relationship Id="rId105" Type="http://schemas.openxmlformats.org/officeDocument/2006/relationships/hyperlink" Target="https://www.dollargeneral.com/store-directory/wv/genoa" TargetMode="External"/><Relationship Id="rId226" Type="http://schemas.openxmlformats.org/officeDocument/2006/relationships/hyperlink" Target="https://www.dollargeneral.com/store-directory/wv/princeton" TargetMode="External"/><Relationship Id="rId104" Type="http://schemas.openxmlformats.org/officeDocument/2006/relationships/hyperlink" Target="https://www.dollargeneral.com/store-directory/wv/gassaway" TargetMode="External"/><Relationship Id="rId225" Type="http://schemas.openxmlformats.org/officeDocument/2006/relationships/hyperlink" Target="https://www.dollargeneral.com/store-directory/wv/prichard" TargetMode="External"/><Relationship Id="rId109" Type="http://schemas.openxmlformats.org/officeDocument/2006/relationships/hyperlink" Target="https://www.dollargeneral.com/store-directory/wv/glasgow" TargetMode="External"/><Relationship Id="rId108" Type="http://schemas.openxmlformats.org/officeDocument/2006/relationships/hyperlink" Target="https://www.dollargeneral.com/store-directory/wv/gilbert" TargetMode="External"/><Relationship Id="rId229" Type="http://schemas.openxmlformats.org/officeDocument/2006/relationships/hyperlink" Target="https://www.dollargeneral.com/store-directory/wv/princeton" TargetMode="External"/><Relationship Id="rId220" Type="http://schemas.openxmlformats.org/officeDocument/2006/relationships/hyperlink" Target="https://www.dollargeneral.com/store-directory/wv/pineville" TargetMode="External"/><Relationship Id="rId103" Type="http://schemas.openxmlformats.org/officeDocument/2006/relationships/hyperlink" Target="https://www.dollargeneral.com/store-directory/wv/gallipolis-ferry" TargetMode="External"/><Relationship Id="rId224" Type="http://schemas.openxmlformats.org/officeDocument/2006/relationships/hyperlink" Target="https://www.dollargeneral.com/store-directory/wv/point-pleasant" TargetMode="External"/><Relationship Id="rId102" Type="http://schemas.openxmlformats.org/officeDocument/2006/relationships/hyperlink" Target="https://www.dollargeneral.com/store-directory/wv/french-creek" TargetMode="External"/><Relationship Id="rId223" Type="http://schemas.openxmlformats.org/officeDocument/2006/relationships/hyperlink" Target="https://www.dollargeneral.com/store-directory/wv/point-pleasant" TargetMode="External"/><Relationship Id="rId101" Type="http://schemas.openxmlformats.org/officeDocument/2006/relationships/hyperlink" Target="https://www.dollargeneral.com/store-directory/wv/frankford" TargetMode="External"/><Relationship Id="rId222" Type="http://schemas.openxmlformats.org/officeDocument/2006/relationships/hyperlink" Target="https://www.dollargeneral.com/store-directory/wv/point-pleasant" TargetMode="External"/><Relationship Id="rId100" Type="http://schemas.openxmlformats.org/officeDocument/2006/relationships/hyperlink" Target="https://www.dollargeneral.com/store-directory/wv/foster" TargetMode="External"/><Relationship Id="rId221" Type="http://schemas.openxmlformats.org/officeDocument/2006/relationships/hyperlink" Target="https://www.dollargeneral.com/store-directory/wv/poca" TargetMode="External"/><Relationship Id="rId217" Type="http://schemas.openxmlformats.org/officeDocument/2006/relationships/hyperlink" Target="https://www.dollargeneral.com/store-directory/wv/peterstown" TargetMode="External"/><Relationship Id="rId216" Type="http://schemas.openxmlformats.org/officeDocument/2006/relationships/hyperlink" Target="https://www.dollargeneral.com/store-directory/wv/petersburg" TargetMode="External"/><Relationship Id="rId215" Type="http://schemas.openxmlformats.org/officeDocument/2006/relationships/hyperlink" Target="https://www.dollargeneral.com/store-directory/wv/pennsboro" TargetMode="External"/><Relationship Id="rId214" Type="http://schemas.openxmlformats.org/officeDocument/2006/relationships/hyperlink" Target="https://www.dollargeneral.com/store-directory/wv/pecks-mill" TargetMode="External"/><Relationship Id="rId219" Type="http://schemas.openxmlformats.org/officeDocument/2006/relationships/hyperlink" Target="https://www.dollargeneral.com/store-directory/wv/pine-grove" TargetMode="External"/><Relationship Id="rId218" Type="http://schemas.openxmlformats.org/officeDocument/2006/relationships/hyperlink" Target="https://www.dollargeneral.com/store-directory/wv/philippi" TargetMode="External"/><Relationship Id="rId213" Type="http://schemas.openxmlformats.org/officeDocument/2006/relationships/hyperlink" Target="https://www.dollargeneral.com/store-directory/wv/paynesville" TargetMode="External"/><Relationship Id="rId212" Type="http://schemas.openxmlformats.org/officeDocument/2006/relationships/hyperlink" Target="https://www.dollargeneral.com/store-directory/wv/paw-paw" TargetMode="External"/><Relationship Id="rId211" Type="http://schemas.openxmlformats.org/officeDocument/2006/relationships/hyperlink" Target="https://www.dollargeneral.com/store-directory/wv/parsons" TargetMode="External"/><Relationship Id="rId210" Type="http://schemas.openxmlformats.org/officeDocument/2006/relationships/hyperlink" Target="https://www.dollargeneral.com/store-directory/wv/parkersburg" TargetMode="External"/><Relationship Id="rId129" Type="http://schemas.openxmlformats.org/officeDocument/2006/relationships/hyperlink" Target="https://www.dollargeneral.com/store-directory/wv/huntington" TargetMode="External"/><Relationship Id="rId128" Type="http://schemas.openxmlformats.org/officeDocument/2006/relationships/hyperlink" Target="https://www.dollargeneral.com/store-directory/wv/huntington" TargetMode="External"/><Relationship Id="rId249" Type="http://schemas.openxmlformats.org/officeDocument/2006/relationships/hyperlink" Target="https://www.dollargeneral.com/store-directory/wv/saint-albans" TargetMode="External"/><Relationship Id="rId127" Type="http://schemas.openxmlformats.org/officeDocument/2006/relationships/hyperlink" Target="https://www.dollargeneral.com/store-directory/wv/hinton" TargetMode="External"/><Relationship Id="rId248" Type="http://schemas.openxmlformats.org/officeDocument/2006/relationships/hyperlink" Target="https://www.dollargeneral.com/store-directory/wv/saint-albans" TargetMode="External"/><Relationship Id="rId126" Type="http://schemas.openxmlformats.org/officeDocument/2006/relationships/hyperlink" Target="https://www.dollargeneral.com/store-directory/wv/hinton" TargetMode="External"/><Relationship Id="rId247" Type="http://schemas.openxmlformats.org/officeDocument/2006/relationships/hyperlink" Target="https://www.dollargeneral.com/store-directory/wv/saint-albans" TargetMode="External"/><Relationship Id="rId121" Type="http://schemas.openxmlformats.org/officeDocument/2006/relationships/hyperlink" Target="https://www.dollargeneral.com/store-directory/wv/harts" TargetMode="External"/><Relationship Id="rId242" Type="http://schemas.openxmlformats.org/officeDocument/2006/relationships/hyperlink" Target="https://www.dollargeneral.com/store-directory/wv/ronceverte" TargetMode="External"/><Relationship Id="rId120" Type="http://schemas.openxmlformats.org/officeDocument/2006/relationships/hyperlink" Target="https://www.dollargeneral.com/store-directory/wv/harrisville" TargetMode="External"/><Relationship Id="rId241" Type="http://schemas.openxmlformats.org/officeDocument/2006/relationships/hyperlink" Target="https://www.dollargeneral.com/store-directory/wv/romney" TargetMode="External"/><Relationship Id="rId240" Type="http://schemas.openxmlformats.org/officeDocument/2006/relationships/hyperlink" Target="https://www.dollargeneral.com/store-directory/wv/rock" TargetMode="External"/><Relationship Id="rId125" Type="http://schemas.openxmlformats.org/officeDocument/2006/relationships/hyperlink" Target="https://www.dollargeneral.com/store-directory/wv/hillsboro" TargetMode="External"/><Relationship Id="rId246" Type="http://schemas.openxmlformats.org/officeDocument/2006/relationships/hyperlink" Target="https://www.dollargeneral.com/store-directory/wv/saint-albans" TargetMode="External"/><Relationship Id="rId124" Type="http://schemas.openxmlformats.org/officeDocument/2006/relationships/hyperlink" Target="https://www.dollargeneral.com/store-directory/wv/hedgesville" TargetMode="External"/><Relationship Id="rId245" Type="http://schemas.openxmlformats.org/officeDocument/2006/relationships/hyperlink" Target="https://www.dollargeneral.com/store-directory/wv/saint-albans" TargetMode="External"/><Relationship Id="rId123" Type="http://schemas.openxmlformats.org/officeDocument/2006/relationships/hyperlink" Target="https://www.dollargeneral.com/store-directory/wv/hedgesville" TargetMode="External"/><Relationship Id="rId244" Type="http://schemas.openxmlformats.org/officeDocument/2006/relationships/hyperlink" Target="https://www.dollargeneral.com/store-directory/wv/rupert" TargetMode="External"/><Relationship Id="rId122" Type="http://schemas.openxmlformats.org/officeDocument/2006/relationships/hyperlink" Target="https://www.dollargeneral.com/store-directory/wv/hedgesville" TargetMode="External"/><Relationship Id="rId243" Type="http://schemas.openxmlformats.org/officeDocument/2006/relationships/hyperlink" Target="https://www.dollargeneral.com/store-directory/wv/ronceverte" TargetMode="External"/><Relationship Id="rId95" Type="http://schemas.openxmlformats.org/officeDocument/2006/relationships/hyperlink" Target="https://www.dollargeneral.com/store-directory/wv/falling-waters" TargetMode="External"/><Relationship Id="rId94" Type="http://schemas.openxmlformats.org/officeDocument/2006/relationships/hyperlink" Target="https://www.dollargeneral.com/store-directory/wv/fairmont" TargetMode="External"/><Relationship Id="rId97" Type="http://schemas.openxmlformats.org/officeDocument/2006/relationships/hyperlink" Target="https://www.dollargeneral.com/store-directory/wv/flemington" TargetMode="External"/><Relationship Id="rId96" Type="http://schemas.openxmlformats.org/officeDocument/2006/relationships/hyperlink" Target="https://www.dollargeneral.com/store-directory/wv/fayetteville" TargetMode="External"/><Relationship Id="rId99" Type="http://schemas.openxmlformats.org/officeDocument/2006/relationships/hyperlink" Target="https://www.dollargeneral.com/store-directory/wv/fort-gay" TargetMode="External"/><Relationship Id="rId98" Type="http://schemas.openxmlformats.org/officeDocument/2006/relationships/hyperlink" Target="https://www.dollargeneral.com/store-directory/wv/fort-ashby" TargetMode="External"/><Relationship Id="rId91" Type="http://schemas.openxmlformats.org/officeDocument/2006/relationships/hyperlink" Target="https://www.dollargeneral.com/store-directory/wv/enterprise" TargetMode="External"/><Relationship Id="rId90" Type="http://schemas.openxmlformats.org/officeDocument/2006/relationships/hyperlink" Target="https://www.dollargeneral.com/store-directory/wv/elkview" TargetMode="External"/><Relationship Id="rId93" Type="http://schemas.openxmlformats.org/officeDocument/2006/relationships/hyperlink" Target="https://www.dollargeneral.com/store-directory/wv/fairmont" TargetMode="External"/><Relationship Id="rId92" Type="http://schemas.openxmlformats.org/officeDocument/2006/relationships/hyperlink" Target="https://www.dollargeneral.com/store-directory/wv/fairmont" TargetMode="External"/><Relationship Id="rId118" Type="http://schemas.openxmlformats.org/officeDocument/2006/relationships/hyperlink" Target="https://www.dollargeneral.com/store-directory/wv/harman" TargetMode="External"/><Relationship Id="rId239" Type="http://schemas.openxmlformats.org/officeDocument/2006/relationships/hyperlink" Target="https://www.dollargeneral.com/store-directory/wv/ripley" TargetMode="External"/><Relationship Id="rId117" Type="http://schemas.openxmlformats.org/officeDocument/2006/relationships/hyperlink" Target="https://www.dollargeneral.com/store-directory/wv/hamlin" TargetMode="External"/><Relationship Id="rId238" Type="http://schemas.openxmlformats.org/officeDocument/2006/relationships/hyperlink" Target="https://www.dollargeneral.com/store-directory/wv/ripley" TargetMode="External"/><Relationship Id="rId116" Type="http://schemas.openxmlformats.org/officeDocument/2006/relationships/hyperlink" Target="https://www.dollargeneral.com/store-directory/wv/hamlin" TargetMode="External"/><Relationship Id="rId237" Type="http://schemas.openxmlformats.org/officeDocument/2006/relationships/hyperlink" Target="https://www.dollargeneral.com/store-directory/wv/ripley" TargetMode="External"/><Relationship Id="rId115" Type="http://schemas.openxmlformats.org/officeDocument/2006/relationships/hyperlink" Target="https://www.dollargeneral.com/store-directory/wv/green-bank" TargetMode="External"/><Relationship Id="rId236" Type="http://schemas.openxmlformats.org/officeDocument/2006/relationships/hyperlink" Target="https://www.dollargeneral.com/store-directory/wv/ridgeley" TargetMode="External"/><Relationship Id="rId119" Type="http://schemas.openxmlformats.org/officeDocument/2006/relationships/hyperlink" Target="https://www.dollargeneral.com/store-directory/wv/harpers-ferry" TargetMode="External"/><Relationship Id="rId110" Type="http://schemas.openxmlformats.org/officeDocument/2006/relationships/hyperlink" Target="https://www.dollargeneral.com/store-directory/wv/glen-daniel" TargetMode="External"/><Relationship Id="rId231" Type="http://schemas.openxmlformats.org/officeDocument/2006/relationships/hyperlink" Target="https://www.dollargeneral.com/store-directory/wv/rainelle" TargetMode="External"/><Relationship Id="rId230" Type="http://schemas.openxmlformats.org/officeDocument/2006/relationships/hyperlink" Target="https://www.dollargeneral.com/store-directory/wv/princeton" TargetMode="External"/><Relationship Id="rId114" Type="http://schemas.openxmlformats.org/officeDocument/2006/relationships/hyperlink" Target="https://www.dollargeneral.com/store-directory/wv/grafton" TargetMode="External"/><Relationship Id="rId235" Type="http://schemas.openxmlformats.org/officeDocument/2006/relationships/hyperlink" Target="https://www.dollargeneral.com/store-directory/wv/richwood" TargetMode="External"/><Relationship Id="rId113" Type="http://schemas.openxmlformats.org/officeDocument/2006/relationships/hyperlink" Target="https://www.dollargeneral.com/store-directory/wv/grafton" TargetMode="External"/><Relationship Id="rId234" Type="http://schemas.openxmlformats.org/officeDocument/2006/relationships/hyperlink" Target="https://www.dollargeneral.com/store-directory/wv/reedsville" TargetMode="External"/><Relationship Id="rId112" Type="http://schemas.openxmlformats.org/officeDocument/2006/relationships/hyperlink" Target="https://www.dollargeneral.com/store-directory/wv/glenville" TargetMode="External"/><Relationship Id="rId233" Type="http://schemas.openxmlformats.org/officeDocument/2006/relationships/hyperlink" Target="https://www.dollargeneral.com/store-directory/wv/ravenswood" TargetMode="External"/><Relationship Id="rId111" Type="http://schemas.openxmlformats.org/officeDocument/2006/relationships/hyperlink" Target="https://www.dollargeneral.com/store-directory/wv/glen-jean" TargetMode="External"/><Relationship Id="rId232" Type="http://schemas.openxmlformats.org/officeDocument/2006/relationships/hyperlink" Target="https://www.dollargeneral.com/store-directory/wv/ranson" TargetMode="External"/><Relationship Id="rId305" Type="http://schemas.openxmlformats.org/officeDocument/2006/relationships/hyperlink" Target="https://www.dollargeneral.com/store-directory/wv/wheeling" TargetMode="External"/><Relationship Id="rId304" Type="http://schemas.openxmlformats.org/officeDocument/2006/relationships/hyperlink" Target="https://www.dollargeneral.com/store-directory/wv/wheeling" TargetMode="External"/><Relationship Id="rId303" Type="http://schemas.openxmlformats.org/officeDocument/2006/relationships/hyperlink" Target="https://www.dollargeneral.com/store-directory/wv/wheeling" TargetMode="External"/><Relationship Id="rId302" Type="http://schemas.openxmlformats.org/officeDocument/2006/relationships/hyperlink" Target="https://www.dollargeneral.com/store-directory/wv/wheeling" TargetMode="External"/><Relationship Id="rId309" Type="http://schemas.openxmlformats.org/officeDocument/2006/relationships/hyperlink" Target="https://www.dollargeneral.com/store-directory/wv/williamson" TargetMode="External"/><Relationship Id="rId308" Type="http://schemas.openxmlformats.org/officeDocument/2006/relationships/hyperlink" Target="https://www.dollargeneral.com/store-directory/wv/wilcoe" TargetMode="External"/><Relationship Id="rId307" Type="http://schemas.openxmlformats.org/officeDocument/2006/relationships/hyperlink" Target="https://www.dollargeneral.com/store-directory/wv/whitesville" TargetMode="External"/><Relationship Id="rId306" Type="http://schemas.openxmlformats.org/officeDocument/2006/relationships/hyperlink" Target="https://www.dollargeneral.com/store-directory/wv/white-hall" TargetMode="External"/><Relationship Id="rId301" Type="http://schemas.openxmlformats.org/officeDocument/2006/relationships/hyperlink" Target="https://www.dollargeneral.com/store-directory/wv/weston" TargetMode="External"/><Relationship Id="rId300" Type="http://schemas.openxmlformats.org/officeDocument/2006/relationships/hyperlink" Target="https://www.dollargeneral.com/store-directory/wv/weston" TargetMode="External"/><Relationship Id="rId206" Type="http://schemas.openxmlformats.org/officeDocument/2006/relationships/hyperlink" Target="https://www.dollargeneral.com/store-directory/wv/parkersburg" TargetMode="External"/><Relationship Id="rId205" Type="http://schemas.openxmlformats.org/officeDocument/2006/relationships/hyperlink" Target="https://www.dollargeneral.com/store-directory/wv/parkersburg" TargetMode="External"/><Relationship Id="rId204" Type="http://schemas.openxmlformats.org/officeDocument/2006/relationships/hyperlink" Target="https://www.dollargeneral.com/store-directory/wv/parkersburg" TargetMode="External"/><Relationship Id="rId203" Type="http://schemas.openxmlformats.org/officeDocument/2006/relationships/hyperlink" Target="https://www.dollargeneral.com/store-directory/wv/ona" TargetMode="External"/><Relationship Id="rId209" Type="http://schemas.openxmlformats.org/officeDocument/2006/relationships/hyperlink" Target="https://www.dollargeneral.com/store-directory/wv/parkersburg" TargetMode="External"/><Relationship Id="rId208" Type="http://schemas.openxmlformats.org/officeDocument/2006/relationships/hyperlink" Target="https://www.dollargeneral.com/store-directory/wv/parkersburg" TargetMode="External"/><Relationship Id="rId207" Type="http://schemas.openxmlformats.org/officeDocument/2006/relationships/hyperlink" Target="https://www.dollargeneral.com/store-directory/wv/parkersburg" TargetMode="External"/><Relationship Id="rId202" Type="http://schemas.openxmlformats.org/officeDocument/2006/relationships/hyperlink" Target="https://www.dollargeneral.com/store-directory/wv/oceana" TargetMode="External"/><Relationship Id="rId201" Type="http://schemas.openxmlformats.org/officeDocument/2006/relationships/hyperlink" Target="https://www.dollargeneral.com/store-directory/wv/oak-hill" TargetMode="External"/><Relationship Id="rId200" Type="http://schemas.openxmlformats.org/officeDocument/2006/relationships/hyperlink" Target="https://www.dollargeneral.com/store-directory/wv/oak-hill" TargetMode="External"/><Relationship Id="rId316" Type="http://schemas.openxmlformats.org/officeDocument/2006/relationships/hyperlink" Target="https://www.dollargeneral.com/store-directory/wv/yawkey" TargetMode="External"/><Relationship Id="rId315" Type="http://schemas.openxmlformats.org/officeDocument/2006/relationships/hyperlink" Target="https://www.dollargeneral.com/store-directory/wv/worthington" TargetMode="External"/><Relationship Id="rId314" Type="http://schemas.openxmlformats.org/officeDocument/2006/relationships/hyperlink" Target="https://www.dollargeneral.com/store-directory/wv/winfield" TargetMode="External"/><Relationship Id="rId313" Type="http://schemas.openxmlformats.org/officeDocument/2006/relationships/hyperlink" Target="https://www.dollargeneral.com/store-directory/wv/winfield" TargetMode="External"/><Relationship Id="rId317" Type="http://schemas.openxmlformats.org/officeDocument/2006/relationships/drawing" Target="../drawings/drawing1.xml"/><Relationship Id="rId312" Type="http://schemas.openxmlformats.org/officeDocument/2006/relationships/hyperlink" Target="https://www.dollargeneral.com/store-directory/wv/williamstown" TargetMode="External"/><Relationship Id="rId311" Type="http://schemas.openxmlformats.org/officeDocument/2006/relationships/hyperlink" Target="https://www.dollargeneral.com/store-directory/wv/williamstown" TargetMode="External"/><Relationship Id="rId310" Type="http://schemas.openxmlformats.org/officeDocument/2006/relationships/hyperlink" Target="https://www.dollargeneral.com/store-directory/wv/williamson" TargetMode="External"/></Relationships>
</file>

<file path=xl/worksheets/_rels/sheet2.xml.rels><?xml version="1.0" encoding="UTF-8" standalone="yes"?><Relationships xmlns="http://schemas.openxmlformats.org/package/2006/relationships"><Relationship Id="rId40" Type="http://schemas.openxmlformats.org/officeDocument/2006/relationships/hyperlink" Target="https://www.dollargeneral.com/store-directory/wv/burlington" TargetMode="External"/><Relationship Id="rId190" Type="http://schemas.openxmlformats.org/officeDocument/2006/relationships/hyperlink" Target="https://www.dollargeneral.com/store-directory/wv/mullens" TargetMode="External"/><Relationship Id="rId42" Type="http://schemas.openxmlformats.org/officeDocument/2006/relationships/hyperlink" Target="https://www.dollargeneral.com/store-directory/wv/burton" TargetMode="External"/><Relationship Id="rId41" Type="http://schemas.openxmlformats.org/officeDocument/2006/relationships/hyperlink" Target="https://www.dollargeneral.com/store-directory/wv/burnsville" TargetMode="External"/><Relationship Id="rId44" Type="http://schemas.openxmlformats.org/officeDocument/2006/relationships/hyperlink" Target="https://www.dollargeneral.com/store-directory/wv/cameron" TargetMode="External"/><Relationship Id="rId194" Type="http://schemas.openxmlformats.org/officeDocument/2006/relationships/hyperlink" Target="https://www.dollargeneral.com/store-directory/wv/new-manchester" TargetMode="External"/><Relationship Id="rId43" Type="http://schemas.openxmlformats.org/officeDocument/2006/relationships/hyperlink" Target="https://www.dollargeneral.com/store-directory/wv/caldwell" TargetMode="External"/><Relationship Id="rId193" Type="http://schemas.openxmlformats.org/officeDocument/2006/relationships/hyperlink" Target="https://www.dollargeneral.com/store-directory/wv/new-haven" TargetMode="External"/><Relationship Id="rId46" Type="http://schemas.openxmlformats.org/officeDocument/2006/relationships/hyperlink" Target="https://www.dollargeneral.com/store-directory/wv/cassville" TargetMode="External"/><Relationship Id="rId192" Type="http://schemas.openxmlformats.org/officeDocument/2006/relationships/hyperlink" Target="https://www.dollargeneral.com/store-directory/wv/new-cumberland" TargetMode="External"/><Relationship Id="rId45" Type="http://schemas.openxmlformats.org/officeDocument/2006/relationships/hyperlink" Target="https://www.dollargeneral.com/store-directory/wv/capon-bridge" TargetMode="External"/><Relationship Id="rId191" Type="http://schemas.openxmlformats.org/officeDocument/2006/relationships/hyperlink" Target="https://www.dollargeneral.com/store-directory/wv/nettie" TargetMode="External"/><Relationship Id="rId48" Type="http://schemas.openxmlformats.org/officeDocument/2006/relationships/hyperlink" Target="https://www.dollargeneral.com/store-directory/wv/charles-town" TargetMode="External"/><Relationship Id="rId187" Type="http://schemas.openxmlformats.org/officeDocument/2006/relationships/hyperlink" Target="https://www.dollargeneral.com/store-directory/wv/mount-lookout" TargetMode="External"/><Relationship Id="rId47" Type="http://schemas.openxmlformats.org/officeDocument/2006/relationships/hyperlink" Target="https://www.dollargeneral.com/store-directory/wv/chapmanville" TargetMode="External"/><Relationship Id="rId186" Type="http://schemas.openxmlformats.org/officeDocument/2006/relationships/hyperlink" Target="https://www.dollargeneral.com/store-directory/wv/mount-hope" TargetMode="External"/><Relationship Id="rId185" Type="http://schemas.openxmlformats.org/officeDocument/2006/relationships/hyperlink" Target="https://www.dollargeneral.com/store-directory/wv/mount-clare" TargetMode="External"/><Relationship Id="rId49" Type="http://schemas.openxmlformats.org/officeDocument/2006/relationships/hyperlink" Target="https://www.dollargeneral.com/store-directory/wv/charles-town" TargetMode="External"/><Relationship Id="rId184" Type="http://schemas.openxmlformats.org/officeDocument/2006/relationships/hyperlink" Target="https://www.dollargeneral.com/store-directory/wv/moundsville" TargetMode="External"/><Relationship Id="rId189" Type="http://schemas.openxmlformats.org/officeDocument/2006/relationships/hyperlink" Target="https://www.dollargeneral.com/store-directory/wv/mount-storm" TargetMode="External"/><Relationship Id="rId188" Type="http://schemas.openxmlformats.org/officeDocument/2006/relationships/hyperlink" Target="https://www.dollargeneral.com/store-directory/wv/mount-nebo" TargetMode="External"/><Relationship Id="rId31" Type="http://schemas.openxmlformats.org/officeDocument/2006/relationships/hyperlink" Target="https://www.dollargeneral.com/store-directory/wv/bluefield" TargetMode="External"/><Relationship Id="rId30" Type="http://schemas.openxmlformats.org/officeDocument/2006/relationships/hyperlink" Target="https://www.dollargeneral.com/store-directory/wv/bluefield" TargetMode="External"/><Relationship Id="rId33" Type="http://schemas.openxmlformats.org/officeDocument/2006/relationships/hyperlink" Target="https://www.dollargeneral.com/store-directory/wv/bradshaw" TargetMode="External"/><Relationship Id="rId183" Type="http://schemas.openxmlformats.org/officeDocument/2006/relationships/hyperlink" Target="https://www.dollargeneral.com/store-directory/wv/morgantown" TargetMode="External"/><Relationship Id="rId32" Type="http://schemas.openxmlformats.org/officeDocument/2006/relationships/hyperlink" Target="https://www.dollargeneral.com/store-directory/wv/bluefield" TargetMode="External"/><Relationship Id="rId182" Type="http://schemas.openxmlformats.org/officeDocument/2006/relationships/hyperlink" Target="https://www.dollargeneral.com/store-directory/wv/morgantown" TargetMode="External"/><Relationship Id="rId35" Type="http://schemas.openxmlformats.org/officeDocument/2006/relationships/hyperlink" Target="https://www.dollargeneral.com/store-directory/wv/branchland" TargetMode="External"/><Relationship Id="rId181" Type="http://schemas.openxmlformats.org/officeDocument/2006/relationships/hyperlink" Target="https://www.dollargeneral.com/store-directory/wv/morgantown" TargetMode="External"/><Relationship Id="rId34" Type="http://schemas.openxmlformats.org/officeDocument/2006/relationships/hyperlink" Target="https://www.dollargeneral.com/store-directory/wv/branchland" TargetMode="External"/><Relationship Id="rId180" Type="http://schemas.openxmlformats.org/officeDocument/2006/relationships/hyperlink" Target="https://www.dollargeneral.com/store-directory/wv/morgantown" TargetMode="External"/><Relationship Id="rId37" Type="http://schemas.openxmlformats.org/officeDocument/2006/relationships/hyperlink" Target="https://www.dollargeneral.com/store-directory/wv/buckhannon" TargetMode="External"/><Relationship Id="rId176" Type="http://schemas.openxmlformats.org/officeDocument/2006/relationships/hyperlink" Target="https://www.dollargeneral.com/store-directory/wv/mineral-wells" TargetMode="External"/><Relationship Id="rId297" Type="http://schemas.openxmlformats.org/officeDocument/2006/relationships/hyperlink" Target="https://www.dollargeneral.com/store-directory/wv/wellsburg" TargetMode="External"/><Relationship Id="rId36" Type="http://schemas.openxmlformats.org/officeDocument/2006/relationships/hyperlink" Target="https://www.dollargeneral.com/store-directory/wv/bridgeport" TargetMode="External"/><Relationship Id="rId175" Type="http://schemas.openxmlformats.org/officeDocument/2006/relationships/hyperlink" Target="https://www.dollargeneral.com/store-directory/wv/milton" TargetMode="External"/><Relationship Id="rId296" Type="http://schemas.openxmlformats.org/officeDocument/2006/relationships/hyperlink" Target="https://www.dollargeneral.com/store-directory/wv/wellsburg" TargetMode="External"/><Relationship Id="rId39" Type="http://schemas.openxmlformats.org/officeDocument/2006/relationships/hyperlink" Target="https://www.dollargeneral.com/store-directory/wv/bunker-hill" TargetMode="External"/><Relationship Id="rId174" Type="http://schemas.openxmlformats.org/officeDocument/2006/relationships/hyperlink" Target="https://www.dollargeneral.com/store-directory/wv/millwood" TargetMode="External"/><Relationship Id="rId295" Type="http://schemas.openxmlformats.org/officeDocument/2006/relationships/hyperlink" Target="https://www.dollargeneral.com/store-directory/wv/wellsburg" TargetMode="External"/><Relationship Id="rId38" Type="http://schemas.openxmlformats.org/officeDocument/2006/relationships/hyperlink" Target="https://www.dollargeneral.com/store-directory/wv/buffalo" TargetMode="External"/><Relationship Id="rId173" Type="http://schemas.openxmlformats.org/officeDocument/2006/relationships/hyperlink" Target="https://www.dollargeneral.com/store-directory/wv/mill-creek" TargetMode="External"/><Relationship Id="rId294" Type="http://schemas.openxmlformats.org/officeDocument/2006/relationships/hyperlink" Target="https://www.dollargeneral.com/store-directory/wv/welch" TargetMode="External"/><Relationship Id="rId179" Type="http://schemas.openxmlformats.org/officeDocument/2006/relationships/hyperlink" Target="https://www.dollargeneral.com/store-directory/wv/morgantown" TargetMode="External"/><Relationship Id="rId178" Type="http://schemas.openxmlformats.org/officeDocument/2006/relationships/hyperlink" Target="https://www.dollargeneral.com/store-directory/wv/moorefield" TargetMode="External"/><Relationship Id="rId299" Type="http://schemas.openxmlformats.org/officeDocument/2006/relationships/hyperlink" Target="https://www.dollargeneral.com/store-directory/wv/west-union" TargetMode="External"/><Relationship Id="rId177" Type="http://schemas.openxmlformats.org/officeDocument/2006/relationships/hyperlink" Target="https://www.dollargeneral.com/store-directory/wv/montgomery" TargetMode="External"/><Relationship Id="rId298" Type="http://schemas.openxmlformats.org/officeDocument/2006/relationships/hyperlink" Target="https://www.dollargeneral.com/store-directory/wv/west-milford" TargetMode="External"/><Relationship Id="rId20" Type="http://schemas.openxmlformats.org/officeDocument/2006/relationships/hyperlink" Target="https://www.dollargeneral.com/store-directory/wv/belle" TargetMode="External"/><Relationship Id="rId22" Type="http://schemas.openxmlformats.org/officeDocument/2006/relationships/hyperlink" Target="https://www.dollargeneral.com/store-directory/wv/belmont" TargetMode="External"/><Relationship Id="rId21" Type="http://schemas.openxmlformats.org/officeDocument/2006/relationships/hyperlink" Target="https://www.dollargeneral.com/store-directory/wv/belle" TargetMode="External"/><Relationship Id="rId24" Type="http://schemas.openxmlformats.org/officeDocument/2006/relationships/hyperlink" Target="https://www.dollargeneral.com/store-directory/wv/berkeley-springs" TargetMode="External"/><Relationship Id="rId23" Type="http://schemas.openxmlformats.org/officeDocument/2006/relationships/hyperlink" Target="https://www.dollargeneral.com/store-directory/wv/benwood" TargetMode="External"/><Relationship Id="rId26" Type="http://schemas.openxmlformats.org/officeDocument/2006/relationships/hyperlink" Target="https://www.dollargeneral.com/store-directory/wv/beverly" TargetMode="External"/><Relationship Id="rId25" Type="http://schemas.openxmlformats.org/officeDocument/2006/relationships/hyperlink" Target="https://www.dollargeneral.com/store-directory/wv/berkeley-springs" TargetMode="External"/><Relationship Id="rId28" Type="http://schemas.openxmlformats.org/officeDocument/2006/relationships/hyperlink" Target="https://www.dollargeneral.com/store-directory/wv/blacksville" TargetMode="External"/><Relationship Id="rId27" Type="http://schemas.openxmlformats.org/officeDocument/2006/relationships/hyperlink" Target="https://www.dollargeneral.com/store-directory/wv/birch-river" TargetMode="External"/><Relationship Id="rId29" Type="http://schemas.openxmlformats.org/officeDocument/2006/relationships/hyperlink" Target="https://www.dollargeneral.com/store-directory/wv/bluefield" TargetMode="External"/><Relationship Id="rId11" Type="http://schemas.openxmlformats.org/officeDocument/2006/relationships/hyperlink" Target="https://www.dollargeneral.com/store-directory/wv/barboursville" TargetMode="External"/><Relationship Id="rId10" Type="http://schemas.openxmlformats.org/officeDocument/2006/relationships/hyperlink" Target="https://www.dollargeneral.com/store-directory/wv/barboursville" TargetMode="External"/><Relationship Id="rId13" Type="http://schemas.openxmlformats.org/officeDocument/2006/relationships/hyperlink" Target="https://www.dollargeneral.com/store-directory/wv/beckley" TargetMode="External"/><Relationship Id="rId12" Type="http://schemas.openxmlformats.org/officeDocument/2006/relationships/hyperlink" Target="https://www.dollargeneral.com/store-directory/wv/barrackville" TargetMode="External"/><Relationship Id="rId15" Type="http://schemas.openxmlformats.org/officeDocument/2006/relationships/hyperlink" Target="https://www.dollargeneral.com/store-directory/wv/beckley" TargetMode="External"/><Relationship Id="rId198" Type="http://schemas.openxmlformats.org/officeDocument/2006/relationships/hyperlink" Target="https://www.dollargeneral.com/store-directory/wv/nitro" TargetMode="External"/><Relationship Id="rId14" Type="http://schemas.openxmlformats.org/officeDocument/2006/relationships/hyperlink" Target="https://www.dollargeneral.com/store-directory/wv/beckley" TargetMode="External"/><Relationship Id="rId197" Type="http://schemas.openxmlformats.org/officeDocument/2006/relationships/hyperlink" Target="https://www.dollargeneral.com/store-directory/wv/nimitz" TargetMode="External"/><Relationship Id="rId17" Type="http://schemas.openxmlformats.org/officeDocument/2006/relationships/hyperlink" Target="https://www.dollargeneral.com/store-directory/wv/beckley" TargetMode="External"/><Relationship Id="rId196" Type="http://schemas.openxmlformats.org/officeDocument/2006/relationships/hyperlink" Target="https://www.dollargeneral.com/store-directory/wv/newell" TargetMode="External"/><Relationship Id="rId16" Type="http://schemas.openxmlformats.org/officeDocument/2006/relationships/hyperlink" Target="https://www.dollargeneral.com/store-directory/wv/beckley" TargetMode="External"/><Relationship Id="rId195" Type="http://schemas.openxmlformats.org/officeDocument/2006/relationships/hyperlink" Target="https://www.dollargeneral.com/store-directory/wv/new-martinsville" TargetMode="External"/><Relationship Id="rId19" Type="http://schemas.openxmlformats.org/officeDocument/2006/relationships/hyperlink" Target="https://www.dollargeneral.com/store-directory/wv/belington" TargetMode="External"/><Relationship Id="rId18" Type="http://schemas.openxmlformats.org/officeDocument/2006/relationships/hyperlink" Target="https://www.dollargeneral.com/store-directory/wv/belington" TargetMode="External"/><Relationship Id="rId199" Type="http://schemas.openxmlformats.org/officeDocument/2006/relationships/hyperlink" Target="https://www.dollargeneral.com/store-directory/wv/nitro" TargetMode="External"/><Relationship Id="rId84" Type="http://schemas.openxmlformats.org/officeDocument/2006/relationships/hyperlink" Target="https://www.dollargeneral.com/store-directory/wv/east-bank" TargetMode="External"/><Relationship Id="rId83" Type="http://schemas.openxmlformats.org/officeDocument/2006/relationships/hyperlink" Target="https://www.dollargeneral.com/store-directory/wv/dunbar" TargetMode="External"/><Relationship Id="rId86" Type="http://schemas.openxmlformats.org/officeDocument/2006/relationships/hyperlink" Target="https://www.dollargeneral.com/store-directory/wv/elizabeth" TargetMode="External"/><Relationship Id="rId85" Type="http://schemas.openxmlformats.org/officeDocument/2006/relationships/hyperlink" Target="https://www.dollargeneral.com/store-directory/wv/eleanor" TargetMode="External"/><Relationship Id="rId88" Type="http://schemas.openxmlformats.org/officeDocument/2006/relationships/hyperlink" Target="https://www.dollargeneral.com/store-directory/wv/elkins" TargetMode="External"/><Relationship Id="rId150" Type="http://schemas.openxmlformats.org/officeDocument/2006/relationships/hyperlink" Target="https://www.dollargeneral.com/store-directory/wv/lerona" TargetMode="External"/><Relationship Id="rId271" Type="http://schemas.openxmlformats.org/officeDocument/2006/relationships/hyperlink" Target="https://www.dollargeneral.com/store-directory/wv/star-city" TargetMode="External"/><Relationship Id="rId87" Type="http://schemas.openxmlformats.org/officeDocument/2006/relationships/hyperlink" Target="https://www.dollargeneral.com/store-directory/wv/elkins" TargetMode="External"/><Relationship Id="rId270" Type="http://schemas.openxmlformats.org/officeDocument/2006/relationships/hyperlink" Target="https://www.dollargeneral.com/store-directory/wv/springfield" TargetMode="External"/><Relationship Id="rId89" Type="http://schemas.openxmlformats.org/officeDocument/2006/relationships/hyperlink" Target="https://www.dollargeneral.com/store-directory/wv/elkview" TargetMode="External"/><Relationship Id="rId80" Type="http://schemas.openxmlformats.org/officeDocument/2006/relationships/hyperlink" Target="https://www.dollargeneral.com/store-directory/wv/delbarton" TargetMode="External"/><Relationship Id="rId82" Type="http://schemas.openxmlformats.org/officeDocument/2006/relationships/hyperlink" Target="https://www.dollargeneral.com/store-directory/wv/dixie" TargetMode="External"/><Relationship Id="rId81" Type="http://schemas.openxmlformats.org/officeDocument/2006/relationships/hyperlink" Target="https://www.dollargeneral.com/store-directory/wv/delbarton" TargetMode="External"/><Relationship Id="rId1" Type="http://schemas.openxmlformats.org/officeDocument/2006/relationships/hyperlink" Target="https://www.dollargeneral.com/store-directory/wv/albright" TargetMode="External"/><Relationship Id="rId2" Type="http://schemas.openxmlformats.org/officeDocument/2006/relationships/hyperlink" Target="https://www.dollargeneral.com/store-directory/wv/alderson" TargetMode="External"/><Relationship Id="rId3" Type="http://schemas.openxmlformats.org/officeDocument/2006/relationships/hyperlink" Target="https://www.dollargeneral.com/store-directory/wv/ansted" TargetMode="External"/><Relationship Id="rId149" Type="http://schemas.openxmlformats.org/officeDocument/2006/relationships/hyperlink" Target="https://www.dollargeneral.com/store-directory/wv/leon" TargetMode="External"/><Relationship Id="rId4" Type="http://schemas.openxmlformats.org/officeDocument/2006/relationships/hyperlink" Target="https://www.dollargeneral.com/store-directory/wv/arnoldsburg" TargetMode="External"/><Relationship Id="rId148" Type="http://schemas.openxmlformats.org/officeDocument/2006/relationships/hyperlink" Target="https://www.dollargeneral.com/store-directory/wv/lavalette" TargetMode="External"/><Relationship Id="rId269" Type="http://schemas.openxmlformats.org/officeDocument/2006/relationships/hyperlink" Target="https://www.dollargeneral.com/store-directory/wv/spencer" TargetMode="External"/><Relationship Id="rId9" Type="http://schemas.openxmlformats.org/officeDocument/2006/relationships/hyperlink" Target="https://www.dollargeneral.com/store-directory/wv/baker" TargetMode="External"/><Relationship Id="rId143" Type="http://schemas.openxmlformats.org/officeDocument/2006/relationships/hyperlink" Target="https://www.dollargeneral.com/store-directory/wv/kenova" TargetMode="External"/><Relationship Id="rId264" Type="http://schemas.openxmlformats.org/officeDocument/2006/relationships/hyperlink" Target="https://www.dollargeneral.com/store-directory/wv/sophia" TargetMode="External"/><Relationship Id="rId142" Type="http://schemas.openxmlformats.org/officeDocument/2006/relationships/hyperlink" Target="https://www.dollargeneral.com/store-directory/wv/kearneysville" TargetMode="External"/><Relationship Id="rId263" Type="http://schemas.openxmlformats.org/officeDocument/2006/relationships/hyperlink" Target="https://www.dollargeneral.com/store-directory/wv/smithville" TargetMode="External"/><Relationship Id="rId141" Type="http://schemas.openxmlformats.org/officeDocument/2006/relationships/hyperlink" Target="https://www.dollargeneral.com/store-directory/wv/kearneysville" TargetMode="External"/><Relationship Id="rId262" Type="http://schemas.openxmlformats.org/officeDocument/2006/relationships/hyperlink" Target="https://www.dollargeneral.com/store-directory/wv/smithers" TargetMode="External"/><Relationship Id="rId140" Type="http://schemas.openxmlformats.org/officeDocument/2006/relationships/hyperlink" Target="https://www.dollargeneral.com/store-directory/wv/jane-lew" TargetMode="External"/><Relationship Id="rId261" Type="http://schemas.openxmlformats.org/officeDocument/2006/relationships/hyperlink" Target="https://www.dollargeneral.com/store-directory/wv/slaty-fork" TargetMode="External"/><Relationship Id="rId5" Type="http://schemas.openxmlformats.org/officeDocument/2006/relationships/hyperlink" Target="https://www.dollargeneral.com/store-directory/wv/ashton" TargetMode="External"/><Relationship Id="rId147" Type="http://schemas.openxmlformats.org/officeDocument/2006/relationships/hyperlink" Target="https://www.dollargeneral.com/store-directory/wv/kingwood" TargetMode="External"/><Relationship Id="rId268" Type="http://schemas.openxmlformats.org/officeDocument/2006/relationships/hyperlink" Target="https://www.dollargeneral.com/store-directory/wv/south-charleston" TargetMode="External"/><Relationship Id="rId6" Type="http://schemas.openxmlformats.org/officeDocument/2006/relationships/hyperlink" Target="https://www.dollargeneral.com/store-directory/wv/athens" TargetMode="External"/><Relationship Id="rId146" Type="http://schemas.openxmlformats.org/officeDocument/2006/relationships/hyperlink" Target="https://www.dollargeneral.com/store-directory/wv/keyser" TargetMode="External"/><Relationship Id="rId267" Type="http://schemas.openxmlformats.org/officeDocument/2006/relationships/hyperlink" Target="https://www.dollargeneral.com/store-directory/wv/south-charleston" TargetMode="External"/><Relationship Id="rId7" Type="http://schemas.openxmlformats.org/officeDocument/2006/relationships/hyperlink" Target="https://www.dollargeneral.com/store-directory/wv/augusta" TargetMode="External"/><Relationship Id="rId145" Type="http://schemas.openxmlformats.org/officeDocument/2006/relationships/hyperlink" Target="https://www.dollargeneral.com/store-directory/wv/keyser" TargetMode="External"/><Relationship Id="rId266" Type="http://schemas.openxmlformats.org/officeDocument/2006/relationships/hyperlink" Target="https://www.dollargeneral.com/store-directory/wv/south-charleston" TargetMode="External"/><Relationship Id="rId8" Type="http://schemas.openxmlformats.org/officeDocument/2006/relationships/hyperlink" Target="https://www.dollargeneral.com/store-directory/wv/aurora" TargetMode="External"/><Relationship Id="rId144" Type="http://schemas.openxmlformats.org/officeDocument/2006/relationships/hyperlink" Target="https://www.dollargeneral.com/store-directory/wv/kermit" TargetMode="External"/><Relationship Id="rId265" Type="http://schemas.openxmlformats.org/officeDocument/2006/relationships/hyperlink" Target="https://www.dollargeneral.com/store-directory/wv/sophia" TargetMode="External"/><Relationship Id="rId73" Type="http://schemas.openxmlformats.org/officeDocument/2006/relationships/hyperlink" Target="https://www.dollargeneral.com/store-directory/wv/craigsville" TargetMode="External"/><Relationship Id="rId72" Type="http://schemas.openxmlformats.org/officeDocument/2006/relationships/hyperlink" Target="https://www.dollargeneral.com/store-directory/wv/cowen" TargetMode="External"/><Relationship Id="rId75" Type="http://schemas.openxmlformats.org/officeDocument/2006/relationships/hyperlink" Target="https://www.dollargeneral.com/store-directory/wv/culloden" TargetMode="External"/><Relationship Id="rId74" Type="http://schemas.openxmlformats.org/officeDocument/2006/relationships/hyperlink" Target="https://www.dollargeneral.com/store-directory/wv/craigsville" TargetMode="External"/><Relationship Id="rId77" Type="http://schemas.openxmlformats.org/officeDocument/2006/relationships/hyperlink" Target="https://www.dollargeneral.com/store-directory/wv/daniels" TargetMode="External"/><Relationship Id="rId260" Type="http://schemas.openxmlformats.org/officeDocument/2006/relationships/hyperlink" Target="https://www.dollargeneral.com/store-directory/wv/slanesville" TargetMode="External"/><Relationship Id="rId76" Type="http://schemas.openxmlformats.org/officeDocument/2006/relationships/hyperlink" Target="https://www.dollargeneral.com/store-directory/wv/danese" TargetMode="External"/><Relationship Id="rId79" Type="http://schemas.openxmlformats.org/officeDocument/2006/relationships/hyperlink" Target="https://www.dollargeneral.com/store-directory/wv/davis" TargetMode="External"/><Relationship Id="rId78" Type="http://schemas.openxmlformats.org/officeDocument/2006/relationships/hyperlink" Target="https://www.dollargeneral.com/store-directory/wv/danville" TargetMode="External"/><Relationship Id="rId71" Type="http://schemas.openxmlformats.org/officeDocument/2006/relationships/hyperlink" Target="https://www.dollargeneral.com/store-directory/wv/cool-ridge" TargetMode="External"/><Relationship Id="rId70" Type="http://schemas.openxmlformats.org/officeDocument/2006/relationships/hyperlink" Target="https://www.dollargeneral.com/store-directory/wv/coal-city" TargetMode="External"/><Relationship Id="rId139" Type="http://schemas.openxmlformats.org/officeDocument/2006/relationships/hyperlink" Target="https://www.dollargeneral.com/store-directory/wv/inwood" TargetMode="External"/><Relationship Id="rId138" Type="http://schemas.openxmlformats.org/officeDocument/2006/relationships/hyperlink" Target="https://www.dollargeneral.com/store-directory/wv/iaeger" TargetMode="External"/><Relationship Id="rId259" Type="http://schemas.openxmlformats.org/officeDocument/2006/relationships/hyperlink" Target="https://www.dollargeneral.com/store-directory/wv/sissonville" TargetMode="External"/><Relationship Id="rId137" Type="http://schemas.openxmlformats.org/officeDocument/2006/relationships/hyperlink" Target="https://www.dollargeneral.com/store-directory/wv/hurricane" TargetMode="External"/><Relationship Id="rId258" Type="http://schemas.openxmlformats.org/officeDocument/2006/relationships/hyperlink" Target="https://www.dollargeneral.com/store-directory/wv/shinnston" TargetMode="External"/><Relationship Id="rId132" Type="http://schemas.openxmlformats.org/officeDocument/2006/relationships/hyperlink" Target="https://www.dollargeneral.com/store-directory/wv/huntington" TargetMode="External"/><Relationship Id="rId253" Type="http://schemas.openxmlformats.org/officeDocument/2006/relationships/hyperlink" Target="https://www.dollargeneral.com/store-directory/wv/salt-rock" TargetMode="External"/><Relationship Id="rId131" Type="http://schemas.openxmlformats.org/officeDocument/2006/relationships/hyperlink" Target="https://www.dollargeneral.com/store-directory/wv/huntington" TargetMode="External"/><Relationship Id="rId252" Type="http://schemas.openxmlformats.org/officeDocument/2006/relationships/hyperlink" Target="https://www.dollargeneral.com/store-directory/wv/salem" TargetMode="External"/><Relationship Id="rId130" Type="http://schemas.openxmlformats.org/officeDocument/2006/relationships/hyperlink" Target="https://www.dollargeneral.com/store-directory/wv/huntington" TargetMode="External"/><Relationship Id="rId251" Type="http://schemas.openxmlformats.org/officeDocument/2006/relationships/hyperlink" Target="https://www.dollargeneral.com/store-directory/wv/saint-marys" TargetMode="External"/><Relationship Id="rId250" Type="http://schemas.openxmlformats.org/officeDocument/2006/relationships/hyperlink" Target="https://www.dollargeneral.com/store-directory/wv/saint-albans" TargetMode="External"/><Relationship Id="rId136" Type="http://schemas.openxmlformats.org/officeDocument/2006/relationships/hyperlink" Target="https://www.dollargeneral.com/store-directory/wv/hurricane" TargetMode="External"/><Relationship Id="rId257" Type="http://schemas.openxmlformats.org/officeDocument/2006/relationships/hyperlink" Target="https://www.dollargeneral.com/store-directory/wv/shinnston" TargetMode="External"/><Relationship Id="rId135" Type="http://schemas.openxmlformats.org/officeDocument/2006/relationships/hyperlink" Target="https://www.dollargeneral.com/store-directory/wv/hurricane" TargetMode="External"/><Relationship Id="rId256" Type="http://schemas.openxmlformats.org/officeDocument/2006/relationships/hyperlink" Target="https://www.dollargeneral.com/store-directory/wv/shepherdstown" TargetMode="External"/><Relationship Id="rId134" Type="http://schemas.openxmlformats.org/officeDocument/2006/relationships/hyperlink" Target="https://www.dollargeneral.com/store-directory/wv/huntington" TargetMode="External"/><Relationship Id="rId255" Type="http://schemas.openxmlformats.org/officeDocument/2006/relationships/hyperlink" Target="https://www.dollargeneral.com/store-directory/wv/shenandoah-junction" TargetMode="External"/><Relationship Id="rId133" Type="http://schemas.openxmlformats.org/officeDocument/2006/relationships/hyperlink" Target="https://www.dollargeneral.com/store-directory/wv/huntington" TargetMode="External"/><Relationship Id="rId254" Type="http://schemas.openxmlformats.org/officeDocument/2006/relationships/hyperlink" Target="https://www.dollargeneral.com/store-directory/wv/shady-spring" TargetMode="External"/><Relationship Id="rId62" Type="http://schemas.openxmlformats.org/officeDocument/2006/relationships/hyperlink" Target="https://www.dollargeneral.com/store-directory/wv/clarksburg" TargetMode="External"/><Relationship Id="rId61" Type="http://schemas.openxmlformats.org/officeDocument/2006/relationships/hyperlink" Target="https://www.dollargeneral.com/store-directory/wv/chester" TargetMode="External"/><Relationship Id="rId64" Type="http://schemas.openxmlformats.org/officeDocument/2006/relationships/hyperlink" Target="https://www.dollargeneral.com/store-directory/wv/clarksburg" TargetMode="External"/><Relationship Id="rId63" Type="http://schemas.openxmlformats.org/officeDocument/2006/relationships/hyperlink" Target="https://www.dollargeneral.com/store-directory/wv/clarksburg" TargetMode="External"/><Relationship Id="rId66" Type="http://schemas.openxmlformats.org/officeDocument/2006/relationships/hyperlink" Target="https://www.dollargeneral.com/store-directory/wv/clarksburg" TargetMode="External"/><Relationship Id="rId172" Type="http://schemas.openxmlformats.org/officeDocument/2006/relationships/hyperlink" Target="https://www.dollargeneral.com/store-directory/wv/middlebourne" TargetMode="External"/><Relationship Id="rId293" Type="http://schemas.openxmlformats.org/officeDocument/2006/relationships/hyperlink" Target="https://www.dollargeneral.com/store-directory/wv/weirton" TargetMode="External"/><Relationship Id="rId65" Type="http://schemas.openxmlformats.org/officeDocument/2006/relationships/hyperlink" Target="https://www.dollargeneral.com/store-directory/wv/clarksburg" TargetMode="External"/><Relationship Id="rId171" Type="http://schemas.openxmlformats.org/officeDocument/2006/relationships/hyperlink" Target="https://www.dollargeneral.com/store-directory/wv/miami" TargetMode="External"/><Relationship Id="rId292" Type="http://schemas.openxmlformats.org/officeDocument/2006/relationships/hyperlink" Target="https://www.dollargeneral.com/store-directory/wv/weirton" TargetMode="External"/><Relationship Id="rId68" Type="http://schemas.openxmlformats.org/officeDocument/2006/relationships/hyperlink" Target="https://www.dollargeneral.com/store-directory/wv/clay" TargetMode="External"/><Relationship Id="rId170" Type="http://schemas.openxmlformats.org/officeDocument/2006/relationships/hyperlink" Target="https://www.dollargeneral.com/store-directory/wv/meadow-bridge" TargetMode="External"/><Relationship Id="rId291" Type="http://schemas.openxmlformats.org/officeDocument/2006/relationships/hyperlink" Target="https://www.dollargeneral.com/store-directory/wv/weirton" TargetMode="External"/><Relationship Id="rId67" Type="http://schemas.openxmlformats.org/officeDocument/2006/relationships/hyperlink" Target="https://www.dollargeneral.com/store-directory/wv/clarksburg" TargetMode="External"/><Relationship Id="rId290" Type="http://schemas.openxmlformats.org/officeDocument/2006/relationships/hyperlink" Target="https://www.dollargeneral.com/store-directory/wv/weirton" TargetMode="External"/><Relationship Id="rId60" Type="http://schemas.openxmlformats.org/officeDocument/2006/relationships/hyperlink" Target="https://www.dollargeneral.com/store-directory/wv/chesapeake" TargetMode="External"/><Relationship Id="rId165" Type="http://schemas.openxmlformats.org/officeDocument/2006/relationships/hyperlink" Target="https://www.dollargeneral.com/store-directory/wv/martinsburg" TargetMode="External"/><Relationship Id="rId286" Type="http://schemas.openxmlformats.org/officeDocument/2006/relationships/hyperlink" Target="https://www.dollargeneral.com/store-directory/wv/washington" TargetMode="External"/><Relationship Id="rId69" Type="http://schemas.openxmlformats.org/officeDocument/2006/relationships/hyperlink" Target="https://www.dollargeneral.com/store-directory/wv/clendenin" TargetMode="External"/><Relationship Id="rId164" Type="http://schemas.openxmlformats.org/officeDocument/2006/relationships/hyperlink" Target="https://www.dollargeneral.com/store-directory/wv/martinsburg" TargetMode="External"/><Relationship Id="rId285" Type="http://schemas.openxmlformats.org/officeDocument/2006/relationships/hyperlink" Target="https://www.dollargeneral.com/store-directory/wv/wardensville" TargetMode="External"/><Relationship Id="rId163" Type="http://schemas.openxmlformats.org/officeDocument/2006/relationships/hyperlink" Target="https://www.dollargeneral.com/store-directory/wv/martinsburg" TargetMode="External"/><Relationship Id="rId284" Type="http://schemas.openxmlformats.org/officeDocument/2006/relationships/hyperlink" Target="https://www.dollargeneral.com/store-directory/wv/war" TargetMode="External"/><Relationship Id="rId162" Type="http://schemas.openxmlformats.org/officeDocument/2006/relationships/hyperlink" Target="https://www.dollargeneral.com/store-directory/wv/marmet" TargetMode="External"/><Relationship Id="rId283" Type="http://schemas.openxmlformats.org/officeDocument/2006/relationships/hyperlink" Target="https://www.dollargeneral.com/store-directory/wv/wallback" TargetMode="External"/><Relationship Id="rId169" Type="http://schemas.openxmlformats.org/officeDocument/2006/relationships/hyperlink" Target="https://www.dollargeneral.com/store-directory/wv/mcmechen" TargetMode="External"/><Relationship Id="rId168" Type="http://schemas.openxmlformats.org/officeDocument/2006/relationships/hyperlink" Target="https://www.dollargeneral.com/store-directory/wv/matewan" TargetMode="External"/><Relationship Id="rId289" Type="http://schemas.openxmlformats.org/officeDocument/2006/relationships/hyperlink" Target="https://www.dollargeneral.com/store-directory/wv/webster-springs" TargetMode="External"/><Relationship Id="rId167" Type="http://schemas.openxmlformats.org/officeDocument/2006/relationships/hyperlink" Target="https://www.dollargeneral.com/store-directory/wv/mason" TargetMode="External"/><Relationship Id="rId288" Type="http://schemas.openxmlformats.org/officeDocument/2006/relationships/hyperlink" Target="https://www.dollargeneral.com/store-directory/wv/wayne" TargetMode="External"/><Relationship Id="rId166" Type="http://schemas.openxmlformats.org/officeDocument/2006/relationships/hyperlink" Target="https://www.dollargeneral.com/store-directory/wv/martinsburg" TargetMode="External"/><Relationship Id="rId287" Type="http://schemas.openxmlformats.org/officeDocument/2006/relationships/hyperlink" Target="https://www.dollargeneral.com/store-directory/wv/wayne" TargetMode="External"/><Relationship Id="rId51" Type="http://schemas.openxmlformats.org/officeDocument/2006/relationships/hyperlink" Target="https://www.dollargeneral.com/store-directory/wv/charleston" TargetMode="External"/><Relationship Id="rId50" Type="http://schemas.openxmlformats.org/officeDocument/2006/relationships/hyperlink" Target="https://www.dollargeneral.com/store-directory/wv/charleston" TargetMode="External"/><Relationship Id="rId53" Type="http://schemas.openxmlformats.org/officeDocument/2006/relationships/hyperlink" Target="https://www.dollargeneral.com/store-directory/wv/charleston" TargetMode="External"/><Relationship Id="rId52" Type="http://schemas.openxmlformats.org/officeDocument/2006/relationships/hyperlink" Target="https://www.dollargeneral.com/store-directory/wv/charleston" TargetMode="External"/><Relationship Id="rId55" Type="http://schemas.openxmlformats.org/officeDocument/2006/relationships/hyperlink" Target="https://www.dollargeneral.com/store-directory/wv/charleston" TargetMode="External"/><Relationship Id="rId161" Type="http://schemas.openxmlformats.org/officeDocument/2006/relationships/hyperlink" Target="https://www.dollargeneral.com/store-directory/wv/marlinton" TargetMode="External"/><Relationship Id="rId282" Type="http://schemas.openxmlformats.org/officeDocument/2006/relationships/hyperlink" Target="https://www.dollargeneral.com/store-directory/wv/wallace" TargetMode="External"/><Relationship Id="rId54" Type="http://schemas.openxmlformats.org/officeDocument/2006/relationships/hyperlink" Target="https://www.dollargeneral.com/store-directory/wv/charleston" TargetMode="External"/><Relationship Id="rId160" Type="http://schemas.openxmlformats.org/officeDocument/2006/relationships/hyperlink" Target="https://www.dollargeneral.com/store-directory/wv/mannington" TargetMode="External"/><Relationship Id="rId281" Type="http://schemas.openxmlformats.org/officeDocument/2006/relationships/hyperlink" Target="https://www.dollargeneral.com/store-directory/wv/walker" TargetMode="External"/><Relationship Id="rId57" Type="http://schemas.openxmlformats.org/officeDocument/2006/relationships/hyperlink" Target="https://www.dollargeneral.com/store-directory/wv/charleston" TargetMode="External"/><Relationship Id="rId280" Type="http://schemas.openxmlformats.org/officeDocument/2006/relationships/hyperlink" Target="https://www.dollargeneral.com/store-directory/wv/vienna" TargetMode="External"/><Relationship Id="rId56" Type="http://schemas.openxmlformats.org/officeDocument/2006/relationships/hyperlink" Target="https://www.dollargeneral.com/store-directory/wv/charleston" TargetMode="External"/><Relationship Id="rId159" Type="http://schemas.openxmlformats.org/officeDocument/2006/relationships/hyperlink" Target="https://www.dollargeneral.com/store-directory/wv/man" TargetMode="External"/><Relationship Id="rId59" Type="http://schemas.openxmlformats.org/officeDocument/2006/relationships/hyperlink" Target="https://www.dollargeneral.com/store-directory/wv/chelyan" TargetMode="External"/><Relationship Id="rId154" Type="http://schemas.openxmlformats.org/officeDocument/2006/relationships/hyperlink" Target="https://www.dollargeneral.com/store-directory/wv/lindside" TargetMode="External"/><Relationship Id="rId275" Type="http://schemas.openxmlformats.org/officeDocument/2006/relationships/hyperlink" Target="https://www.dollargeneral.com/store-directory/wv/terra-alta" TargetMode="External"/><Relationship Id="rId58" Type="http://schemas.openxmlformats.org/officeDocument/2006/relationships/hyperlink" Target="https://www.dollargeneral.com/store-directory/wv/charleston" TargetMode="External"/><Relationship Id="rId153" Type="http://schemas.openxmlformats.org/officeDocument/2006/relationships/hyperlink" Target="https://www.dollargeneral.com/store-directory/wv/lewisburg" TargetMode="External"/><Relationship Id="rId274" Type="http://schemas.openxmlformats.org/officeDocument/2006/relationships/hyperlink" Target="https://www.dollargeneral.com/store-directory/wv/sutton" TargetMode="External"/><Relationship Id="rId152" Type="http://schemas.openxmlformats.org/officeDocument/2006/relationships/hyperlink" Target="https://www.dollargeneral.com/store-directory/wv/lester" TargetMode="External"/><Relationship Id="rId273" Type="http://schemas.openxmlformats.org/officeDocument/2006/relationships/hyperlink" Target="https://www.dollargeneral.com/store-directory/wv/summersville" TargetMode="External"/><Relationship Id="rId151" Type="http://schemas.openxmlformats.org/officeDocument/2006/relationships/hyperlink" Target="https://www.dollargeneral.com/store-directory/wv/lesage" TargetMode="External"/><Relationship Id="rId272" Type="http://schemas.openxmlformats.org/officeDocument/2006/relationships/hyperlink" Target="https://www.dollargeneral.com/store-directory/wv/summersville" TargetMode="External"/><Relationship Id="rId158" Type="http://schemas.openxmlformats.org/officeDocument/2006/relationships/hyperlink" Target="https://www.dollargeneral.com/store-directory/wv/madison" TargetMode="External"/><Relationship Id="rId279" Type="http://schemas.openxmlformats.org/officeDocument/2006/relationships/hyperlink" Target="https://www.dollargeneral.com/store-directory/wv/vienna" TargetMode="External"/><Relationship Id="rId157" Type="http://schemas.openxmlformats.org/officeDocument/2006/relationships/hyperlink" Target="https://www.dollargeneral.com/store-directory/wv/lost-creek" TargetMode="External"/><Relationship Id="rId278" Type="http://schemas.openxmlformats.org/officeDocument/2006/relationships/hyperlink" Target="https://www.dollargeneral.com/store-directory/wv/valley-head" TargetMode="External"/><Relationship Id="rId156" Type="http://schemas.openxmlformats.org/officeDocument/2006/relationships/hyperlink" Target="https://www.dollargeneral.com/store-directory/wv/lookout" TargetMode="External"/><Relationship Id="rId277" Type="http://schemas.openxmlformats.org/officeDocument/2006/relationships/hyperlink" Target="https://www.dollargeneral.com/store-directory/wv/valley-bend" TargetMode="External"/><Relationship Id="rId155" Type="http://schemas.openxmlformats.org/officeDocument/2006/relationships/hyperlink" Target="https://www.dollargeneral.com/store-directory/wv/logan" TargetMode="External"/><Relationship Id="rId276" Type="http://schemas.openxmlformats.org/officeDocument/2006/relationships/hyperlink" Target="https://www.dollargeneral.com/store-directory/wv/union" TargetMode="External"/><Relationship Id="rId107" Type="http://schemas.openxmlformats.org/officeDocument/2006/relationships/hyperlink" Target="https://www.dollargeneral.com/store-directory/wv/ghent" TargetMode="External"/><Relationship Id="rId228" Type="http://schemas.openxmlformats.org/officeDocument/2006/relationships/hyperlink" Target="https://www.dollargeneral.com/store-directory/wv/princeton" TargetMode="External"/><Relationship Id="rId106" Type="http://schemas.openxmlformats.org/officeDocument/2006/relationships/hyperlink" Target="https://www.dollargeneral.com/store-directory/wv/gerrardstown" TargetMode="External"/><Relationship Id="rId227" Type="http://schemas.openxmlformats.org/officeDocument/2006/relationships/hyperlink" Target="https://www.dollargeneral.com/store-directory/wv/princeton" TargetMode="External"/><Relationship Id="rId105" Type="http://schemas.openxmlformats.org/officeDocument/2006/relationships/hyperlink" Target="https://www.dollargeneral.com/store-directory/wv/genoa" TargetMode="External"/><Relationship Id="rId226" Type="http://schemas.openxmlformats.org/officeDocument/2006/relationships/hyperlink" Target="https://www.dollargeneral.com/store-directory/wv/princeton" TargetMode="External"/><Relationship Id="rId104" Type="http://schemas.openxmlformats.org/officeDocument/2006/relationships/hyperlink" Target="https://www.dollargeneral.com/store-directory/wv/gassaway" TargetMode="External"/><Relationship Id="rId225" Type="http://schemas.openxmlformats.org/officeDocument/2006/relationships/hyperlink" Target="https://www.dollargeneral.com/store-directory/wv/prichard" TargetMode="External"/><Relationship Id="rId109" Type="http://schemas.openxmlformats.org/officeDocument/2006/relationships/hyperlink" Target="https://www.dollargeneral.com/store-directory/wv/glasgow" TargetMode="External"/><Relationship Id="rId108" Type="http://schemas.openxmlformats.org/officeDocument/2006/relationships/hyperlink" Target="https://www.dollargeneral.com/store-directory/wv/gilbert" TargetMode="External"/><Relationship Id="rId229" Type="http://schemas.openxmlformats.org/officeDocument/2006/relationships/hyperlink" Target="https://www.dollargeneral.com/store-directory/wv/princeton" TargetMode="External"/><Relationship Id="rId220" Type="http://schemas.openxmlformats.org/officeDocument/2006/relationships/hyperlink" Target="https://www.dollargeneral.com/store-directory/wv/pineville" TargetMode="External"/><Relationship Id="rId103" Type="http://schemas.openxmlformats.org/officeDocument/2006/relationships/hyperlink" Target="https://www.dollargeneral.com/store-directory/wv/gallipolis-ferry" TargetMode="External"/><Relationship Id="rId224" Type="http://schemas.openxmlformats.org/officeDocument/2006/relationships/hyperlink" Target="https://www.dollargeneral.com/store-directory/wv/point-pleasant" TargetMode="External"/><Relationship Id="rId102" Type="http://schemas.openxmlformats.org/officeDocument/2006/relationships/hyperlink" Target="https://www.dollargeneral.com/store-directory/wv/french-creek" TargetMode="External"/><Relationship Id="rId223" Type="http://schemas.openxmlformats.org/officeDocument/2006/relationships/hyperlink" Target="https://www.dollargeneral.com/store-directory/wv/point-pleasant" TargetMode="External"/><Relationship Id="rId101" Type="http://schemas.openxmlformats.org/officeDocument/2006/relationships/hyperlink" Target="https://www.dollargeneral.com/store-directory/wv/frankford" TargetMode="External"/><Relationship Id="rId222" Type="http://schemas.openxmlformats.org/officeDocument/2006/relationships/hyperlink" Target="https://www.dollargeneral.com/store-directory/wv/point-pleasant" TargetMode="External"/><Relationship Id="rId100" Type="http://schemas.openxmlformats.org/officeDocument/2006/relationships/hyperlink" Target="https://www.dollargeneral.com/store-directory/wv/foster" TargetMode="External"/><Relationship Id="rId221" Type="http://schemas.openxmlformats.org/officeDocument/2006/relationships/hyperlink" Target="https://www.dollargeneral.com/store-directory/wv/poca" TargetMode="External"/><Relationship Id="rId217" Type="http://schemas.openxmlformats.org/officeDocument/2006/relationships/hyperlink" Target="https://www.dollargeneral.com/store-directory/wv/peterstown" TargetMode="External"/><Relationship Id="rId216" Type="http://schemas.openxmlformats.org/officeDocument/2006/relationships/hyperlink" Target="https://www.dollargeneral.com/store-directory/wv/petersburg" TargetMode="External"/><Relationship Id="rId215" Type="http://schemas.openxmlformats.org/officeDocument/2006/relationships/hyperlink" Target="https://www.dollargeneral.com/store-directory/wv/pennsboro" TargetMode="External"/><Relationship Id="rId214" Type="http://schemas.openxmlformats.org/officeDocument/2006/relationships/hyperlink" Target="https://www.dollargeneral.com/store-directory/wv/pecks-mill" TargetMode="External"/><Relationship Id="rId219" Type="http://schemas.openxmlformats.org/officeDocument/2006/relationships/hyperlink" Target="https://www.dollargeneral.com/store-directory/wv/pine-grove" TargetMode="External"/><Relationship Id="rId218" Type="http://schemas.openxmlformats.org/officeDocument/2006/relationships/hyperlink" Target="https://www.dollargeneral.com/store-directory/wv/philippi" TargetMode="External"/><Relationship Id="rId213" Type="http://schemas.openxmlformats.org/officeDocument/2006/relationships/hyperlink" Target="https://www.dollargeneral.com/store-directory/wv/paynesville" TargetMode="External"/><Relationship Id="rId212" Type="http://schemas.openxmlformats.org/officeDocument/2006/relationships/hyperlink" Target="https://www.dollargeneral.com/store-directory/wv/paw-paw" TargetMode="External"/><Relationship Id="rId211" Type="http://schemas.openxmlformats.org/officeDocument/2006/relationships/hyperlink" Target="https://www.dollargeneral.com/store-directory/wv/parsons" TargetMode="External"/><Relationship Id="rId210" Type="http://schemas.openxmlformats.org/officeDocument/2006/relationships/hyperlink" Target="https://www.dollargeneral.com/store-directory/wv/parkersburg" TargetMode="External"/><Relationship Id="rId129" Type="http://schemas.openxmlformats.org/officeDocument/2006/relationships/hyperlink" Target="https://www.dollargeneral.com/store-directory/wv/huntington" TargetMode="External"/><Relationship Id="rId128" Type="http://schemas.openxmlformats.org/officeDocument/2006/relationships/hyperlink" Target="https://www.dollargeneral.com/store-directory/wv/huntington" TargetMode="External"/><Relationship Id="rId249" Type="http://schemas.openxmlformats.org/officeDocument/2006/relationships/hyperlink" Target="https://www.dollargeneral.com/store-directory/wv/saint-albans" TargetMode="External"/><Relationship Id="rId127" Type="http://schemas.openxmlformats.org/officeDocument/2006/relationships/hyperlink" Target="https://www.dollargeneral.com/store-directory/wv/hinton" TargetMode="External"/><Relationship Id="rId248" Type="http://schemas.openxmlformats.org/officeDocument/2006/relationships/hyperlink" Target="https://www.dollargeneral.com/store-directory/wv/saint-albans" TargetMode="External"/><Relationship Id="rId126" Type="http://schemas.openxmlformats.org/officeDocument/2006/relationships/hyperlink" Target="https://www.dollargeneral.com/store-directory/wv/hinton" TargetMode="External"/><Relationship Id="rId247" Type="http://schemas.openxmlformats.org/officeDocument/2006/relationships/hyperlink" Target="https://www.dollargeneral.com/store-directory/wv/saint-albans" TargetMode="External"/><Relationship Id="rId121" Type="http://schemas.openxmlformats.org/officeDocument/2006/relationships/hyperlink" Target="https://www.dollargeneral.com/store-directory/wv/harts" TargetMode="External"/><Relationship Id="rId242" Type="http://schemas.openxmlformats.org/officeDocument/2006/relationships/hyperlink" Target="https://www.dollargeneral.com/store-directory/wv/ronceverte" TargetMode="External"/><Relationship Id="rId120" Type="http://schemas.openxmlformats.org/officeDocument/2006/relationships/hyperlink" Target="https://www.dollargeneral.com/store-directory/wv/harrisville" TargetMode="External"/><Relationship Id="rId241" Type="http://schemas.openxmlformats.org/officeDocument/2006/relationships/hyperlink" Target="https://www.dollargeneral.com/store-directory/wv/romney" TargetMode="External"/><Relationship Id="rId240" Type="http://schemas.openxmlformats.org/officeDocument/2006/relationships/hyperlink" Target="https://www.dollargeneral.com/store-directory/wv/rock" TargetMode="External"/><Relationship Id="rId125" Type="http://schemas.openxmlformats.org/officeDocument/2006/relationships/hyperlink" Target="https://www.dollargeneral.com/store-directory/wv/hillsboro" TargetMode="External"/><Relationship Id="rId246" Type="http://schemas.openxmlformats.org/officeDocument/2006/relationships/hyperlink" Target="https://www.dollargeneral.com/store-directory/wv/saint-albans" TargetMode="External"/><Relationship Id="rId124" Type="http://schemas.openxmlformats.org/officeDocument/2006/relationships/hyperlink" Target="https://www.dollargeneral.com/store-directory/wv/hedgesville" TargetMode="External"/><Relationship Id="rId245" Type="http://schemas.openxmlformats.org/officeDocument/2006/relationships/hyperlink" Target="https://www.dollargeneral.com/store-directory/wv/saint-albans" TargetMode="External"/><Relationship Id="rId123" Type="http://schemas.openxmlformats.org/officeDocument/2006/relationships/hyperlink" Target="https://www.dollargeneral.com/store-directory/wv/hedgesville" TargetMode="External"/><Relationship Id="rId244" Type="http://schemas.openxmlformats.org/officeDocument/2006/relationships/hyperlink" Target="https://www.dollargeneral.com/store-directory/wv/rupert" TargetMode="External"/><Relationship Id="rId122" Type="http://schemas.openxmlformats.org/officeDocument/2006/relationships/hyperlink" Target="https://www.dollargeneral.com/store-directory/wv/hedgesville" TargetMode="External"/><Relationship Id="rId243" Type="http://schemas.openxmlformats.org/officeDocument/2006/relationships/hyperlink" Target="https://www.dollargeneral.com/store-directory/wv/ronceverte" TargetMode="External"/><Relationship Id="rId95" Type="http://schemas.openxmlformats.org/officeDocument/2006/relationships/hyperlink" Target="https://www.dollargeneral.com/store-directory/wv/falling-waters" TargetMode="External"/><Relationship Id="rId94" Type="http://schemas.openxmlformats.org/officeDocument/2006/relationships/hyperlink" Target="https://www.dollargeneral.com/store-directory/wv/fairmont" TargetMode="External"/><Relationship Id="rId97" Type="http://schemas.openxmlformats.org/officeDocument/2006/relationships/hyperlink" Target="https://www.dollargeneral.com/store-directory/wv/flemington" TargetMode="External"/><Relationship Id="rId96" Type="http://schemas.openxmlformats.org/officeDocument/2006/relationships/hyperlink" Target="https://www.dollargeneral.com/store-directory/wv/fayetteville" TargetMode="External"/><Relationship Id="rId99" Type="http://schemas.openxmlformats.org/officeDocument/2006/relationships/hyperlink" Target="https://www.dollargeneral.com/store-directory/wv/fort-gay" TargetMode="External"/><Relationship Id="rId98" Type="http://schemas.openxmlformats.org/officeDocument/2006/relationships/hyperlink" Target="https://www.dollargeneral.com/store-directory/wv/fort-ashby" TargetMode="External"/><Relationship Id="rId91" Type="http://schemas.openxmlformats.org/officeDocument/2006/relationships/hyperlink" Target="https://www.dollargeneral.com/store-directory/wv/enterprise" TargetMode="External"/><Relationship Id="rId90" Type="http://schemas.openxmlformats.org/officeDocument/2006/relationships/hyperlink" Target="https://www.dollargeneral.com/store-directory/wv/elkview" TargetMode="External"/><Relationship Id="rId93" Type="http://schemas.openxmlformats.org/officeDocument/2006/relationships/hyperlink" Target="https://www.dollargeneral.com/store-directory/wv/fairmont" TargetMode="External"/><Relationship Id="rId92" Type="http://schemas.openxmlformats.org/officeDocument/2006/relationships/hyperlink" Target="https://www.dollargeneral.com/store-directory/wv/fairmont" TargetMode="External"/><Relationship Id="rId118" Type="http://schemas.openxmlformats.org/officeDocument/2006/relationships/hyperlink" Target="https://www.dollargeneral.com/store-directory/wv/harman" TargetMode="External"/><Relationship Id="rId239" Type="http://schemas.openxmlformats.org/officeDocument/2006/relationships/hyperlink" Target="https://www.dollargeneral.com/store-directory/wv/ripley" TargetMode="External"/><Relationship Id="rId117" Type="http://schemas.openxmlformats.org/officeDocument/2006/relationships/hyperlink" Target="https://www.dollargeneral.com/store-directory/wv/hamlin" TargetMode="External"/><Relationship Id="rId238" Type="http://schemas.openxmlformats.org/officeDocument/2006/relationships/hyperlink" Target="https://www.dollargeneral.com/store-directory/wv/ripley" TargetMode="External"/><Relationship Id="rId116" Type="http://schemas.openxmlformats.org/officeDocument/2006/relationships/hyperlink" Target="https://www.dollargeneral.com/store-directory/wv/hamlin" TargetMode="External"/><Relationship Id="rId237" Type="http://schemas.openxmlformats.org/officeDocument/2006/relationships/hyperlink" Target="https://www.dollargeneral.com/store-directory/wv/ripley" TargetMode="External"/><Relationship Id="rId115" Type="http://schemas.openxmlformats.org/officeDocument/2006/relationships/hyperlink" Target="https://www.dollargeneral.com/store-directory/wv/green-bank" TargetMode="External"/><Relationship Id="rId236" Type="http://schemas.openxmlformats.org/officeDocument/2006/relationships/hyperlink" Target="https://www.dollargeneral.com/store-directory/wv/ridgeley" TargetMode="External"/><Relationship Id="rId119" Type="http://schemas.openxmlformats.org/officeDocument/2006/relationships/hyperlink" Target="https://www.dollargeneral.com/store-directory/wv/harpers-ferry" TargetMode="External"/><Relationship Id="rId110" Type="http://schemas.openxmlformats.org/officeDocument/2006/relationships/hyperlink" Target="https://www.dollargeneral.com/store-directory/wv/glen-daniel" TargetMode="External"/><Relationship Id="rId231" Type="http://schemas.openxmlformats.org/officeDocument/2006/relationships/hyperlink" Target="https://www.dollargeneral.com/store-directory/wv/rainelle" TargetMode="External"/><Relationship Id="rId230" Type="http://schemas.openxmlformats.org/officeDocument/2006/relationships/hyperlink" Target="https://www.dollargeneral.com/store-directory/wv/princeton" TargetMode="External"/><Relationship Id="rId114" Type="http://schemas.openxmlformats.org/officeDocument/2006/relationships/hyperlink" Target="https://www.dollargeneral.com/store-directory/wv/grafton" TargetMode="External"/><Relationship Id="rId235" Type="http://schemas.openxmlformats.org/officeDocument/2006/relationships/hyperlink" Target="https://www.dollargeneral.com/store-directory/wv/richwood" TargetMode="External"/><Relationship Id="rId113" Type="http://schemas.openxmlformats.org/officeDocument/2006/relationships/hyperlink" Target="https://www.dollargeneral.com/store-directory/wv/grafton" TargetMode="External"/><Relationship Id="rId234" Type="http://schemas.openxmlformats.org/officeDocument/2006/relationships/hyperlink" Target="https://www.dollargeneral.com/store-directory/wv/reedsville" TargetMode="External"/><Relationship Id="rId112" Type="http://schemas.openxmlformats.org/officeDocument/2006/relationships/hyperlink" Target="https://www.dollargeneral.com/store-directory/wv/glenville" TargetMode="External"/><Relationship Id="rId233" Type="http://schemas.openxmlformats.org/officeDocument/2006/relationships/hyperlink" Target="https://www.dollargeneral.com/store-directory/wv/ravenswood" TargetMode="External"/><Relationship Id="rId111" Type="http://schemas.openxmlformats.org/officeDocument/2006/relationships/hyperlink" Target="https://www.dollargeneral.com/store-directory/wv/glen-jean" TargetMode="External"/><Relationship Id="rId232" Type="http://schemas.openxmlformats.org/officeDocument/2006/relationships/hyperlink" Target="https://www.dollargeneral.com/store-directory/wv/ranson" TargetMode="External"/><Relationship Id="rId305" Type="http://schemas.openxmlformats.org/officeDocument/2006/relationships/hyperlink" Target="https://www.dollargeneral.com/store-directory/wv/wheeling" TargetMode="External"/><Relationship Id="rId304" Type="http://schemas.openxmlformats.org/officeDocument/2006/relationships/hyperlink" Target="https://www.dollargeneral.com/store-directory/wv/wheeling" TargetMode="External"/><Relationship Id="rId303" Type="http://schemas.openxmlformats.org/officeDocument/2006/relationships/hyperlink" Target="https://www.dollargeneral.com/store-directory/wv/wheeling" TargetMode="External"/><Relationship Id="rId302" Type="http://schemas.openxmlformats.org/officeDocument/2006/relationships/hyperlink" Target="https://www.dollargeneral.com/store-directory/wv/wheeling" TargetMode="External"/><Relationship Id="rId309" Type="http://schemas.openxmlformats.org/officeDocument/2006/relationships/hyperlink" Target="https://www.dollargeneral.com/store-directory/wv/williamson" TargetMode="External"/><Relationship Id="rId308" Type="http://schemas.openxmlformats.org/officeDocument/2006/relationships/hyperlink" Target="https://www.dollargeneral.com/store-directory/wv/wilcoe" TargetMode="External"/><Relationship Id="rId307" Type="http://schemas.openxmlformats.org/officeDocument/2006/relationships/hyperlink" Target="https://www.dollargeneral.com/store-directory/wv/whitesville" TargetMode="External"/><Relationship Id="rId306" Type="http://schemas.openxmlformats.org/officeDocument/2006/relationships/hyperlink" Target="https://www.dollargeneral.com/store-directory/wv/white-hall" TargetMode="External"/><Relationship Id="rId301" Type="http://schemas.openxmlformats.org/officeDocument/2006/relationships/hyperlink" Target="https://www.dollargeneral.com/store-directory/wv/weston" TargetMode="External"/><Relationship Id="rId300" Type="http://schemas.openxmlformats.org/officeDocument/2006/relationships/hyperlink" Target="https://www.dollargeneral.com/store-directory/wv/weston" TargetMode="External"/><Relationship Id="rId206" Type="http://schemas.openxmlformats.org/officeDocument/2006/relationships/hyperlink" Target="https://www.dollargeneral.com/store-directory/wv/parkersburg" TargetMode="External"/><Relationship Id="rId205" Type="http://schemas.openxmlformats.org/officeDocument/2006/relationships/hyperlink" Target="https://www.dollargeneral.com/store-directory/wv/parkersburg" TargetMode="External"/><Relationship Id="rId204" Type="http://schemas.openxmlformats.org/officeDocument/2006/relationships/hyperlink" Target="https://www.dollargeneral.com/store-directory/wv/parkersburg" TargetMode="External"/><Relationship Id="rId203" Type="http://schemas.openxmlformats.org/officeDocument/2006/relationships/hyperlink" Target="https://www.dollargeneral.com/store-directory/wv/ona" TargetMode="External"/><Relationship Id="rId209" Type="http://schemas.openxmlformats.org/officeDocument/2006/relationships/hyperlink" Target="https://www.dollargeneral.com/store-directory/wv/parkersburg" TargetMode="External"/><Relationship Id="rId208" Type="http://schemas.openxmlformats.org/officeDocument/2006/relationships/hyperlink" Target="https://www.dollargeneral.com/store-directory/wv/parkersburg" TargetMode="External"/><Relationship Id="rId207" Type="http://schemas.openxmlformats.org/officeDocument/2006/relationships/hyperlink" Target="https://www.dollargeneral.com/store-directory/wv/parkersburg" TargetMode="External"/><Relationship Id="rId202" Type="http://schemas.openxmlformats.org/officeDocument/2006/relationships/hyperlink" Target="https://www.dollargeneral.com/store-directory/wv/oceana" TargetMode="External"/><Relationship Id="rId201" Type="http://schemas.openxmlformats.org/officeDocument/2006/relationships/hyperlink" Target="https://www.dollargeneral.com/store-directory/wv/oak-hill" TargetMode="External"/><Relationship Id="rId200" Type="http://schemas.openxmlformats.org/officeDocument/2006/relationships/hyperlink" Target="https://www.dollargeneral.com/store-directory/wv/oak-hill" TargetMode="External"/><Relationship Id="rId316" Type="http://schemas.openxmlformats.org/officeDocument/2006/relationships/hyperlink" Target="https://www.dollargeneral.com/store-directory/wv/yawkey" TargetMode="External"/><Relationship Id="rId315" Type="http://schemas.openxmlformats.org/officeDocument/2006/relationships/hyperlink" Target="https://www.dollargeneral.com/store-directory/wv/worthington" TargetMode="External"/><Relationship Id="rId314" Type="http://schemas.openxmlformats.org/officeDocument/2006/relationships/hyperlink" Target="https://www.dollargeneral.com/store-directory/wv/winfield" TargetMode="External"/><Relationship Id="rId313" Type="http://schemas.openxmlformats.org/officeDocument/2006/relationships/hyperlink" Target="https://www.dollargeneral.com/store-directory/wv/winfield" TargetMode="External"/><Relationship Id="rId317" Type="http://schemas.openxmlformats.org/officeDocument/2006/relationships/drawing" Target="../drawings/drawing2.xml"/><Relationship Id="rId312" Type="http://schemas.openxmlformats.org/officeDocument/2006/relationships/hyperlink" Target="https://www.dollargeneral.com/store-directory/wv/williamstown" TargetMode="External"/><Relationship Id="rId311" Type="http://schemas.openxmlformats.org/officeDocument/2006/relationships/hyperlink" Target="https://www.dollargeneral.com/store-directory/wv/williamstown" TargetMode="External"/><Relationship Id="rId310" Type="http://schemas.openxmlformats.org/officeDocument/2006/relationships/hyperlink" Target="https://www.dollargeneral.com/store-directory/wv/williamson" TargetMode="Externa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Relationship Id="rId5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s://www.ers.usda.gov/data-products/rural-urban-commuting-area-codes" TargetMode="External"/><Relationship Id="rId2" Type="http://schemas.openxmlformats.org/officeDocument/2006/relationships/drawing" Target="../drawings/drawing9.xml"/><Relationship Id="rId5" Type="http://schemas.openxmlformats.org/officeDocument/2006/relationships/table" Target="../tables/table3.xml"/><Relationship Id="rId6" Type="http://schemas.openxmlformats.org/officeDocument/2006/relationships/table" Target="../tables/table4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5" width="15.0"/>
    <col customWidth="1" min="6" max="6" width="28.0"/>
    <col customWidth="1" min="7" max="7" width="21.25"/>
    <col customWidth="1" min="8" max="10" width="18.0"/>
    <col customWidth="1" min="11" max="21" width="16.0"/>
    <col customWidth="1" min="22" max="22" width="21.13"/>
    <col customWidth="1" min="23" max="24" width="16.0"/>
    <col customWidth="1" min="25" max="25" width="28.63"/>
    <col customWidth="1" min="26" max="28" width="16.0"/>
    <col customWidth="1" min="29" max="29" width="19.0"/>
    <col customWidth="1" min="30" max="46" width="16.0"/>
    <col customWidth="1" min="47" max="47" width="32.0"/>
  </cols>
  <sheetData>
    <row r="1">
      <c r="A1" s="2" t="s">
        <v>0</v>
      </c>
      <c r="B1" s="2" t="s">
        <v>4</v>
      </c>
      <c r="C1" s="2" t="s">
        <v>6</v>
      </c>
      <c r="D1" s="2" t="s">
        <v>8</v>
      </c>
      <c r="E1" s="2" t="s">
        <v>10</v>
      </c>
      <c r="F1" s="4" t="s">
        <v>13</v>
      </c>
      <c r="G1" s="2" t="s">
        <v>5</v>
      </c>
      <c r="H1" s="4" t="s">
        <v>7</v>
      </c>
      <c r="I1" s="2" t="s">
        <v>14</v>
      </c>
      <c r="J1" s="2" t="s">
        <v>18</v>
      </c>
      <c r="K1" s="2" t="s">
        <v>36</v>
      </c>
      <c r="L1" s="2" t="s">
        <v>37</v>
      </c>
      <c r="M1" s="2" t="s">
        <v>38</v>
      </c>
      <c r="N1" s="2" t="s">
        <v>39</v>
      </c>
      <c r="O1" s="2" t="s">
        <v>40</v>
      </c>
      <c r="P1" s="2" t="s">
        <v>42</v>
      </c>
      <c r="Q1" s="2" t="s">
        <v>47</v>
      </c>
      <c r="R1" s="2" t="s">
        <v>49</v>
      </c>
      <c r="S1" s="2" t="s">
        <v>16</v>
      </c>
      <c r="T1" s="2" t="s">
        <v>17</v>
      </c>
      <c r="U1" s="10" t="s">
        <v>2</v>
      </c>
      <c r="V1" s="10" t="s">
        <v>60</v>
      </c>
      <c r="W1" s="10" t="s">
        <v>24</v>
      </c>
      <c r="X1" s="10" t="s">
        <v>26</v>
      </c>
      <c r="Y1" s="10" t="s">
        <v>27</v>
      </c>
      <c r="Z1" s="10" t="s">
        <v>65</v>
      </c>
      <c r="AA1" s="10" t="s">
        <v>66</v>
      </c>
      <c r="AB1" s="2" t="s">
        <v>68</v>
      </c>
      <c r="AC1" s="2" t="s">
        <v>71</v>
      </c>
      <c r="AD1" s="2" t="s">
        <v>73</v>
      </c>
      <c r="AE1" s="2" t="s">
        <v>3</v>
      </c>
      <c r="AF1" s="2" t="s">
        <v>75</v>
      </c>
      <c r="AG1" s="2" t="s">
        <v>78</v>
      </c>
      <c r="AH1" s="2" t="s">
        <v>81</v>
      </c>
      <c r="AI1" s="2" t="s">
        <v>29</v>
      </c>
      <c r="AJ1" s="2" t="s">
        <v>83</v>
      </c>
      <c r="AK1" s="2" t="s">
        <v>87</v>
      </c>
      <c r="AL1" s="2" t="s">
        <v>89</v>
      </c>
      <c r="AM1" s="2" t="s">
        <v>91</v>
      </c>
      <c r="AN1" s="2" t="s">
        <v>92</v>
      </c>
      <c r="AO1" s="2" t="s">
        <v>93</v>
      </c>
      <c r="AP1" s="2" t="s">
        <v>95</v>
      </c>
      <c r="AQ1" s="2" t="s">
        <v>97</v>
      </c>
      <c r="AR1" s="10" t="s">
        <v>100</v>
      </c>
      <c r="AS1" s="2" t="s">
        <v>103</v>
      </c>
      <c r="AT1" s="2" t="s">
        <v>104</v>
      </c>
      <c r="AU1" s="2" t="s">
        <v>106</v>
      </c>
    </row>
    <row r="2">
      <c r="A2" s="15">
        <f t="shared" ref="A2:A598" si="1">IF(AR2="","",RANK(AR2,$AR$2:$AR$598,0))</f>
        <v>43</v>
      </c>
      <c r="B2" s="15" t="str">
        <f t="shared" ref="B2:B117" si="2">IF(A2="","",IF(A2&lt;=25,"Tier 1",IF(A2&lt;=50,"Tier 2",IF(A2&lt;=100,"Tier 3",""))))</f>
        <v>Tier 2</v>
      </c>
      <c r="C2" s="15"/>
      <c r="D2" s="16" t="s">
        <v>141</v>
      </c>
      <c r="E2" s="15"/>
      <c r="F2" s="12" t="s">
        <v>146</v>
      </c>
      <c r="G2" s="11" t="s">
        <v>149</v>
      </c>
      <c r="H2" s="12" t="s">
        <v>102</v>
      </c>
      <c r="I2" s="13" t="s">
        <v>105</v>
      </c>
      <c r="J2" s="17" t="s">
        <v>169</v>
      </c>
      <c r="K2" s="18">
        <v>18.0</v>
      </c>
      <c r="L2" s="18">
        <v>23.0</v>
      </c>
      <c r="M2" s="18">
        <v>64.4</v>
      </c>
      <c r="N2" s="19">
        <v>2.08</v>
      </c>
      <c r="O2" s="20">
        <v>69.0</v>
      </c>
      <c r="P2" s="21">
        <v>45.0</v>
      </c>
      <c r="Q2" s="5">
        <v>21.1</v>
      </c>
      <c r="R2" s="22">
        <v>52632.0</v>
      </c>
      <c r="S2" s="5">
        <v>39.5830758</v>
      </c>
      <c r="T2" s="5">
        <v>-79.63592147</v>
      </c>
      <c r="U2" s="1">
        <v>2.0</v>
      </c>
      <c r="V2" s="5" t="s">
        <v>180</v>
      </c>
      <c r="W2" s="5">
        <v>0.0</v>
      </c>
      <c r="X2" s="5">
        <v>0.0</v>
      </c>
      <c r="Y2" s="5" t="s">
        <v>116</v>
      </c>
      <c r="Z2" s="24">
        <v>0.0</v>
      </c>
      <c r="AA2" s="25">
        <v>0.0</v>
      </c>
      <c r="AB2" s="25">
        <v>2.0</v>
      </c>
      <c r="AC2" s="16" t="s">
        <v>188</v>
      </c>
      <c r="AD2" s="26">
        <v>8.12</v>
      </c>
      <c r="AE2" s="26">
        <v>1.1</v>
      </c>
      <c r="AF2" s="26">
        <f t="shared" ref="AF2:AF319" si="3">IF(OR(AD2="",AE2=""),"",MAX(0,AD2-AE2))</f>
        <v>7.02</v>
      </c>
      <c r="AG2" s="16" t="str">
        <f t="shared" ref="AG2:AG319" si="4">IF(AD2="","Verify",IF(AD2&gt;10,"Yes","No"))</f>
        <v>No</v>
      </c>
      <c r="AH2" s="15" t="str">
        <f t="shared" ref="AH2:AH319" si="5">IF(AB2="","Verify",IF(AB2=0,"Yes","No"))</f>
        <v>No</v>
      </c>
      <c r="AI2" s="32">
        <v>8.1</v>
      </c>
      <c r="AJ2" s="16" t="s">
        <v>230</v>
      </c>
      <c r="AK2" s="15"/>
      <c r="AL2" s="15"/>
      <c r="AM2" s="15"/>
      <c r="AN2" s="9"/>
      <c r="AO2" s="9">
        <f t="shared" ref="AO2:AO117" si="6">IF(K2="","",ROUND((K2/MAX($K$2:$K$319))*100,1))</f>
        <v>3.5</v>
      </c>
      <c r="AP2" s="9">
        <f t="shared" ref="AP2:AP117" si="7">IF(OR(AA2="",AB2="",AD2=""),"",ROUND(
(MIN(AD2,20)/20*100)*0.6+
(MAX(0,1-MIN(AA2,5)/5)*100)*0.25+
(MAX(0,1-MIN(AB2,10)/10)*100)*0.15
,1))</f>
        <v>61.4</v>
      </c>
      <c r="AQ2" s="9">
        <f t="shared" ref="AQ2:AQ117" si="8">IF(OR(O2="",P2="",Q2="",R2=""),"",ROUND(
(MIN(Q2/MAX($Q$2:$Q$319),1)*100)*0.4+
(MIN(O2/MAX($O$2:$O$319),1)*100)*0.25+
(MIN(P2/MAX($P$2:$P$319),1)*100)*0.2+
((1-(R2-MIN($R$2:$R$319))/(MAX($R$2:$R$319)-MIN($R$2:$R$319)))*100)*0.15
,1))</f>
        <v>14.6</v>
      </c>
      <c r="AR2" s="9">
        <f t="shared" ref="AR2:AR117" si="9">IF(OR(AO2="",AP2="",AQ2=""),"",ROUND((AO2*30+AP2*40+AQ2*20)/90,1))</f>
        <v>31.7</v>
      </c>
      <c r="AS2" s="16" t="s">
        <v>302</v>
      </c>
      <c r="AT2" s="15"/>
      <c r="AU2" s="15"/>
    </row>
    <row r="3">
      <c r="A3" s="15" t="str">
        <f t="shared" si="1"/>
        <v/>
      </c>
      <c r="B3" s="15" t="str">
        <f t="shared" si="2"/>
        <v/>
      </c>
      <c r="C3" s="15"/>
      <c r="D3" s="16" t="s">
        <v>141</v>
      </c>
      <c r="E3" s="15"/>
      <c r="F3" s="12" t="s">
        <v>312</v>
      </c>
      <c r="G3" s="11" t="s">
        <v>315</v>
      </c>
      <c r="H3" s="12" t="s">
        <v>139</v>
      </c>
      <c r="I3" s="13" t="s">
        <v>82</v>
      </c>
      <c r="J3" s="17" t="s">
        <v>331</v>
      </c>
      <c r="K3" s="18">
        <v>75.0</v>
      </c>
      <c r="L3" s="18">
        <v>105.0</v>
      </c>
      <c r="M3" s="18">
        <v>79.5</v>
      </c>
      <c r="N3" s="19">
        <v>1.2</v>
      </c>
      <c r="O3" s="20">
        <v>34.0</v>
      </c>
      <c r="P3" s="21">
        <v>0.0</v>
      </c>
      <c r="Q3" s="5">
        <v>0.0</v>
      </c>
      <c r="R3" s="35"/>
      <c r="S3" s="5">
        <v>37.72908723</v>
      </c>
      <c r="T3" s="5">
        <v>-80.63213566</v>
      </c>
      <c r="U3" s="1">
        <v>10.0</v>
      </c>
      <c r="V3" s="5" t="s">
        <v>342</v>
      </c>
      <c r="W3" s="5">
        <v>3.0</v>
      </c>
      <c r="X3" s="5">
        <v>0.0</v>
      </c>
      <c r="Y3" s="5" t="s">
        <v>116</v>
      </c>
      <c r="Z3" s="24">
        <v>0.0</v>
      </c>
      <c r="AA3" s="25">
        <v>0.0</v>
      </c>
      <c r="AB3" s="25">
        <v>0.0</v>
      </c>
      <c r="AC3" s="16" t="s">
        <v>348</v>
      </c>
      <c r="AD3" s="26">
        <v>10.33</v>
      </c>
      <c r="AE3" s="26">
        <v>2.2</v>
      </c>
      <c r="AF3" s="26">
        <f t="shared" si="3"/>
        <v>8.13</v>
      </c>
      <c r="AG3" s="16" t="str">
        <f t="shared" si="4"/>
        <v>Yes</v>
      </c>
      <c r="AH3" s="15" t="str">
        <f t="shared" si="5"/>
        <v>Yes</v>
      </c>
      <c r="AI3" s="32">
        <v>9.4</v>
      </c>
      <c r="AJ3" s="16" t="s">
        <v>230</v>
      </c>
      <c r="AK3" s="15"/>
      <c r="AL3" s="15"/>
      <c r="AM3" s="15"/>
      <c r="AN3" s="9"/>
      <c r="AO3" s="9">
        <f t="shared" si="6"/>
        <v>14.5</v>
      </c>
      <c r="AP3" s="9">
        <f t="shared" si="7"/>
        <v>71</v>
      </c>
      <c r="AQ3" s="9" t="str">
        <f t="shared" si="8"/>
        <v/>
      </c>
      <c r="AR3" s="9" t="str">
        <f t="shared" si="9"/>
        <v/>
      </c>
      <c r="AS3" s="16" t="s">
        <v>302</v>
      </c>
      <c r="AT3" s="15"/>
      <c r="AU3" s="15"/>
    </row>
    <row r="4">
      <c r="A4" s="15">
        <f t="shared" si="1"/>
        <v>13</v>
      </c>
      <c r="B4" s="15" t="str">
        <f t="shared" si="2"/>
        <v>Tier 1</v>
      </c>
      <c r="C4" s="15"/>
      <c r="D4" s="16" t="s">
        <v>141</v>
      </c>
      <c r="E4" s="15"/>
      <c r="F4" s="12" t="s">
        <v>378</v>
      </c>
      <c r="G4" s="11" t="s">
        <v>381</v>
      </c>
      <c r="H4" s="12">
        <v>25812.0</v>
      </c>
      <c r="I4" s="13" t="s">
        <v>74</v>
      </c>
      <c r="J4" s="17" t="s">
        <v>392</v>
      </c>
      <c r="K4" s="18">
        <v>30.0</v>
      </c>
      <c r="L4" s="18">
        <v>43.0</v>
      </c>
      <c r="M4" s="18">
        <v>49.2</v>
      </c>
      <c r="N4" s="19">
        <v>4.13</v>
      </c>
      <c r="O4" s="20">
        <v>350.0</v>
      </c>
      <c r="P4" s="21">
        <v>122.0</v>
      </c>
      <c r="Q4" s="5">
        <v>31.7</v>
      </c>
      <c r="R4" s="22">
        <v>61250.0</v>
      </c>
      <c r="S4" s="5">
        <v>38.13333621</v>
      </c>
      <c r="T4" s="5">
        <v>-81.09085187</v>
      </c>
      <c r="U4" s="1">
        <v>2.0</v>
      </c>
      <c r="V4" s="5" t="s">
        <v>180</v>
      </c>
      <c r="W4" s="5">
        <v>0.0</v>
      </c>
      <c r="X4" s="5">
        <v>0.0</v>
      </c>
      <c r="Y4" s="5" t="s">
        <v>116</v>
      </c>
      <c r="Z4" s="24">
        <v>0.0</v>
      </c>
      <c r="AA4" s="25">
        <v>0.0</v>
      </c>
      <c r="AB4" s="25">
        <v>0.0</v>
      </c>
      <c r="AC4" s="16" t="s">
        <v>401</v>
      </c>
      <c r="AD4" s="26">
        <v>11.39</v>
      </c>
      <c r="AE4" s="26">
        <v>2.0</v>
      </c>
      <c r="AF4" s="26">
        <f t="shared" si="3"/>
        <v>9.39</v>
      </c>
      <c r="AG4" s="16" t="str">
        <f t="shared" si="4"/>
        <v>Yes</v>
      </c>
      <c r="AH4" s="15" t="str">
        <f t="shared" si="5"/>
        <v>Yes</v>
      </c>
      <c r="AI4" s="32">
        <v>3.5</v>
      </c>
      <c r="AJ4" s="16" t="s">
        <v>230</v>
      </c>
      <c r="AK4" s="15"/>
      <c r="AL4" s="15"/>
      <c r="AM4" s="15"/>
      <c r="AN4" s="9"/>
      <c r="AO4" s="9">
        <f t="shared" si="6"/>
        <v>5.8</v>
      </c>
      <c r="AP4" s="9">
        <f t="shared" si="7"/>
        <v>74.2</v>
      </c>
      <c r="AQ4" s="9">
        <f t="shared" si="8"/>
        <v>21.3</v>
      </c>
      <c r="AR4" s="9">
        <f t="shared" si="9"/>
        <v>39.6</v>
      </c>
      <c r="AS4" s="16" t="s">
        <v>230</v>
      </c>
      <c r="AT4" s="15"/>
      <c r="AU4" s="15"/>
    </row>
    <row r="5">
      <c r="A5" s="15" t="str">
        <f t="shared" si="1"/>
        <v/>
      </c>
      <c r="B5" s="15" t="str">
        <f t="shared" si="2"/>
        <v/>
      </c>
      <c r="C5" s="15"/>
      <c r="D5" s="16" t="s">
        <v>420</v>
      </c>
      <c r="E5" s="16" t="s">
        <v>230</v>
      </c>
      <c r="F5" s="12" t="s">
        <v>424</v>
      </c>
      <c r="G5" s="11" t="s">
        <v>426</v>
      </c>
      <c r="H5" s="12">
        <v>25234.0</v>
      </c>
      <c r="I5" s="13" t="s">
        <v>189</v>
      </c>
      <c r="J5" s="17" t="s">
        <v>439</v>
      </c>
      <c r="K5" s="18">
        <v>19.0</v>
      </c>
      <c r="L5" s="18">
        <v>32.0</v>
      </c>
      <c r="M5" s="18">
        <v>36.6</v>
      </c>
      <c r="N5" s="19">
        <v>3.95</v>
      </c>
      <c r="O5" s="20">
        <v>108.0</v>
      </c>
      <c r="P5" s="21">
        <v>0.0</v>
      </c>
      <c r="Q5" s="5">
        <v>0.0</v>
      </c>
      <c r="R5" s="35"/>
      <c r="S5" s="5">
        <v>38.78948942</v>
      </c>
      <c r="T5" s="5">
        <v>-81.13433038</v>
      </c>
      <c r="U5" s="1">
        <v>2.0</v>
      </c>
      <c r="V5" s="5" t="s">
        <v>180</v>
      </c>
      <c r="W5" s="5">
        <v>0.0</v>
      </c>
      <c r="X5" s="5">
        <v>0.0</v>
      </c>
      <c r="Y5" s="5" t="s">
        <v>116</v>
      </c>
      <c r="Z5" s="24">
        <v>0.0</v>
      </c>
      <c r="AA5" s="37"/>
      <c r="AB5" s="37"/>
      <c r="AC5" s="15"/>
      <c r="AD5" s="38"/>
      <c r="AE5" s="26">
        <v>1.3</v>
      </c>
      <c r="AF5" s="26" t="str">
        <f t="shared" si="3"/>
        <v/>
      </c>
      <c r="AG5" s="16" t="str">
        <f t="shared" si="4"/>
        <v>Verify</v>
      </c>
      <c r="AH5" s="15" t="str">
        <f t="shared" si="5"/>
        <v>Verify</v>
      </c>
      <c r="AI5" s="32">
        <v>9.2</v>
      </c>
      <c r="AJ5" s="16" t="s">
        <v>230</v>
      </c>
      <c r="AK5" s="15"/>
      <c r="AL5" s="15"/>
      <c r="AM5" s="15"/>
      <c r="AN5" s="9"/>
      <c r="AO5" s="9">
        <f t="shared" si="6"/>
        <v>3.7</v>
      </c>
      <c r="AP5" s="9" t="str">
        <f t="shared" si="7"/>
        <v/>
      </c>
      <c r="AQ5" s="9" t="str">
        <f t="shared" si="8"/>
        <v/>
      </c>
      <c r="AR5" s="9" t="str">
        <f t="shared" si="9"/>
        <v/>
      </c>
      <c r="AS5" s="16" t="s">
        <v>302</v>
      </c>
      <c r="AT5" s="15"/>
      <c r="AU5" s="15"/>
    </row>
    <row r="6">
      <c r="A6" s="15">
        <f t="shared" si="1"/>
        <v>17</v>
      </c>
      <c r="B6" s="15" t="str">
        <f t="shared" si="2"/>
        <v>Tier 1</v>
      </c>
      <c r="C6" s="15"/>
      <c r="D6" s="16" t="s">
        <v>141</v>
      </c>
      <c r="E6" s="15"/>
      <c r="F6" s="12" t="s">
        <v>480</v>
      </c>
      <c r="G6" s="11" t="s">
        <v>481</v>
      </c>
      <c r="H6" s="12" t="s">
        <v>221</v>
      </c>
      <c r="I6" s="13" t="s">
        <v>168</v>
      </c>
      <c r="J6" s="17" t="s">
        <v>439</v>
      </c>
      <c r="K6" s="18">
        <v>6.0</v>
      </c>
      <c r="L6" s="18">
        <v>8.0</v>
      </c>
      <c r="M6" s="18">
        <v>5.8</v>
      </c>
      <c r="N6" s="39"/>
      <c r="O6" s="20">
        <v>0.0</v>
      </c>
      <c r="P6" s="21">
        <v>0.0</v>
      </c>
      <c r="Q6" s="5">
        <v>0.0</v>
      </c>
      <c r="R6" s="22">
        <v>23730.0</v>
      </c>
      <c r="S6" s="5">
        <v>38.63021033</v>
      </c>
      <c r="T6" s="5">
        <v>-82.16462412</v>
      </c>
      <c r="U6" s="1">
        <v>3.0</v>
      </c>
      <c r="V6" s="5" t="s">
        <v>180</v>
      </c>
      <c r="W6" s="5">
        <v>0.0</v>
      </c>
      <c r="X6" s="5">
        <v>0.0</v>
      </c>
      <c r="Y6" s="5" t="s">
        <v>116</v>
      </c>
      <c r="Z6" s="24">
        <v>0.0</v>
      </c>
      <c r="AA6" s="25">
        <v>0.0</v>
      </c>
      <c r="AB6" s="25">
        <v>0.0</v>
      </c>
      <c r="AC6" s="16" t="s">
        <v>503</v>
      </c>
      <c r="AD6" s="26">
        <v>12.83</v>
      </c>
      <c r="AE6" s="26">
        <v>3.1</v>
      </c>
      <c r="AF6" s="26">
        <f t="shared" si="3"/>
        <v>9.73</v>
      </c>
      <c r="AG6" s="16" t="str">
        <f t="shared" si="4"/>
        <v>Yes</v>
      </c>
      <c r="AH6" s="15" t="str">
        <f t="shared" si="5"/>
        <v>Yes</v>
      </c>
      <c r="AI6" s="32">
        <v>9.8</v>
      </c>
      <c r="AJ6" s="16" t="s">
        <v>230</v>
      </c>
      <c r="AK6" s="15"/>
      <c r="AL6" s="15"/>
      <c r="AM6" s="15"/>
      <c r="AN6" s="9"/>
      <c r="AO6" s="9">
        <f t="shared" si="6"/>
        <v>1.2</v>
      </c>
      <c r="AP6" s="9">
        <f t="shared" si="7"/>
        <v>78.5</v>
      </c>
      <c r="AQ6" s="9">
        <f t="shared" si="8"/>
        <v>13.2</v>
      </c>
      <c r="AR6" s="9">
        <f t="shared" si="9"/>
        <v>38.2</v>
      </c>
      <c r="AS6" s="16" t="s">
        <v>230</v>
      </c>
      <c r="AT6" s="15"/>
      <c r="AU6" s="15"/>
    </row>
    <row r="7">
      <c r="A7" s="15">
        <f t="shared" si="1"/>
        <v>78</v>
      </c>
      <c r="B7" s="15" t="str">
        <f t="shared" si="2"/>
        <v>Tier 3</v>
      </c>
      <c r="C7" s="15"/>
      <c r="D7" s="16" t="s">
        <v>141</v>
      </c>
      <c r="E7" s="15"/>
      <c r="F7" s="12" t="s">
        <v>523</v>
      </c>
      <c r="G7" s="11" t="s">
        <v>524</v>
      </c>
      <c r="H7" s="12">
        <v>24712.0</v>
      </c>
      <c r="I7" s="13" t="s">
        <v>175</v>
      </c>
      <c r="J7" s="17" t="s">
        <v>392</v>
      </c>
      <c r="K7" s="18">
        <v>21.0</v>
      </c>
      <c r="L7" s="18">
        <v>31.0</v>
      </c>
      <c r="M7" s="18">
        <v>27.8</v>
      </c>
      <c r="N7" s="19">
        <v>1.09</v>
      </c>
      <c r="O7" s="20">
        <v>0.0</v>
      </c>
      <c r="P7" s="21">
        <v>0.0</v>
      </c>
      <c r="Q7" s="5">
        <v>0.0</v>
      </c>
      <c r="R7" s="22">
        <v>22713.0</v>
      </c>
      <c r="S7" s="5">
        <v>37.42348672</v>
      </c>
      <c r="T7" s="5">
        <v>-81.01603057</v>
      </c>
      <c r="U7" s="1">
        <v>5.0</v>
      </c>
      <c r="V7" s="5" t="s">
        <v>540</v>
      </c>
      <c r="W7" s="5">
        <v>1.0</v>
      </c>
      <c r="X7" s="5">
        <v>0.0</v>
      </c>
      <c r="Y7" s="5" t="s">
        <v>116</v>
      </c>
      <c r="Z7" s="24">
        <v>0.0</v>
      </c>
      <c r="AA7" s="25">
        <v>2.0</v>
      </c>
      <c r="AB7" s="25">
        <v>4.0</v>
      </c>
      <c r="AC7" s="16" t="s">
        <v>543</v>
      </c>
      <c r="AD7" s="26">
        <v>4.51</v>
      </c>
      <c r="AE7" s="26">
        <v>4.0</v>
      </c>
      <c r="AF7" s="26">
        <f t="shared" si="3"/>
        <v>0.51</v>
      </c>
      <c r="AG7" s="16" t="str">
        <f t="shared" si="4"/>
        <v>No</v>
      </c>
      <c r="AH7" s="15" t="str">
        <f t="shared" si="5"/>
        <v>No</v>
      </c>
      <c r="AI7" s="32">
        <v>4.7</v>
      </c>
      <c r="AJ7" s="16" t="s">
        <v>230</v>
      </c>
      <c r="AK7" s="15"/>
      <c r="AL7" s="15"/>
      <c r="AM7" s="15"/>
      <c r="AN7" s="9"/>
      <c r="AO7" s="9">
        <f t="shared" si="6"/>
        <v>4</v>
      </c>
      <c r="AP7" s="9">
        <f t="shared" si="7"/>
        <v>37.5</v>
      </c>
      <c r="AQ7" s="9">
        <f t="shared" si="8"/>
        <v>13.4</v>
      </c>
      <c r="AR7" s="9">
        <f t="shared" si="9"/>
        <v>21</v>
      </c>
      <c r="AS7" s="16" t="s">
        <v>556</v>
      </c>
      <c r="AT7" s="15"/>
      <c r="AU7" s="15"/>
    </row>
    <row r="8">
      <c r="A8" s="15">
        <f t="shared" si="1"/>
        <v>2</v>
      </c>
      <c r="B8" s="15" t="str">
        <f t="shared" si="2"/>
        <v>Tier 1</v>
      </c>
      <c r="C8" s="15"/>
      <c r="D8" s="16" t="s">
        <v>141</v>
      </c>
      <c r="E8" s="15"/>
      <c r="F8" s="12" t="s">
        <v>563</v>
      </c>
      <c r="G8" s="11" t="s">
        <v>565</v>
      </c>
      <c r="H8" s="12">
        <v>26704.0</v>
      </c>
      <c r="I8" s="13" t="s">
        <v>273</v>
      </c>
      <c r="J8" s="17" t="s">
        <v>576</v>
      </c>
      <c r="K8" s="18">
        <v>115.0</v>
      </c>
      <c r="L8" s="18">
        <v>180.0</v>
      </c>
      <c r="M8" s="18">
        <v>63.7</v>
      </c>
      <c r="N8" s="19">
        <v>0.87</v>
      </c>
      <c r="O8" s="20">
        <v>265.0</v>
      </c>
      <c r="P8" s="21">
        <v>0.0</v>
      </c>
      <c r="Q8" s="5">
        <v>0.0</v>
      </c>
      <c r="R8" s="22">
        <v>51075.0</v>
      </c>
      <c r="S8" s="5">
        <v>39.29505523</v>
      </c>
      <c r="T8" s="5">
        <v>-78.63845873</v>
      </c>
      <c r="U8" s="1">
        <v>2.0</v>
      </c>
      <c r="V8" s="5" t="s">
        <v>180</v>
      </c>
      <c r="W8" s="5">
        <v>0.0</v>
      </c>
      <c r="X8" s="5">
        <v>0.0</v>
      </c>
      <c r="Y8" s="5" t="s">
        <v>116</v>
      </c>
      <c r="Z8" s="24">
        <v>0.0</v>
      </c>
      <c r="AA8" s="25">
        <v>0.0</v>
      </c>
      <c r="AB8" s="25">
        <v>0.0</v>
      </c>
      <c r="AC8" s="16" t="s">
        <v>589</v>
      </c>
      <c r="AD8" s="26">
        <v>17.43</v>
      </c>
      <c r="AE8" s="26">
        <v>2.1</v>
      </c>
      <c r="AF8" s="26">
        <f t="shared" si="3"/>
        <v>15.33</v>
      </c>
      <c r="AG8" s="16" t="str">
        <f t="shared" si="4"/>
        <v>Yes</v>
      </c>
      <c r="AH8" s="15" t="str">
        <f t="shared" si="5"/>
        <v>Yes</v>
      </c>
      <c r="AI8" s="32">
        <v>4.2</v>
      </c>
      <c r="AJ8" s="16" t="s">
        <v>230</v>
      </c>
      <c r="AK8" s="15"/>
      <c r="AL8" s="15"/>
      <c r="AM8" s="15"/>
      <c r="AN8" s="9"/>
      <c r="AO8" s="9">
        <f t="shared" si="6"/>
        <v>22.2</v>
      </c>
      <c r="AP8" s="9">
        <f t="shared" si="7"/>
        <v>92.3</v>
      </c>
      <c r="AQ8" s="9">
        <f t="shared" si="8"/>
        <v>13.3</v>
      </c>
      <c r="AR8" s="9">
        <f t="shared" si="9"/>
        <v>51.4</v>
      </c>
      <c r="AS8" s="16" t="s">
        <v>230</v>
      </c>
      <c r="AT8" s="15"/>
      <c r="AU8" s="15"/>
    </row>
    <row r="9">
      <c r="A9" s="15">
        <f t="shared" si="1"/>
        <v>29</v>
      </c>
      <c r="B9" s="15" t="str">
        <f t="shared" si="2"/>
        <v>Tier 2</v>
      </c>
      <c r="C9" s="15"/>
      <c r="D9" s="16" t="s">
        <v>141</v>
      </c>
      <c r="E9" s="15"/>
      <c r="F9" s="12" t="s">
        <v>614</v>
      </c>
      <c r="G9" s="11" t="s">
        <v>616</v>
      </c>
      <c r="H9" s="12" t="s">
        <v>294</v>
      </c>
      <c r="I9" s="13" t="s">
        <v>105</v>
      </c>
      <c r="J9" s="17" t="s">
        <v>169</v>
      </c>
      <c r="K9" s="18">
        <v>9.0</v>
      </c>
      <c r="L9" s="18">
        <v>19.0</v>
      </c>
      <c r="M9" s="18">
        <v>14.5</v>
      </c>
      <c r="N9" s="19">
        <v>0.87</v>
      </c>
      <c r="O9" s="20">
        <v>12.0</v>
      </c>
      <c r="P9" s="21">
        <v>0.0</v>
      </c>
      <c r="Q9" s="5">
        <v>0.0</v>
      </c>
      <c r="R9" s="22">
        <v>46250.0</v>
      </c>
      <c r="S9" s="5">
        <v>39.3215582</v>
      </c>
      <c r="T9" s="5">
        <v>-79.56138543</v>
      </c>
      <c r="U9" s="1">
        <v>10.0</v>
      </c>
      <c r="V9" s="5" t="s">
        <v>342</v>
      </c>
      <c r="W9" s="5">
        <v>3.0</v>
      </c>
      <c r="X9" s="5">
        <v>0.0</v>
      </c>
      <c r="Y9" s="5" t="s">
        <v>116</v>
      </c>
      <c r="Z9" s="24">
        <v>0.0</v>
      </c>
      <c r="AA9" s="25">
        <v>0.0</v>
      </c>
      <c r="AB9" s="25">
        <v>0.0</v>
      </c>
      <c r="AC9" s="16" t="s">
        <v>188</v>
      </c>
      <c r="AD9" s="26">
        <v>11.67</v>
      </c>
      <c r="AE9" s="26">
        <v>0.4</v>
      </c>
      <c r="AF9" s="26">
        <f t="shared" si="3"/>
        <v>11.27</v>
      </c>
      <c r="AG9" s="16" t="str">
        <f t="shared" si="4"/>
        <v>Yes</v>
      </c>
      <c r="AH9" s="15" t="str">
        <f t="shared" si="5"/>
        <v>Yes</v>
      </c>
      <c r="AI9" s="32">
        <v>6.1</v>
      </c>
      <c r="AJ9" s="16" t="s">
        <v>230</v>
      </c>
      <c r="AK9" s="15"/>
      <c r="AL9" s="15"/>
      <c r="AM9" s="15"/>
      <c r="AN9" s="9"/>
      <c r="AO9" s="9">
        <f t="shared" si="6"/>
        <v>1.7</v>
      </c>
      <c r="AP9" s="9">
        <f t="shared" si="7"/>
        <v>75</v>
      </c>
      <c r="AQ9" s="9">
        <f t="shared" si="8"/>
        <v>10.3</v>
      </c>
      <c r="AR9" s="9">
        <f t="shared" si="9"/>
        <v>36.2</v>
      </c>
      <c r="AS9" s="16" t="s">
        <v>302</v>
      </c>
      <c r="AT9" s="15"/>
      <c r="AU9" s="15"/>
    </row>
    <row r="10">
      <c r="A10" s="15" t="str">
        <f t="shared" si="1"/>
        <v/>
      </c>
      <c r="B10" s="15" t="str">
        <f t="shared" si="2"/>
        <v/>
      </c>
      <c r="C10" s="15"/>
      <c r="D10" s="16" t="s">
        <v>141</v>
      </c>
      <c r="E10" s="15"/>
      <c r="F10" s="12" t="s">
        <v>651</v>
      </c>
      <c r="G10" s="11" t="s">
        <v>652</v>
      </c>
      <c r="H10" s="12" t="s">
        <v>321</v>
      </c>
      <c r="I10" s="13" t="s">
        <v>90</v>
      </c>
      <c r="J10" s="17" t="s">
        <v>663</v>
      </c>
      <c r="K10" s="18">
        <v>12.0</v>
      </c>
      <c r="L10" s="18">
        <v>17.0</v>
      </c>
      <c r="M10" s="18">
        <v>0.0</v>
      </c>
      <c r="N10" s="19">
        <v>0.55</v>
      </c>
      <c r="O10" s="40"/>
      <c r="P10" s="21">
        <v>7.0</v>
      </c>
      <c r="Q10" s="41"/>
      <c r="R10" s="35"/>
      <c r="S10" s="5">
        <v>39.04214593</v>
      </c>
      <c r="T10" s="5">
        <v>-78.74239514</v>
      </c>
      <c r="U10" s="1">
        <v>10.0</v>
      </c>
      <c r="V10" s="5" t="s">
        <v>342</v>
      </c>
      <c r="W10" s="5">
        <v>3.0</v>
      </c>
      <c r="X10" s="5">
        <v>0.0</v>
      </c>
      <c r="Y10" s="5" t="s">
        <v>116</v>
      </c>
      <c r="Z10" s="24">
        <v>0.0</v>
      </c>
      <c r="AA10" s="37"/>
      <c r="AB10" s="37"/>
      <c r="AC10" s="15"/>
      <c r="AD10" s="38"/>
      <c r="AE10" s="26">
        <v>3.0</v>
      </c>
      <c r="AF10" s="26" t="str">
        <f t="shared" si="3"/>
        <v/>
      </c>
      <c r="AG10" s="16" t="str">
        <f t="shared" si="4"/>
        <v>Verify</v>
      </c>
      <c r="AH10" s="15" t="str">
        <f t="shared" si="5"/>
        <v>Verify</v>
      </c>
      <c r="AI10" s="32">
        <v>12.0</v>
      </c>
      <c r="AJ10" s="16" t="s">
        <v>230</v>
      </c>
      <c r="AK10" s="15"/>
      <c r="AL10" s="15"/>
      <c r="AM10" s="15"/>
      <c r="AN10" s="9"/>
      <c r="AO10" s="9">
        <f t="shared" si="6"/>
        <v>2.3</v>
      </c>
      <c r="AP10" s="9" t="str">
        <f t="shared" si="7"/>
        <v/>
      </c>
      <c r="AQ10" s="9" t="str">
        <f t="shared" si="8"/>
        <v/>
      </c>
      <c r="AR10" s="9" t="str">
        <f t="shared" si="9"/>
        <v/>
      </c>
      <c r="AS10" s="16" t="s">
        <v>302</v>
      </c>
      <c r="AT10" s="15"/>
      <c r="AU10" s="15"/>
    </row>
    <row r="11">
      <c r="A11" s="15">
        <f t="shared" si="1"/>
        <v>71</v>
      </c>
      <c r="B11" s="15" t="str">
        <f t="shared" si="2"/>
        <v>Tier 3</v>
      </c>
      <c r="C11" s="15"/>
      <c r="D11" s="16" t="s">
        <v>141</v>
      </c>
      <c r="E11" s="15"/>
      <c r="F11" s="12" t="s">
        <v>697</v>
      </c>
      <c r="G11" s="11" t="s">
        <v>698</v>
      </c>
      <c r="H11" s="12" t="s">
        <v>346</v>
      </c>
      <c r="I11" s="13" t="s">
        <v>59</v>
      </c>
      <c r="J11" s="17" t="s">
        <v>715</v>
      </c>
      <c r="K11" s="18">
        <v>109.0</v>
      </c>
      <c r="L11" s="18">
        <v>169.0</v>
      </c>
      <c r="M11" s="18">
        <v>233.6</v>
      </c>
      <c r="N11" s="19">
        <v>0.6</v>
      </c>
      <c r="O11" s="20">
        <v>113.0</v>
      </c>
      <c r="P11" s="21">
        <v>7.0</v>
      </c>
      <c r="Q11" s="5">
        <v>4.1</v>
      </c>
      <c r="R11" s="22">
        <v>24773.0</v>
      </c>
      <c r="S11" s="5">
        <v>38.40853862</v>
      </c>
      <c r="T11" s="5">
        <v>-82.29575442</v>
      </c>
      <c r="U11" s="1">
        <v>1.0</v>
      </c>
      <c r="V11" s="5" t="s">
        <v>180</v>
      </c>
      <c r="W11" s="5">
        <v>0.0</v>
      </c>
      <c r="X11" s="5">
        <v>0.0</v>
      </c>
      <c r="Y11" s="5" t="s">
        <v>116</v>
      </c>
      <c r="Z11" s="24">
        <v>0.0</v>
      </c>
      <c r="AA11" s="25">
        <v>2.0</v>
      </c>
      <c r="AB11" s="25">
        <v>5.0</v>
      </c>
      <c r="AC11" s="16" t="s">
        <v>727</v>
      </c>
      <c r="AD11" s="26">
        <v>2.36</v>
      </c>
      <c r="AE11" s="26">
        <v>2.6</v>
      </c>
      <c r="AF11" s="26">
        <f t="shared" si="3"/>
        <v>0</v>
      </c>
      <c r="AG11" s="16" t="str">
        <f t="shared" si="4"/>
        <v>No</v>
      </c>
      <c r="AH11" s="15" t="str">
        <f t="shared" si="5"/>
        <v>No</v>
      </c>
      <c r="AI11" s="32">
        <v>0.5</v>
      </c>
      <c r="AJ11" s="16" t="s">
        <v>230</v>
      </c>
      <c r="AK11" s="15"/>
      <c r="AL11" s="15"/>
      <c r="AM11" s="15"/>
      <c r="AN11" s="9"/>
      <c r="AO11" s="9">
        <f t="shared" si="6"/>
        <v>21</v>
      </c>
      <c r="AP11" s="9">
        <f t="shared" si="7"/>
        <v>29.6</v>
      </c>
      <c r="AQ11" s="9">
        <f t="shared" si="8"/>
        <v>15.5</v>
      </c>
      <c r="AR11" s="9">
        <f t="shared" si="9"/>
        <v>23.6</v>
      </c>
      <c r="AS11" s="16" t="s">
        <v>556</v>
      </c>
      <c r="AT11" s="15"/>
      <c r="AU11" s="15"/>
    </row>
    <row r="12">
      <c r="A12" s="15">
        <f t="shared" si="1"/>
        <v>76</v>
      </c>
      <c r="B12" s="15" t="str">
        <f t="shared" si="2"/>
        <v>Tier 3</v>
      </c>
      <c r="C12" s="15"/>
      <c r="D12" s="16" t="s">
        <v>141</v>
      </c>
      <c r="E12" s="15"/>
      <c r="F12" s="12" t="s">
        <v>755</v>
      </c>
      <c r="G12" s="11" t="s">
        <v>756</v>
      </c>
      <c r="H12" s="12" t="s">
        <v>359</v>
      </c>
      <c r="I12" s="13" t="s">
        <v>59</v>
      </c>
      <c r="J12" s="17" t="s">
        <v>715</v>
      </c>
      <c r="K12" s="18">
        <v>109.0</v>
      </c>
      <c r="L12" s="18">
        <v>169.0</v>
      </c>
      <c r="M12" s="18">
        <v>233.6</v>
      </c>
      <c r="N12" s="39"/>
      <c r="O12" s="20">
        <v>113.0</v>
      </c>
      <c r="P12" s="21">
        <v>14.0</v>
      </c>
      <c r="Q12" s="5">
        <v>4.1</v>
      </c>
      <c r="R12" s="22">
        <v>24773.0</v>
      </c>
      <c r="S12" s="5">
        <v>38.38723375</v>
      </c>
      <c r="T12" s="5">
        <v>-82.33154731</v>
      </c>
      <c r="U12" s="1">
        <v>1.0</v>
      </c>
      <c r="V12" s="5" t="s">
        <v>180</v>
      </c>
      <c r="W12" s="5">
        <v>0.0</v>
      </c>
      <c r="X12" s="5">
        <v>0.0</v>
      </c>
      <c r="Y12" s="5" t="s">
        <v>116</v>
      </c>
      <c r="Z12" s="24">
        <v>0.0</v>
      </c>
      <c r="AA12" s="25">
        <v>3.0</v>
      </c>
      <c r="AB12" s="25">
        <v>6.0</v>
      </c>
      <c r="AC12" s="16" t="s">
        <v>768</v>
      </c>
      <c r="AD12" s="26">
        <v>3.12</v>
      </c>
      <c r="AE12" s="26">
        <v>3.4</v>
      </c>
      <c r="AF12" s="26">
        <f t="shared" si="3"/>
        <v>0</v>
      </c>
      <c r="AG12" s="16" t="str">
        <f t="shared" si="4"/>
        <v>No</v>
      </c>
      <c r="AH12" s="15" t="str">
        <f t="shared" si="5"/>
        <v>No</v>
      </c>
      <c r="AI12" s="32">
        <v>2.4</v>
      </c>
      <c r="AJ12" s="16" t="s">
        <v>230</v>
      </c>
      <c r="AK12" s="15"/>
      <c r="AL12" s="15"/>
      <c r="AM12" s="15"/>
      <c r="AN12" s="9"/>
      <c r="AO12" s="9">
        <f t="shared" si="6"/>
        <v>21</v>
      </c>
      <c r="AP12" s="9">
        <f t="shared" si="7"/>
        <v>25.4</v>
      </c>
      <c r="AQ12" s="9">
        <f t="shared" si="8"/>
        <v>15.7</v>
      </c>
      <c r="AR12" s="9">
        <f t="shared" si="9"/>
        <v>21.8</v>
      </c>
      <c r="AS12" s="16" t="s">
        <v>556</v>
      </c>
      <c r="AT12" s="15"/>
      <c r="AU12" s="15"/>
    </row>
    <row r="13">
      <c r="A13" s="15" t="str">
        <f t="shared" si="1"/>
        <v/>
      </c>
      <c r="B13" s="15" t="str">
        <f t="shared" si="2"/>
        <v/>
      </c>
      <c r="C13" s="15"/>
      <c r="D13" s="16" t="s">
        <v>141</v>
      </c>
      <c r="E13" s="15"/>
      <c r="F13" s="12" t="s">
        <v>782</v>
      </c>
      <c r="G13" s="11" t="s">
        <v>784</v>
      </c>
      <c r="H13" s="12">
        <v>26559.0</v>
      </c>
      <c r="I13" s="13" t="s">
        <v>159</v>
      </c>
      <c r="J13" s="17" t="s">
        <v>169</v>
      </c>
      <c r="K13" s="18">
        <v>10.0</v>
      </c>
      <c r="L13" s="18">
        <v>17.0</v>
      </c>
      <c r="M13" s="18">
        <v>12.1</v>
      </c>
      <c r="N13" s="19">
        <v>0.81</v>
      </c>
      <c r="O13" s="20">
        <v>217.0</v>
      </c>
      <c r="P13" s="21">
        <v>93.0</v>
      </c>
      <c r="Q13" s="5">
        <v>5.8</v>
      </c>
      <c r="R13" s="22">
        <v>34269.0</v>
      </c>
      <c r="S13" s="5">
        <v>39.50436434</v>
      </c>
      <c r="T13" s="5">
        <v>-80.16697711</v>
      </c>
      <c r="U13" s="1">
        <v>4.0</v>
      </c>
      <c r="V13" s="5" t="s">
        <v>540</v>
      </c>
      <c r="W13" s="5">
        <v>1.0</v>
      </c>
      <c r="X13" s="5">
        <v>0.0</v>
      </c>
      <c r="Y13" s="5" t="s">
        <v>116</v>
      </c>
      <c r="Z13" s="24">
        <v>0.0</v>
      </c>
      <c r="AA13" s="37"/>
      <c r="AB13" s="37"/>
      <c r="AC13" s="15"/>
      <c r="AD13" s="38"/>
      <c r="AE13" s="26">
        <v>0.9</v>
      </c>
      <c r="AF13" s="26" t="str">
        <f t="shared" si="3"/>
        <v/>
      </c>
      <c r="AG13" s="16" t="str">
        <f t="shared" si="4"/>
        <v>Verify</v>
      </c>
      <c r="AH13" s="15" t="str">
        <f t="shared" si="5"/>
        <v>Verify</v>
      </c>
      <c r="AI13" s="32">
        <v>1.5</v>
      </c>
      <c r="AJ13" s="16" t="s">
        <v>230</v>
      </c>
      <c r="AK13" s="15"/>
      <c r="AL13" s="15"/>
      <c r="AM13" s="15"/>
      <c r="AN13" s="9"/>
      <c r="AO13" s="9">
        <f t="shared" si="6"/>
        <v>1.9</v>
      </c>
      <c r="AP13" s="9" t="str">
        <f t="shared" si="7"/>
        <v/>
      </c>
      <c r="AQ13" s="9">
        <f t="shared" si="8"/>
        <v>18.7</v>
      </c>
      <c r="AR13" s="9" t="str">
        <f t="shared" si="9"/>
        <v/>
      </c>
      <c r="AS13" s="16" t="s">
        <v>302</v>
      </c>
      <c r="AT13" s="15"/>
      <c r="AU13" s="15"/>
    </row>
    <row r="14">
      <c r="A14" s="15">
        <f t="shared" si="1"/>
        <v>31</v>
      </c>
      <c r="B14" s="15" t="str">
        <f t="shared" si="2"/>
        <v>Tier 2</v>
      </c>
      <c r="C14" s="15"/>
      <c r="D14" s="16" t="s">
        <v>141</v>
      </c>
      <c r="E14" s="15"/>
      <c r="F14" s="12" t="s">
        <v>804</v>
      </c>
      <c r="G14" s="11" t="s">
        <v>807</v>
      </c>
      <c r="H14" s="12" t="s">
        <v>405</v>
      </c>
      <c r="I14" s="13" t="s">
        <v>225</v>
      </c>
      <c r="J14" s="17" t="s">
        <v>392</v>
      </c>
      <c r="K14" s="18">
        <v>440.0</v>
      </c>
      <c r="L14" s="18">
        <v>682.0</v>
      </c>
      <c r="M14" s="18">
        <v>1011.4</v>
      </c>
      <c r="N14" s="19">
        <v>2.0</v>
      </c>
      <c r="O14" s="20">
        <v>429.0</v>
      </c>
      <c r="P14" s="21">
        <v>93.0</v>
      </c>
      <c r="Q14" s="5">
        <v>32.3</v>
      </c>
      <c r="R14" s="22">
        <v>43806.0</v>
      </c>
      <c r="S14" s="5">
        <v>37.77327371</v>
      </c>
      <c r="T14" s="5">
        <v>-81.19813988</v>
      </c>
      <c r="U14" s="1">
        <v>1.0</v>
      </c>
      <c r="V14" s="5" t="s">
        <v>180</v>
      </c>
      <c r="W14" s="5">
        <v>0.0</v>
      </c>
      <c r="X14" s="5">
        <v>0.0</v>
      </c>
      <c r="Y14" s="5" t="s">
        <v>116</v>
      </c>
      <c r="Z14" s="24">
        <v>0.0</v>
      </c>
      <c r="AA14" s="25">
        <v>5.0</v>
      </c>
      <c r="AB14" s="25">
        <v>7.0</v>
      </c>
      <c r="AC14" s="16" t="s">
        <v>821</v>
      </c>
      <c r="AD14" s="26">
        <v>0.13</v>
      </c>
      <c r="AE14" s="26">
        <v>6.1</v>
      </c>
      <c r="AF14" s="26">
        <f t="shared" si="3"/>
        <v>0</v>
      </c>
      <c r="AG14" s="16" t="str">
        <f t="shared" si="4"/>
        <v>No</v>
      </c>
      <c r="AH14" s="15" t="str">
        <f t="shared" si="5"/>
        <v>No</v>
      </c>
      <c r="AI14" s="32">
        <v>0.5</v>
      </c>
      <c r="AJ14" s="16" t="s">
        <v>230</v>
      </c>
      <c r="AK14" s="15"/>
      <c r="AL14" s="15"/>
      <c r="AM14" s="15"/>
      <c r="AN14" s="9"/>
      <c r="AO14" s="9">
        <f t="shared" si="6"/>
        <v>84.8</v>
      </c>
      <c r="AP14" s="9">
        <f t="shared" si="7"/>
        <v>4.9</v>
      </c>
      <c r="AQ14" s="9">
        <f t="shared" si="8"/>
        <v>24</v>
      </c>
      <c r="AR14" s="9">
        <f t="shared" si="9"/>
        <v>35.8</v>
      </c>
      <c r="AS14" s="16" t="s">
        <v>302</v>
      </c>
      <c r="AT14" s="15"/>
      <c r="AU14" s="15"/>
    </row>
    <row r="15">
      <c r="A15" s="15">
        <f t="shared" si="1"/>
        <v>11</v>
      </c>
      <c r="B15" s="15" t="str">
        <f t="shared" si="2"/>
        <v>Tier 1</v>
      </c>
      <c r="C15" s="15"/>
      <c r="D15" s="16" t="s">
        <v>141</v>
      </c>
      <c r="E15" s="15"/>
      <c r="F15" s="12" t="s">
        <v>843</v>
      </c>
      <c r="G15" s="11" t="s">
        <v>846</v>
      </c>
      <c r="H15" s="12" t="s">
        <v>416</v>
      </c>
      <c r="I15" s="13" t="s">
        <v>225</v>
      </c>
      <c r="J15" s="17" t="s">
        <v>392</v>
      </c>
      <c r="K15" s="18">
        <v>440.0</v>
      </c>
      <c r="L15" s="18">
        <v>682.0</v>
      </c>
      <c r="M15" s="18">
        <v>1011.4</v>
      </c>
      <c r="N15" s="19">
        <v>0.52</v>
      </c>
      <c r="O15" s="20">
        <v>429.0</v>
      </c>
      <c r="P15" s="21">
        <v>93.0</v>
      </c>
      <c r="Q15" s="5">
        <v>32.3</v>
      </c>
      <c r="R15" s="22">
        <v>43806.0</v>
      </c>
      <c r="S15" s="5">
        <v>37.80490073</v>
      </c>
      <c r="T15" s="5">
        <v>-81.24565264</v>
      </c>
      <c r="U15" s="1">
        <v>1.0</v>
      </c>
      <c r="V15" s="5" t="s">
        <v>180</v>
      </c>
      <c r="W15" s="5">
        <v>0.0</v>
      </c>
      <c r="X15" s="5">
        <v>0.0</v>
      </c>
      <c r="Y15" s="5" t="s">
        <v>116</v>
      </c>
      <c r="Z15" s="24">
        <v>0.0</v>
      </c>
      <c r="AA15" s="25">
        <v>4.0</v>
      </c>
      <c r="AB15" s="25">
        <v>7.0</v>
      </c>
      <c r="AC15" s="16" t="s">
        <v>861</v>
      </c>
      <c r="AD15" s="26">
        <v>2.51</v>
      </c>
      <c r="AE15" s="26">
        <v>2.8</v>
      </c>
      <c r="AF15" s="26">
        <f t="shared" si="3"/>
        <v>0</v>
      </c>
      <c r="AG15" s="16" t="str">
        <f t="shared" si="4"/>
        <v>No</v>
      </c>
      <c r="AH15" s="15" t="str">
        <f t="shared" si="5"/>
        <v>No</v>
      </c>
      <c r="AI15" s="32">
        <v>2.5</v>
      </c>
      <c r="AJ15" s="16" t="s">
        <v>230</v>
      </c>
      <c r="AK15" s="15"/>
      <c r="AL15" s="15"/>
      <c r="AM15" s="15"/>
      <c r="AN15" s="9"/>
      <c r="AO15" s="9">
        <f t="shared" si="6"/>
        <v>84.8</v>
      </c>
      <c r="AP15" s="9">
        <f t="shared" si="7"/>
        <v>17</v>
      </c>
      <c r="AQ15" s="9">
        <f t="shared" si="8"/>
        <v>24</v>
      </c>
      <c r="AR15" s="9">
        <f t="shared" si="9"/>
        <v>41.2</v>
      </c>
      <c r="AS15" s="16" t="s">
        <v>230</v>
      </c>
      <c r="AT15" s="15"/>
      <c r="AU15" s="15"/>
    </row>
    <row r="16">
      <c r="A16" s="15">
        <f t="shared" si="1"/>
        <v>21</v>
      </c>
      <c r="B16" s="15" t="str">
        <f t="shared" si="2"/>
        <v>Tier 1</v>
      </c>
      <c r="C16" s="15"/>
      <c r="D16" s="16" t="s">
        <v>141</v>
      </c>
      <c r="E16" s="15"/>
      <c r="F16" s="12" t="s">
        <v>882</v>
      </c>
      <c r="G16" s="11" t="s">
        <v>883</v>
      </c>
      <c r="H16" s="12" t="s">
        <v>428</v>
      </c>
      <c r="I16" s="13" t="s">
        <v>225</v>
      </c>
      <c r="J16" s="17" t="s">
        <v>392</v>
      </c>
      <c r="K16" s="18">
        <v>440.0</v>
      </c>
      <c r="L16" s="18">
        <v>682.0</v>
      </c>
      <c r="M16" s="18">
        <v>1011.4</v>
      </c>
      <c r="N16" s="19">
        <v>0.72</v>
      </c>
      <c r="O16" s="20">
        <v>429.0</v>
      </c>
      <c r="P16" s="21">
        <v>93.0</v>
      </c>
      <c r="Q16" s="5">
        <v>32.3</v>
      </c>
      <c r="R16" s="22">
        <v>43806.0</v>
      </c>
      <c r="S16" s="5">
        <v>37.7729338</v>
      </c>
      <c r="T16" s="5">
        <v>-81.16082855</v>
      </c>
      <c r="U16" s="1">
        <v>1.0</v>
      </c>
      <c r="V16" s="5" t="s">
        <v>180</v>
      </c>
      <c r="W16" s="5">
        <v>0.0</v>
      </c>
      <c r="X16" s="5">
        <v>0.0</v>
      </c>
      <c r="Y16" s="5" t="s">
        <v>116</v>
      </c>
      <c r="Z16" s="24">
        <v>0.0</v>
      </c>
      <c r="AA16" s="25">
        <v>6.0</v>
      </c>
      <c r="AB16" s="25">
        <v>7.0</v>
      </c>
      <c r="AC16" s="16" t="s">
        <v>889</v>
      </c>
      <c r="AD16" s="26">
        <v>1.53</v>
      </c>
      <c r="AE16" s="26">
        <v>7.6</v>
      </c>
      <c r="AF16" s="26">
        <f t="shared" si="3"/>
        <v>0</v>
      </c>
      <c r="AG16" s="16" t="str">
        <f t="shared" si="4"/>
        <v>No</v>
      </c>
      <c r="AH16" s="15" t="str">
        <f t="shared" si="5"/>
        <v>No</v>
      </c>
      <c r="AI16" s="32">
        <v>1.6</v>
      </c>
      <c r="AJ16" s="16" t="s">
        <v>230</v>
      </c>
      <c r="AK16" s="15"/>
      <c r="AL16" s="15"/>
      <c r="AM16" s="15"/>
      <c r="AN16" s="9"/>
      <c r="AO16" s="9">
        <f t="shared" si="6"/>
        <v>84.8</v>
      </c>
      <c r="AP16" s="9">
        <f t="shared" si="7"/>
        <v>9.1</v>
      </c>
      <c r="AQ16" s="9">
        <f t="shared" si="8"/>
        <v>24</v>
      </c>
      <c r="AR16" s="9">
        <f t="shared" si="9"/>
        <v>37.6</v>
      </c>
      <c r="AS16" s="16" t="s">
        <v>230</v>
      </c>
      <c r="AT16" s="15"/>
      <c r="AU16" s="15"/>
    </row>
    <row r="17">
      <c r="A17" s="15">
        <f t="shared" si="1"/>
        <v>30</v>
      </c>
      <c r="B17" s="15" t="str">
        <f t="shared" si="2"/>
        <v>Tier 2</v>
      </c>
      <c r="C17" s="15"/>
      <c r="D17" s="16" t="s">
        <v>141</v>
      </c>
      <c r="E17" s="15"/>
      <c r="F17" s="12" t="s">
        <v>911</v>
      </c>
      <c r="G17" s="11" t="s">
        <v>912</v>
      </c>
      <c r="H17" s="12" t="s">
        <v>436</v>
      </c>
      <c r="I17" s="13" t="s">
        <v>225</v>
      </c>
      <c r="J17" s="17" t="s">
        <v>392</v>
      </c>
      <c r="K17" s="18">
        <v>440.0</v>
      </c>
      <c r="L17" s="18">
        <v>682.0</v>
      </c>
      <c r="M17" s="18">
        <v>1011.4</v>
      </c>
      <c r="N17" s="19">
        <v>0.72</v>
      </c>
      <c r="O17" s="20">
        <v>429.0</v>
      </c>
      <c r="P17" s="21">
        <v>93.0</v>
      </c>
      <c r="Q17" s="5">
        <v>32.3</v>
      </c>
      <c r="R17" s="22">
        <v>43806.0</v>
      </c>
      <c r="S17" s="5">
        <v>37.77849847</v>
      </c>
      <c r="T17" s="5">
        <v>-81.19377941</v>
      </c>
      <c r="U17" s="1">
        <v>1.0</v>
      </c>
      <c r="V17" s="5" t="s">
        <v>180</v>
      </c>
      <c r="W17" s="5">
        <v>0.0</v>
      </c>
      <c r="X17" s="5">
        <v>0.0</v>
      </c>
      <c r="Y17" s="5" t="s">
        <v>116</v>
      </c>
      <c r="Z17" s="24">
        <v>0.0</v>
      </c>
      <c r="AA17" s="25">
        <v>5.0</v>
      </c>
      <c r="AB17" s="25">
        <v>7.0</v>
      </c>
      <c r="AC17" s="16" t="s">
        <v>821</v>
      </c>
      <c r="AD17" s="26">
        <v>0.36</v>
      </c>
      <c r="AE17" s="26">
        <v>6.0</v>
      </c>
      <c r="AF17" s="26">
        <f t="shared" si="3"/>
        <v>0</v>
      </c>
      <c r="AG17" s="16" t="str">
        <f t="shared" si="4"/>
        <v>No</v>
      </c>
      <c r="AH17" s="15" t="str">
        <f t="shared" si="5"/>
        <v>No</v>
      </c>
      <c r="AI17" s="32">
        <v>0.2</v>
      </c>
      <c r="AJ17" s="16" t="s">
        <v>230</v>
      </c>
      <c r="AK17" s="15"/>
      <c r="AL17" s="15"/>
      <c r="AM17" s="15"/>
      <c r="AN17" s="9"/>
      <c r="AO17" s="9">
        <f t="shared" si="6"/>
        <v>84.8</v>
      </c>
      <c r="AP17" s="9">
        <f t="shared" si="7"/>
        <v>5.6</v>
      </c>
      <c r="AQ17" s="9">
        <f t="shared" si="8"/>
        <v>24</v>
      </c>
      <c r="AR17" s="9">
        <f t="shared" si="9"/>
        <v>36.1</v>
      </c>
      <c r="AS17" s="16" t="s">
        <v>302</v>
      </c>
      <c r="AT17" s="15"/>
      <c r="AU17" s="15"/>
    </row>
    <row r="18">
      <c r="A18" s="15">
        <f t="shared" si="1"/>
        <v>17</v>
      </c>
      <c r="B18" s="15" t="str">
        <f t="shared" si="2"/>
        <v>Tier 1</v>
      </c>
      <c r="C18" s="15"/>
      <c r="D18" s="16" t="s">
        <v>141</v>
      </c>
      <c r="E18" s="15"/>
      <c r="F18" s="12" t="s">
        <v>948</v>
      </c>
      <c r="G18" s="11" t="s">
        <v>950</v>
      </c>
      <c r="H18" s="12">
        <v>25801.0</v>
      </c>
      <c r="I18" s="13" t="s">
        <v>225</v>
      </c>
      <c r="J18" s="17" t="s">
        <v>392</v>
      </c>
      <c r="K18" s="18">
        <v>440.0</v>
      </c>
      <c r="L18" s="18">
        <v>682.0</v>
      </c>
      <c r="M18" s="18">
        <v>1011.4</v>
      </c>
      <c r="N18" s="19">
        <v>0.72</v>
      </c>
      <c r="O18" s="20">
        <v>429.0</v>
      </c>
      <c r="P18" s="21">
        <v>0.0</v>
      </c>
      <c r="Q18" s="5">
        <v>32.3</v>
      </c>
      <c r="R18" s="22">
        <v>43806.0</v>
      </c>
      <c r="S18" s="5">
        <v>37.81633319</v>
      </c>
      <c r="T18" s="5">
        <v>-81.15246576</v>
      </c>
      <c r="U18" s="1">
        <v>1.0</v>
      </c>
      <c r="V18" s="5" t="s">
        <v>180</v>
      </c>
      <c r="W18" s="5">
        <v>0.0</v>
      </c>
      <c r="X18" s="5">
        <v>0.0</v>
      </c>
      <c r="Y18" s="5" t="s">
        <v>116</v>
      </c>
      <c r="Z18" s="24">
        <v>0.0</v>
      </c>
      <c r="AA18" s="25">
        <v>5.0</v>
      </c>
      <c r="AB18" s="25">
        <v>6.0</v>
      </c>
      <c r="AC18" s="16" t="s">
        <v>963</v>
      </c>
      <c r="AD18" s="26">
        <v>1.96</v>
      </c>
      <c r="AE18" s="26">
        <v>6.7</v>
      </c>
      <c r="AF18" s="26">
        <f t="shared" si="3"/>
        <v>0</v>
      </c>
      <c r="AG18" s="16" t="str">
        <f t="shared" si="4"/>
        <v>No</v>
      </c>
      <c r="AH18" s="15" t="str">
        <f t="shared" si="5"/>
        <v>No</v>
      </c>
      <c r="AI18" s="32">
        <v>1.5</v>
      </c>
      <c r="AJ18" s="16" t="s">
        <v>230</v>
      </c>
      <c r="AK18" s="15"/>
      <c r="AL18" s="15"/>
      <c r="AM18" s="15"/>
      <c r="AN18" s="9"/>
      <c r="AO18" s="9">
        <f t="shared" si="6"/>
        <v>84.8</v>
      </c>
      <c r="AP18" s="9">
        <f t="shared" si="7"/>
        <v>11.9</v>
      </c>
      <c r="AQ18" s="9">
        <f t="shared" si="8"/>
        <v>21.1</v>
      </c>
      <c r="AR18" s="9">
        <f t="shared" si="9"/>
        <v>38.2</v>
      </c>
      <c r="AS18" s="16" t="s">
        <v>230</v>
      </c>
      <c r="AT18" s="15"/>
      <c r="AU18" s="15"/>
    </row>
    <row r="19">
      <c r="A19" s="15" t="str">
        <f t="shared" si="1"/>
        <v/>
      </c>
      <c r="B19" s="15" t="str">
        <f t="shared" si="2"/>
        <v/>
      </c>
      <c r="C19" s="15"/>
      <c r="D19" s="16" t="s">
        <v>141</v>
      </c>
      <c r="E19" s="15"/>
      <c r="F19" s="12" t="s">
        <v>988</v>
      </c>
      <c r="G19" s="11" t="s">
        <v>989</v>
      </c>
      <c r="H19" s="12" t="s">
        <v>466</v>
      </c>
      <c r="I19" s="13" t="s">
        <v>467</v>
      </c>
      <c r="J19" s="17" t="s">
        <v>663</v>
      </c>
      <c r="K19" s="18">
        <v>88.0</v>
      </c>
      <c r="L19" s="18">
        <v>134.0</v>
      </c>
      <c r="M19" s="18">
        <v>150.9</v>
      </c>
      <c r="N19" s="19">
        <v>5.58</v>
      </c>
      <c r="O19" s="20">
        <v>172.0</v>
      </c>
      <c r="P19" s="21">
        <v>0.0</v>
      </c>
      <c r="Q19" s="5">
        <v>0.0</v>
      </c>
      <c r="R19" s="22">
        <v>41324.0</v>
      </c>
      <c r="S19" s="5">
        <v>38.97290369</v>
      </c>
      <c r="T19" s="5">
        <v>-79.95563187</v>
      </c>
      <c r="U19" s="1">
        <v>5.0</v>
      </c>
      <c r="V19" s="5" t="s">
        <v>540</v>
      </c>
      <c r="W19" s="5">
        <v>1.0</v>
      </c>
      <c r="X19" s="5">
        <v>1.0</v>
      </c>
      <c r="Y19" s="5" t="s">
        <v>471</v>
      </c>
      <c r="Z19" s="24">
        <v>1.0</v>
      </c>
      <c r="AA19" s="37"/>
      <c r="AB19" s="37"/>
      <c r="AC19" s="15"/>
      <c r="AD19" s="38"/>
      <c r="AE19" s="26">
        <v>4.0</v>
      </c>
      <c r="AF19" s="26" t="str">
        <f t="shared" si="3"/>
        <v/>
      </c>
      <c r="AG19" s="16" t="str">
        <f t="shared" si="4"/>
        <v>Verify</v>
      </c>
      <c r="AH19" s="15" t="str">
        <f t="shared" si="5"/>
        <v>Verify</v>
      </c>
      <c r="AI19" s="32">
        <v>3.5</v>
      </c>
      <c r="AJ19" s="16" t="s">
        <v>230</v>
      </c>
      <c r="AK19" s="15"/>
      <c r="AL19" s="15"/>
      <c r="AM19" s="15"/>
      <c r="AN19" s="9"/>
      <c r="AO19" s="9">
        <f t="shared" si="6"/>
        <v>17</v>
      </c>
      <c r="AP19" s="9" t="str">
        <f t="shared" si="7"/>
        <v/>
      </c>
      <c r="AQ19" s="9">
        <f t="shared" si="8"/>
        <v>13.3</v>
      </c>
      <c r="AR19" s="9" t="str">
        <f t="shared" si="9"/>
        <v/>
      </c>
      <c r="AS19" s="16" t="s">
        <v>302</v>
      </c>
      <c r="AT19" s="15"/>
      <c r="AU19" s="15"/>
    </row>
    <row r="20">
      <c r="A20" s="15" t="str">
        <f t="shared" si="1"/>
        <v/>
      </c>
      <c r="B20" s="15" t="str">
        <f t="shared" si="2"/>
        <v/>
      </c>
      <c r="C20" s="15"/>
      <c r="D20" s="16" t="s">
        <v>141</v>
      </c>
      <c r="E20" s="15"/>
      <c r="F20" s="12" t="s">
        <v>1029</v>
      </c>
      <c r="G20" s="11" t="s">
        <v>1031</v>
      </c>
      <c r="H20" s="12" t="s">
        <v>476</v>
      </c>
      <c r="I20" s="13" t="s">
        <v>467</v>
      </c>
      <c r="J20" s="17" t="s">
        <v>663</v>
      </c>
      <c r="K20" s="18">
        <v>88.0</v>
      </c>
      <c r="L20" s="18">
        <v>134.0</v>
      </c>
      <c r="M20" s="18">
        <v>150.9</v>
      </c>
      <c r="N20" s="19">
        <v>1.22</v>
      </c>
      <c r="O20" s="20">
        <v>172.0</v>
      </c>
      <c r="P20" s="21">
        <v>26.0</v>
      </c>
      <c r="Q20" s="5">
        <v>0.0</v>
      </c>
      <c r="R20" s="22">
        <v>41324.0</v>
      </c>
      <c r="S20" s="5">
        <v>39.022226</v>
      </c>
      <c r="T20" s="5">
        <v>-79.93778403</v>
      </c>
      <c r="U20" s="1">
        <v>5.0</v>
      </c>
      <c r="V20" s="5" t="s">
        <v>540</v>
      </c>
      <c r="W20" s="5">
        <v>1.0</v>
      </c>
      <c r="X20" s="5">
        <v>1.0</v>
      </c>
      <c r="Y20" s="5" t="s">
        <v>471</v>
      </c>
      <c r="Z20" s="24">
        <v>1.0</v>
      </c>
      <c r="AA20" s="37"/>
      <c r="AB20" s="37"/>
      <c r="AC20" s="15"/>
      <c r="AD20" s="38"/>
      <c r="AE20" s="26">
        <v>1.8</v>
      </c>
      <c r="AF20" s="26" t="str">
        <f t="shared" si="3"/>
        <v/>
      </c>
      <c r="AG20" s="16" t="str">
        <f t="shared" si="4"/>
        <v>Verify</v>
      </c>
      <c r="AH20" s="15" t="str">
        <f t="shared" si="5"/>
        <v>Verify</v>
      </c>
      <c r="AI20" s="32">
        <v>0.0</v>
      </c>
      <c r="AJ20" s="16" t="s">
        <v>230</v>
      </c>
      <c r="AK20" s="15"/>
      <c r="AL20" s="15"/>
      <c r="AM20" s="15"/>
      <c r="AN20" s="9"/>
      <c r="AO20" s="9">
        <f t="shared" si="6"/>
        <v>17</v>
      </c>
      <c r="AP20" s="9" t="str">
        <f t="shared" si="7"/>
        <v/>
      </c>
      <c r="AQ20" s="9">
        <f t="shared" si="8"/>
        <v>14.1</v>
      </c>
      <c r="AR20" s="9" t="str">
        <f t="shared" si="9"/>
        <v/>
      </c>
      <c r="AS20" s="16" t="s">
        <v>302</v>
      </c>
      <c r="AT20" s="15"/>
      <c r="AU20" s="15"/>
    </row>
    <row r="21">
      <c r="A21" s="15">
        <f t="shared" si="1"/>
        <v>87</v>
      </c>
      <c r="B21" s="15" t="str">
        <f t="shared" si="2"/>
        <v>Tier 3</v>
      </c>
      <c r="C21" s="15"/>
      <c r="D21" s="16" t="s">
        <v>141</v>
      </c>
      <c r="E21" s="15"/>
      <c r="F21" s="12" t="s">
        <v>1057</v>
      </c>
      <c r="G21" s="11" t="s">
        <v>1059</v>
      </c>
      <c r="H21" s="12" t="s">
        <v>498</v>
      </c>
      <c r="I21" s="13" t="s">
        <v>128</v>
      </c>
      <c r="J21" s="17" t="s">
        <v>715</v>
      </c>
      <c r="K21" s="18">
        <v>57.0</v>
      </c>
      <c r="L21" s="18">
        <v>98.0</v>
      </c>
      <c r="M21" s="18">
        <v>46.7</v>
      </c>
      <c r="N21" s="19">
        <v>1.22</v>
      </c>
      <c r="O21" s="20">
        <v>28.0</v>
      </c>
      <c r="P21" s="21">
        <v>26.0</v>
      </c>
      <c r="Q21" s="5">
        <v>11.8</v>
      </c>
      <c r="R21" s="22">
        <v>74021.0</v>
      </c>
      <c r="S21" s="5">
        <v>38.2167536</v>
      </c>
      <c r="T21" s="5">
        <v>-81.48644939</v>
      </c>
      <c r="U21" s="1">
        <v>2.0</v>
      </c>
      <c r="V21" s="5" t="s">
        <v>180</v>
      </c>
      <c r="W21" s="5">
        <v>0.0</v>
      </c>
      <c r="X21" s="5">
        <v>0.0</v>
      </c>
      <c r="Y21" s="5" t="s">
        <v>116</v>
      </c>
      <c r="Z21" s="24">
        <v>0.0</v>
      </c>
      <c r="AA21" s="25">
        <v>2.0</v>
      </c>
      <c r="AB21" s="25">
        <v>6.0</v>
      </c>
      <c r="AC21" s="16" t="s">
        <v>1071</v>
      </c>
      <c r="AD21" s="26">
        <v>1.47</v>
      </c>
      <c r="AE21" s="26">
        <v>2.1</v>
      </c>
      <c r="AF21" s="26">
        <f t="shared" si="3"/>
        <v>0</v>
      </c>
      <c r="AG21" s="16" t="str">
        <f t="shared" si="4"/>
        <v>No</v>
      </c>
      <c r="AH21" s="15" t="str">
        <f t="shared" si="5"/>
        <v>No</v>
      </c>
      <c r="AI21" s="32">
        <v>1.5</v>
      </c>
      <c r="AJ21" s="16" t="s">
        <v>230</v>
      </c>
      <c r="AK21" s="15"/>
      <c r="AL21" s="15"/>
      <c r="AM21" s="15"/>
      <c r="AN21" s="9"/>
      <c r="AO21" s="9">
        <f t="shared" si="6"/>
        <v>11</v>
      </c>
      <c r="AP21" s="9">
        <f t="shared" si="7"/>
        <v>25.4</v>
      </c>
      <c r="AQ21" s="9">
        <f t="shared" si="8"/>
        <v>9.2</v>
      </c>
      <c r="AR21" s="9">
        <f t="shared" si="9"/>
        <v>17</v>
      </c>
      <c r="AS21" s="16" t="s">
        <v>556</v>
      </c>
      <c r="AT21" s="15"/>
      <c r="AU21" s="15"/>
    </row>
    <row r="22">
      <c r="A22" s="15">
        <f t="shared" si="1"/>
        <v>86</v>
      </c>
      <c r="B22" s="15" t="str">
        <f t="shared" si="2"/>
        <v>Tier 3</v>
      </c>
      <c r="C22" s="15"/>
      <c r="D22" s="16" t="s">
        <v>141</v>
      </c>
      <c r="E22" s="15"/>
      <c r="F22" s="12" t="s">
        <v>1092</v>
      </c>
      <c r="G22" s="11" t="s">
        <v>1094</v>
      </c>
      <c r="H22" s="12">
        <v>25015.0</v>
      </c>
      <c r="I22" s="13" t="s">
        <v>128</v>
      </c>
      <c r="J22" s="17" t="s">
        <v>715</v>
      </c>
      <c r="K22" s="18">
        <v>57.0</v>
      </c>
      <c r="L22" s="18">
        <v>98.0</v>
      </c>
      <c r="M22" s="18">
        <v>46.7</v>
      </c>
      <c r="N22" s="19">
        <v>0.95</v>
      </c>
      <c r="O22" s="20">
        <v>28.0</v>
      </c>
      <c r="P22" s="21">
        <v>12.0</v>
      </c>
      <c r="Q22" s="5">
        <v>11.8</v>
      </c>
      <c r="R22" s="22">
        <v>74021.0</v>
      </c>
      <c r="S22" s="5">
        <v>38.22258028</v>
      </c>
      <c r="T22" s="5">
        <v>-81.52493564</v>
      </c>
      <c r="U22" s="1">
        <v>2.0</v>
      </c>
      <c r="V22" s="5" t="s">
        <v>180</v>
      </c>
      <c r="W22" s="5">
        <v>0.0</v>
      </c>
      <c r="X22" s="5">
        <v>0.0</v>
      </c>
      <c r="Y22" s="5" t="s">
        <v>116</v>
      </c>
      <c r="Z22" s="24">
        <v>0.0</v>
      </c>
      <c r="AA22" s="25">
        <v>2.0</v>
      </c>
      <c r="AB22" s="25">
        <v>3.0</v>
      </c>
      <c r="AC22" s="16" t="s">
        <v>1071</v>
      </c>
      <c r="AD22" s="26">
        <v>1.28</v>
      </c>
      <c r="AE22" s="26">
        <v>2.2</v>
      </c>
      <c r="AF22" s="26">
        <f t="shared" si="3"/>
        <v>0</v>
      </c>
      <c r="AG22" s="16" t="str">
        <f t="shared" si="4"/>
        <v>No</v>
      </c>
      <c r="AH22" s="15" t="str">
        <f t="shared" si="5"/>
        <v>No</v>
      </c>
      <c r="AI22" s="32">
        <v>1.8</v>
      </c>
      <c r="AJ22" s="16" t="s">
        <v>230</v>
      </c>
      <c r="AK22" s="15"/>
      <c r="AL22" s="15"/>
      <c r="AM22" s="15"/>
      <c r="AN22" s="9"/>
      <c r="AO22" s="9">
        <f t="shared" si="6"/>
        <v>11</v>
      </c>
      <c r="AP22" s="9">
        <f t="shared" si="7"/>
        <v>29.3</v>
      </c>
      <c r="AQ22" s="9">
        <f t="shared" si="8"/>
        <v>8.7</v>
      </c>
      <c r="AR22" s="9">
        <f t="shared" si="9"/>
        <v>18.6</v>
      </c>
      <c r="AS22" s="16" t="s">
        <v>556</v>
      </c>
      <c r="AT22" s="15"/>
      <c r="AU22" s="15"/>
    </row>
    <row r="23">
      <c r="A23" s="15" t="str">
        <f t="shared" si="1"/>
        <v/>
      </c>
      <c r="B23" s="15" t="str">
        <f t="shared" si="2"/>
        <v/>
      </c>
      <c r="C23" s="15"/>
      <c r="D23" s="16" t="s">
        <v>141</v>
      </c>
      <c r="E23" s="15"/>
      <c r="F23" s="12" t="s">
        <v>1123</v>
      </c>
      <c r="G23" s="11" t="s">
        <v>1124</v>
      </c>
      <c r="H23" s="12">
        <v>26134.0</v>
      </c>
      <c r="I23" s="13" t="s">
        <v>529</v>
      </c>
      <c r="J23" s="17" t="s">
        <v>439</v>
      </c>
      <c r="K23" s="18">
        <v>10.0</v>
      </c>
      <c r="L23" s="18">
        <v>15.0</v>
      </c>
      <c r="M23" s="18">
        <v>7.9</v>
      </c>
      <c r="N23" s="19">
        <v>0.87</v>
      </c>
      <c r="O23" s="20">
        <v>47.0</v>
      </c>
      <c r="P23" s="21">
        <v>17.0</v>
      </c>
      <c r="Q23" s="5">
        <v>10.3</v>
      </c>
      <c r="R23" s="22">
        <v>50505.0</v>
      </c>
      <c r="S23" s="5">
        <v>39.3750221</v>
      </c>
      <c r="T23" s="5">
        <v>-81.27789151</v>
      </c>
      <c r="U23" s="1">
        <v>10.0</v>
      </c>
      <c r="V23" s="5" t="s">
        <v>342</v>
      </c>
      <c r="W23" s="5">
        <v>3.0</v>
      </c>
      <c r="X23" s="5">
        <v>0.0</v>
      </c>
      <c r="Y23" s="5" t="s">
        <v>116</v>
      </c>
      <c r="Z23" s="24">
        <v>0.0</v>
      </c>
      <c r="AA23" s="37"/>
      <c r="AB23" s="37"/>
      <c r="AC23" s="15"/>
      <c r="AD23" s="38"/>
      <c r="AE23" s="26">
        <v>0.5</v>
      </c>
      <c r="AF23" s="26" t="str">
        <f t="shared" si="3"/>
        <v/>
      </c>
      <c r="AG23" s="16" t="str">
        <f t="shared" si="4"/>
        <v>Verify</v>
      </c>
      <c r="AH23" s="15" t="str">
        <f t="shared" si="5"/>
        <v>Verify</v>
      </c>
      <c r="AI23" s="32">
        <v>4.0</v>
      </c>
      <c r="AJ23" s="16" t="s">
        <v>230</v>
      </c>
      <c r="AK23" s="15"/>
      <c r="AL23" s="15"/>
      <c r="AM23" s="15"/>
      <c r="AN23" s="9"/>
      <c r="AO23" s="9">
        <f t="shared" si="6"/>
        <v>1.9</v>
      </c>
      <c r="AP23" s="9" t="str">
        <f t="shared" si="7"/>
        <v/>
      </c>
      <c r="AQ23" s="9">
        <f t="shared" si="8"/>
        <v>12.2</v>
      </c>
      <c r="AR23" s="9" t="str">
        <f t="shared" si="9"/>
        <v/>
      </c>
      <c r="AS23" s="16" t="s">
        <v>302</v>
      </c>
      <c r="AT23" s="15"/>
      <c r="AU23" s="15"/>
    </row>
    <row r="24">
      <c r="A24" s="15" t="str">
        <f t="shared" si="1"/>
        <v/>
      </c>
      <c r="B24" s="15" t="str">
        <f t="shared" si="2"/>
        <v/>
      </c>
      <c r="C24" s="15"/>
      <c r="D24" s="16" t="s">
        <v>141</v>
      </c>
      <c r="E24" s="15"/>
      <c r="F24" s="12" t="s">
        <v>1130</v>
      </c>
      <c r="G24" s="11" t="s">
        <v>1131</v>
      </c>
      <c r="H24" s="12" t="s">
        <v>560</v>
      </c>
      <c r="I24" s="13" t="s">
        <v>164</v>
      </c>
      <c r="J24" s="17" t="s">
        <v>1133</v>
      </c>
      <c r="K24" s="18">
        <v>30.0</v>
      </c>
      <c r="L24" s="18">
        <v>51.0</v>
      </c>
      <c r="M24" s="18">
        <v>71.5</v>
      </c>
      <c r="N24" s="19">
        <v>0.98</v>
      </c>
      <c r="O24" s="40"/>
      <c r="P24" s="21">
        <v>17.0</v>
      </c>
      <c r="Q24" s="41"/>
      <c r="R24" s="35"/>
      <c r="S24" s="5">
        <v>40.03157073</v>
      </c>
      <c r="T24" s="5">
        <v>-80.72752054</v>
      </c>
      <c r="U24" s="1">
        <v>1.0</v>
      </c>
      <c r="V24" s="41"/>
      <c r="W24" s="5">
        <v>0.0</v>
      </c>
      <c r="X24" s="5">
        <v>0.0</v>
      </c>
      <c r="Y24" s="5" t="s">
        <v>116</v>
      </c>
      <c r="Z24" s="24">
        <v>0.0</v>
      </c>
      <c r="AA24" s="25">
        <v>3.0</v>
      </c>
      <c r="AB24" s="25">
        <v>3.0</v>
      </c>
      <c r="AC24" s="16" t="s">
        <v>1135</v>
      </c>
      <c r="AD24" s="26">
        <v>2.36</v>
      </c>
      <c r="AE24" s="26">
        <v>1.2</v>
      </c>
      <c r="AF24" s="26">
        <f t="shared" si="3"/>
        <v>1.16</v>
      </c>
      <c r="AG24" s="16" t="str">
        <f t="shared" si="4"/>
        <v>No</v>
      </c>
      <c r="AH24" s="15" t="str">
        <f t="shared" si="5"/>
        <v>No</v>
      </c>
      <c r="AI24" s="32">
        <v>1.7</v>
      </c>
      <c r="AJ24" s="16" t="s">
        <v>230</v>
      </c>
      <c r="AK24" s="15"/>
      <c r="AL24" s="15"/>
      <c r="AM24" s="15"/>
      <c r="AN24" s="9"/>
      <c r="AO24" s="9">
        <f t="shared" si="6"/>
        <v>5.8</v>
      </c>
      <c r="AP24" s="9">
        <f t="shared" si="7"/>
        <v>27.6</v>
      </c>
      <c r="AQ24" s="9" t="str">
        <f t="shared" si="8"/>
        <v/>
      </c>
      <c r="AR24" s="9" t="str">
        <f t="shared" si="9"/>
        <v/>
      </c>
      <c r="AS24" s="16" t="s">
        <v>302</v>
      </c>
      <c r="AT24" s="15"/>
      <c r="AU24" s="15"/>
    </row>
    <row r="25">
      <c r="A25" s="15">
        <f t="shared" si="1"/>
        <v>53</v>
      </c>
      <c r="B25" s="15" t="str">
        <f t="shared" si="2"/>
        <v>Tier 3</v>
      </c>
      <c r="C25" s="15"/>
      <c r="D25" s="16" t="s">
        <v>141</v>
      </c>
      <c r="E25" s="15"/>
      <c r="F25" s="12" t="s">
        <v>1138</v>
      </c>
      <c r="G25" s="11" t="s">
        <v>1139</v>
      </c>
      <c r="H25" s="12" t="s">
        <v>582</v>
      </c>
      <c r="I25" s="13" t="s">
        <v>433</v>
      </c>
      <c r="J25" s="17" t="s">
        <v>576</v>
      </c>
      <c r="K25" s="18">
        <v>141.0</v>
      </c>
      <c r="L25" s="18">
        <v>214.0</v>
      </c>
      <c r="M25" s="18">
        <v>146.7</v>
      </c>
      <c r="N25" s="19">
        <v>0.87</v>
      </c>
      <c r="O25" s="20">
        <v>26.0</v>
      </c>
      <c r="P25" s="21">
        <v>0.0</v>
      </c>
      <c r="Q25" s="5">
        <v>9.9</v>
      </c>
      <c r="R25" s="22">
        <v>32000.0</v>
      </c>
      <c r="S25" s="5">
        <v>39.61404815</v>
      </c>
      <c r="T25" s="5">
        <v>-78.23294539</v>
      </c>
      <c r="U25" s="1">
        <v>3.0</v>
      </c>
      <c r="V25" s="5" t="s">
        <v>180</v>
      </c>
      <c r="W25" s="5">
        <v>0.0</v>
      </c>
      <c r="X25" s="5">
        <v>0.0</v>
      </c>
      <c r="Y25" s="5" t="s">
        <v>116</v>
      </c>
      <c r="Z25" s="24">
        <v>0.0</v>
      </c>
      <c r="AA25" s="25">
        <v>1.0</v>
      </c>
      <c r="AB25" s="25">
        <v>2.0</v>
      </c>
      <c r="AC25" s="16" t="s">
        <v>1142</v>
      </c>
      <c r="AD25" s="26">
        <v>1.23</v>
      </c>
      <c r="AE25" s="26">
        <v>4.6</v>
      </c>
      <c r="AF25" s="26">
        <f t="shared" si="3"/>
        <v>0</v>
      </c>
      <c r="AG25" s="16" t="str">
        <f t="shared" si="4"/>
        <v>No</v>
      </c>
      <c r="AH25" s="15" t="str">
        <f t="shared" si="5"/>
        <v>No</v>
      </c>
      <c r="AI25" s="32">
        <v>0.6</v>
      </c>
      <c r="AJ25" s="16" t="s">
        <v>230</v>
      </c>
      <c r="AK25" s="15"/>
      <c r="AL25" s="15"/>
      <c r="AM25" s="15"/>
      <c r="AN25" s="9"/>
      <c r="AO25" s="9">
        <f t="shared" si="6"/>
        <v>27.2</v>
      </c>
      <c r="AP25" s="9">
        <f t="shared" si="7"/>
        <v>35.7</v>
      </c>
      <c r="AQ25" s="9">
        <f t="shared" si="8"/>
        <v>13.8</v>
      </c>
      <c r="AR25" s="9">
        <f t="shared" si="9"/>
        <v>28</v>
      </c>
      <c r="AS25" s="16" t="s">
        <v>556</v>
      </c>
      <c r="AT25" s="15"/>
      <c r="AU25" s="15"/>
    </row>
    <row r="26">
      <c r="A26" s="15">
        <f t="shared" si="1"/>
        <v>6</v>
      </c>
      <c r="B26" s="15" t="str">
        <f t="shared" si="2"/>
        <v>Tier 1</v>
      </c>
      <c r="C26" s="15"/>
      <c r="D26" s="16" t="s">
        <v>141</v>
      </c>
      <c r="E26" s="15"/>
      <c r="F26" s="12" t="s">
        <v>1148</v>
      </c>
      <c r="G26" s="11" t="s">
        <v>1150</v>
      </c>
      <c r="H26" s="12">
        <v>25411.0</v>
      </c>
      <c r="I26" s="13" t="s">
        <v>433</v>
      </c>
      <c r="J26" s="17" t="s">
        <v>576</v>
      </c>
      <c r="K26" s="18">
        <v>141.0</v>
      </c>
      <c r="L26" s="18">
        <v>214.0</v>
      </c>
      <c r="M26" s="18">
        <v>146.7</v>
      </c>
      <c r="N26" s="19">
        <v>0.95</v>
      </c>
      <c r="O26" s="20">
        <v>26.0</v>
      </c>
      <c r="P26" s="21">
        <v>1.0</v>
      </c>
      <c r="Q26" s="5">
        <v>9.9</v>
      </c>
      <c r="R26" s="22">
        <v>32000.0</v>
      </c>
      <c r="S26" s="5">
        <v>39.49260009</v>
      </c>
      <c r="T26" s="5">
        <v>-78.29573359</v>
      </c>
      <c r="U26" s="1">
        <v>3.0</v>
      </c>
      <c r="V26" s="5" t="s">
        <v>180</v>
      </c>
      <c r="W26" s="5">
        <v>0.0</v>
      </c>
      <c r="X26" s="5">
        <v>0.0</v>
      </c>
      <c r="Y26" s="5" t="s">
        <v>116</v>
      </c>
      <c r="Z26" s="24">
        <v>0.0</v>
      </c>
      <c r="AA26" s="25">
        <v>0.0</v>
      </c>
      <c r="AB26" s="25">
        <v>0.0</v>
      </c>
      <c r="AC26" s="16" t="s">
        <v>1142</v>
      </c>
      <c r="AD26" s="26">
        <v>10.19</v>
      </c>
      <c r="AE26" s="26">
        <v>5.5</v>
      </c>
      <c r="AF26" s="26">
        <f t="shared" si="3"/>
        <v>4.69</v>
      </c>
      <c r="AG26" s="16" t="str">
        <f t="shared" si="4"/>
        <v>Yes</v>
      </c>
      <c r="AH26" s="15" t="str">
        <f t="shared" si="5"/>
        <v>Yes</v>
      </c>
      <c r="AI26" s="32">
        <v>8.4</v>
      </c>
      <c r="AJ26" s="16" t="s">
        <v>230</v>
      </c>
      <c r="AK26" s="15"/>
      <c r="AL26" s="15"/>
      <c r="AM26" s="15"/>
      <c r="AN26" s="9"/>
      <c r="AO26" s="9">
        <f t="shared" si="6"/>
        <v>27.2</v>
      </c>
      <c r="AP26" s="9">
        <f t="shared" si="7"/>
        <v>70.6</v>
      </c>
      <c r="AQ26" s="9">
        <f t="shared" si="8"/>
        <v>13.9</v>
      </c>
      <c r="AR26" s="9">
        <f t="shared" si="9"/>
        <v>43.5</v>
      </c>
      <c r="AS26" s="16" t="s">
        <v>230</v>
      </c>
      <c r="AT26" s="15"/>
      <c r="AU26" s="15"/>
    </row>
    <row r="27">
      <c r="A27" s="15">
        <f t="shared" si="1"/>
        <v>39</v>
      </c>
      <c r="B27" s="15" t="str">
        <f t="shared" si="2"/>
        <v>Tier 2</v>
      </c>
      <c r="C27" s="15"/>
      <c r="D27" s="16" t="s">
        <v>141</v>
      </c>
      <c r="E27" s="15"/>
      <c r="F27" s="12" t="s">
        <v>1170</v>
      </c>
      <c r="G27" s="11" t="s">
        <v>1171</v>
      </c>
      <c r="H27" s="12" t="s">
        <v>613</v>
      </c>
      <c r="I27" s="13" t="s">
        <v>236</v>
      </c>
      <c r="J27" s="17" t="s">
        <v>663</v>
      </c>
      <c r="K27" s="18">
        <v>76.0</v>
      </c>
      <c r="L27" s="18">
        <v>117.0</v>
      </c>
      <c r="M27" s="18">
        <v>128.7</v>
      </c>
      <c r="N27" s="19">
        <v>0.95</v>
      </c>
      <c r="O27" s="20">
        <v>24.0</v>
      </c>
      <c r="P27" s="21">
        <v>0.0</v>
      </c>
      <c r="Q27" s="5">
        <v>0.0</v>
      </c>
      <c r="R27" s="22">
        <v>21464.0</v>
      </c>
      <c r="S27" s="5">
        <v>38.83685032</v>
      </c>
      <c r="T27" s="5">
        <v>-79.8753488</v>
      </c>
      <c r="U27" s="1">
        <v>5.0</v>
      </c>
      <c r="V27" s="5" t="s">
        <v>540</v>
      </c>
      <c r="W27" s="5">
        <v>1.0</v>
      </c>
      <c r="X27" s="5">
        <v>2.0</v>
      </c>
      <c r="Y27" s="5" t="s">
        <v>619</v>
      </c>
      <c r="Z27" s="24">
        <v>2.0</v>
      </c>
      <c r="AA27" s="25">
        <v>0.0</v>
      </c>
      <c r="AB27" s="25">
        <v>0.0</v>
      </c>
      <c r="AC27" s="16" t="s">
        <v>1175</v>
      </c>
      <c r="AD27" s="26">
        <v>5.43</v>
      </c>
      <c r="AE27" s="26">
        <v>2.7</v>
      </c>
      <c r="AF27" s="26">
        <f t="shared" si="3"/>
        <v>2.73</v>
      </c>
      <c r="AG27" s="16" t="str">
        <f t="shared" si="4"/>
        <v>No</v>
      </c>
      <c r="AH27" s="15" t="str">
        <f t="shared" si="5"/>
        <v>Yes</v>
      </c>
      <c r="AI27" s="32">
        <v>4.2</v>
      </c>
      <c r="AJ27" s="16" t="s">
        <v>230</v>
      </c>
      <c r="AK27" s="15"/>
      <c r="AL27" s="15"/>
      <c r="AM27" s="15"/>
      <c r="AN27" s="9"/>
      <c r="AO27" s="9">
        <f t="shared" si="6"/>
        <v>14.6</v>
      </c>
      <c r="AP27" s="9">
        <f t="shared" si="7"/>
        <v>56.3</v>
      </c>
      <c r="AQ27" s="9">
        <f t="shared" si="8"/>
        <v>13.9</v>
      </c>
      <c r="AR27" s="9">
        <f t="shared" si="9"/>
        <v>33</v>
      </c>
      <c r="AS27" s="16" t="s">
        <v>302</v>
      </c>
      <c r="AT27" s="15"/>
      <c r="AU27" s="15"/>
    </row>
    <row r="28">
      <c r="A28" s="15" t="str">
        <f t="shared" si="1"/>
        <v/>
      </c>
      <c r="B28" s="15" t="str">
        <f t="shared" si="2"/>
        <v/>
      </c>
      <c r="C28" s="15"/>
      <c r="D28" s="16" t="s">
        <v>141</v>
      </c>
      <c r="E28" s="15"/>
      <c r="F28" s="12" t="s">
        <v>1179</v>
      </c>
      <c r="G28" s="11" t="s">
        <v>1180</v>
      </c>
      <c r="H28" s="12">
        <v>26610.0</v>
      </c>
      <c r="I28" s="13" t="s">
        <v>198</v>
      </c>
      <c r="J28" s="17" t="s">
        <v>331</v>
      </c>
      <c r="K28" s="18">
        <v>24.0</v>
      </c>
      <c r="L28" s="18">
        <v>35.0</v>
      </c>
      <c r="M28" s="18">
        <v>24.2</v>
      </c>
      <c r="N28" s="19">
        <v>0.95</v>
      </c>
      <c r="O28" s="20">
        <v>17.0</v>
      </c>
      <c r="P28" s="21">
        <v>20.0</v>
      </c>
      <c r="Q28" s="5">
        <v>0.1</v>
      </c>
      <c r="R28" s="22">
        <v>59063.0</v>
      </c>
      <c r="S28" s="5">
        <v>38.49777786</v>
      </c>
      <c r="T28" s="5">
        <v>-80.74966162</v>
      </c>
      <c r="U28" s="1">
        <v>10.0</v>
      </c>
      <c r="V28" s="5" t="s">
        <v>342</v>
      </c>
      <c r="W28" s="5">
        <v>3.0</v>
      </c>
      <c r="X28" s="5">
        <v>0.0</v>
      </c>
      <c r="Y28" s="5" t="s">
        <v>116</v>
      </c>
      <c r="Z28" s="24">
        <v>0.0</v>
      </c>
      <c r="AA28" s="37"/>
      <c r="AB28" s="37"/>
      <c r="AC28" s="15"/>
      <c r="AD28" s="38"/>
      <c r="AE28" s="26">
        <v>3.2</v>
      </c>
      <c r="AF28" s="26" t="str">
        <f t="shared" si="3"/>
        <v/>
      </c>
      <c r="AG28" s="16" t="str">
        <f t="shared" si="4"/>
        <v>Verify</v>
      </c>
      <c r="AH28" s="15" t="str">
        <f t="shared" si="5"/>
        <v>Verify</v>
      </c>
      <c r="AI28" s="32">
        <v>11.1</v>
      </c>
      <c r="AJ28" s="16" t="s">
        <v>230</v>
      </c>
      <c r="AK28" s="15"/>
      <c r="AL28" s="15"/>
      <c r="AM28" s="15"/>
      <c r="AN28" s="9"/>
      <c r="AO28" s="9">
        <f t="shared" si="6"/>
        <v>4.6</v>
      </c>
      <c r="AP28" s="9" t="str">
        <f t="shared" si="7"/>
        <v/>
      </c>
      <c r="AQ28" s="9">
        <f t="shared" si="8"/>
        <v>9.3</v>
      </c>
      <c r="AR28" s="9" t="str">
        <f t="shared" si="9"/>
        <v/>
      </c>
      <c r="AS28" s="16" t="s">
        <v>302</v>
      </c>
      <c r="AT28" s="15"/>
      <c r="AU28" s="15"/>
    </row>
    <row r="29" ht="15.75" customHeight="1">
      <c r="A29" s="15" t="str">
        <f t="shared" si="1"/>
        <v/>
      </c>
      <c r="B29" s="15" t="str">
        <f t="shared" si="2"/>
        <v/>
      </c>
      <c r="C29" s="15"/>
      <c r="D29" s="16" t="s">
        <v>141</v>
      </c>
      <c r="E29" s="15"/>
      <c r="F29" s="12" t="s">
        <v>1186</v>
      </c>
      <c r="G29" s="11" t="s">
        <v>1187</v>
      </c>
      <c r="H29" s="12">
        <v>26521.0</v>
      </c>
      <c r="I29" s="13" t="s">
        <v>169</v>
      </c>
      <c r="J29" s="17" t="s">
        <v>169</v>
      </c>
      <c r="K29" s="18">
        <v>7.0</v>
      </c>
      <c r="L29" s="18">
        <v>11.0</v>
      </c>
      <c r="M29" s="18">
        <v>0.1</v>
      </c>
      <c r="N29" s="19">
        <v>0.63</v>
      </c>
      <c r="O29" s="20">
        <v>20.0</v>
      </c>
      <c r="P29" s="21">
        <v>20.0</v>
      </c>
      <c r="Q29" s="5">
        <v>0.0</v>
      </c>
      <c r="R29" s="35"/>
      <c r="S29" s="5">
        <v>39.72033821</v>
      </c>
      <c r="T29" s="5">
        <v>-80.20459539</v>
      </c>
      <c r="U29" s="1">
        <v>2.0</v>
      </c>
      <c r="V29" s="5" t="s">
        <v>180</v>
      </c>
      <c r="W29" s="5">
        <v>0.0</v>
      </c>
      <c r="X29" s="5">
        <v>0.0</v>
      </c>
      <c r="Y29" s="5" t="s">
        <v>116</v>
      </c>
      <c r="Z29" s="24">
        <v>0.0</v>
      </c>
      <c r="AA29" s="25">
        <v>0.0</v>
      </c>
      <c r="AB29" s="25">
        <v>0.0</v>
      </c>
      <c r="AC29" s="16" t="s">
        <v>1192</v>
      </c>
      <c r="AD29" s="26">
        <v>12.14</v>
      </c>
      <c r="AE29" s="26">
        <v>1.3</v>
      </c>
      <c r="AF29" s="26">
        <f t="shared" si="3"/>
        <v>10.84</v>
      </c>
      <c r="AG29" s="16" t="str">
        <f t="shared" si="4"/>
        <v>Yes</v>
      </c>
      <c r="AH29" s="15" t="str">
        <f t="shared" si="5"/>
        <v>Yes</v>
      </c>
      <c r="AI29" s="32">
        <v>0.4</v>
      </c>
      <c r="AJ29" s="16" t="s">
        <v>230</v>
      </c>
      <c r="AK29" s="15"/>
      <c r="AL29" s="15"/>
      <c r="AM29" s="15"/>
      <c r="AN29" s="9"/>
      <c r="AO29" s="9">
        <f t="shared" si="6"/>
        <v>1.3</v>
      </c>
      <c r="AP29" s="9">
        <f t="shared" si="7"/>
        <v>76.4</v>
      </c>
      <c r="AQ29" s="9" t="str">
        <f t="shared" si="8"/>
        <v/>
      </c>
      <c r="AR29" s="9" t="str">
        <f t="shared" si="9"/>
        <v/>
      </c>
      <c r="AS29" s="16" t="s">
        <v>302</v>
      </c>
      <c r="AT29" s="15"/>
      <c r="AU29" s="15"/>
    </row>
    <row r="30" ht="15.0" customHeight="1">
      <c r="A30" s="15">
        <f t="shared" si="1"/>
        <v>24</v>
      </c>
      <c r="B30" s="15" t="str">
        <f t="shared" si="2"/>
        <v>Tier 1</v>
      </c>
      <c r="C30" s="15"/>
      <c r="D30" s="16" t="s">
        <v>141</v>
      </c>
      <c r="E30" s="15"/>
      <c r="F30" s="12" t="s">
        <v>1196</v>
      </c>
      <c r="G30" s="11" t="s">
        <v>1197</v>
      </c>
      <c r="H30" s="12" t="s">
        <v>674</v>
      </c>
      <c r="I30" s="13" t="s">
        <v>175</v>
      </c>
      <c r="J30" s="17" t="s">
        <v>392</v>
      </c>
      <c r="K30" s="18">
        <v>348.0</v>
      </c>
      <c r="L30" s="18">
        <v>552.0</v>
      </c>
      <c r="M30" s="18">
        <v>654.4</v>
      </c>
      <c r="N30" s="19">
        <v>0.63</v>
      </c>
      <c r="O30" s="20">
        <v>234.0</v>
      </c>
      <c r="P30" s="21">
        <v>20.0</v>
      </c>
      <c r="Q30" s="5">
        <v>2.7</v>
      </c>
      <c r="R30" s="22">
        <v>81927.0</v>
      </c>
      <c r="S30" s="5">
        <v>37.31126258</v>
      </c>
      <c r="T30" s="5">
        <v>-81.25938512</v>
      </c>
      <c r="U30" s="1">
        <v>4.0</v>
      </c>
      <c r="V30" s="5" t="s">
        <v>540</v>
      </c>
      <c r="W30" s="5">
        <v>1.0</v>
      </c>
      <c r="X30" s="5">
        <v>0.0</v>
      </c>
      <c r="Y30" s="5" t="s">
        <v>116</v>
      </c>
      <c r="Z30" s="24">
        <v>0.0</v>
      </c>
      <c r="AA30" s="25">
        <v>2.0</v>
      </c>
      <c r="AB30" s="25">
        <v>3.0</v>
      </c>
      <c r="AC30" s="16" t="s">
        <v>1201</v>
      </c>
      <c r="AD30" s="26">
        <v>0.94</v>
      </c>
      <c r="AE30" s="26">
        <v>3.0</v>
      </c>
      <c r="AF30" s="26">
        <f t="shared" si="3"/>
        <v>0</v>
      </c>
      <c r="AG30" s="16" t="str">
        <f t="shared" si="4"/>
        <v>No</v>
      </c>
      <c r="AH30" s="15" t="str">
        <f t="shared" si="5"/>
        <v>No</v>
      </c>
      <c r="AI30" s="32">
        <v>1.0</v>
      </c>
      <c r="AJ30" s="16" t="s">
        <v>230</v>
      </c>
      <c r="AK30" s="15"/>
      <c r="AL30" s="15"/>
      <c r="AM30" s="15"/>
      <c r="AN30" s="9"/>
      <c r="AO30" s="9">
        <f t="shared" si="6"/>
        <v>67.1</v>
      </c>
      <c r="AP30" s="9">
        <f t="shared" si="7"/>
        <v>28.3</v>
      </c>
      <c r="AQ30" s="9">
        <f t="shared" si="8"/>
        <v>9.7</v>
      </c>
      <c r="AR30" s="9">
        <f t="shared" si="9"/>
        <v>37.1</v>
      </c>
      <c r="AS30" s="16" t="s">
        <v>230</v>
      </c>
      <c r="AT30" s="15"/>
      <c r="AU30" s="15"/>
    </row>
    <row r="31" ht="15.75" customHeight="1">
      <c r="A31" s="15">
        <f t="shared" si="1"/>
        <v>28</v>
      </c>
      <c r="B31" s="15" t="str">
        <f t="shared" si="2"/>
        <v>Tier 2</v>
      </c>
      <c r="C31" s="15"/>
      <c r="D31" s="16" t="s">
        <v>141</v>
      </c>
      <c r="E31" s="15"/>
      <c r="F31" s="12" t="s">
        <v>1205</v>
      </c>
      <c r="G31" s="11" t="s">
        <v>1206</v>
      </c>
      <c r="H31" s="12" t="s">
        <v>683</v>
      </c>
      <c r="I31" s="13" t="s">
        <v>175</v>
      </c>
      <c r="J31" s="17" t="s">
        <v>392</v>
      </c>
      <c r="K31" s="18">
        <v>348.0</v>
      </c>
      <c r="L31" s="18">
        <v>552.0</v>
      </c>
      <c r="M31" s="18">
        <v>654.4</v>
      </c>
      <c r="N31" s="19">
        <v>1.35</v>
      </c>
      <c r="O31" s="20">
        <v>234.0</v>
      </c>
      <c r="P31" s="21">
        <v>20.0</v>
      </c>
      <c r="Q31" s="5">
        <v>2.7</v>
      </c>
      <c r="R31" s="22">
        <v>81927.0</v>
      </c>
      <c r="S31" s="5">
        <v>37.26551495</v>
      </c>
      <c r="T31" s="5">
        <v>-81.23407286</v>
      </c>
      <c r="U31" s="1">
        <v>4.0</v>
      </c>
      <c r="V31" s="5" t="s">
        <v>540</v>
      </c>
      <c r="W31" s="5">
        <v>1.0</v>
      </c>
      <c r="X31" s="5">
        <v>0.0</v>
      </c>
      <c r="Y31" s="5" t="s">
        <v>116</v>
      </c>
      <c r="Z31" s="24">
        <v>0.0</v>
      </c>
      <c r="AA31" s="25">
        <v>2.0</v>
      </c>
      <c r="AB31" s="25">
        <v>3.0</v>
      </c>
      <c r="AC31" s="16" t="s">
        <v>1207</v>
      </c>
      <c r="AD31" s="26">
        <v>0.3</v>
      </c>
      <c r="AE31" s="26">
        <v>3.2</v>
      </c>
      <c r="AF31" s="26">
        <f t="shared" si="3"/>
        <v>0</v>
      </c>
      <c r="AG31" s="16" t="str">
        <f t="shared" si="4"/>
        <v>No</v>
      </c>
      <c r="AH31" s="15" t="str">
        <f t="shared" si="5"/>
        <v>No</v>
      </c>
      <c r="AI31" s="32">
        <v>0.3</v>
      </c>
      <c r="AJ31" s="16" t="s">
        <v>230</v>
      </c>
      <c r="AK31" s="15"/>
      <c r="AL31" s="15"/>
      <c r="AM31" s="15"/>
      <c r="AN31" s="9"/>
      <c r="AO31" s="9">
        <f t="shared" si="6"/>
        <v>67.1</v>
      </c>
      <c r="AP31" s="9">
        <f t="shared" si="7"/>
        <v>26.4</v>
      </c>
      <c r="AQ31" s="9">
        <f t="shared" si="8"/>
        <v>9.7</v>
      </c>
      <c r="AR31" s="9">
        <f t="shared" si="9"/>
        <v>36.3</v>
      </c>
      <c r="AS31" s="16" t="s">
        <v>302</v>
      </c>
      <c r="AT31" s="15"/>
      <c r="AU31" s="15"/>
    </row>
    <row r="32" ht="15.75" customHeight="1">
      <c r="A32" s="15" t="str">
        <f t="shared" si="1"/>
        <v/>
      </c>
      <c r="B32" s="15" t="str">
        <f t="shared" si="2"/>
        <v/>
      </c>
      <c r="C32" s="15"/>
      <c r="D32" s="16" t="s">
        <v>141</v>
      </c>
      <c r="E32" s="15"/>
      <c r="F32" s="12" t="s">
        <v>1211</v>
      </c>
      <c r="G32" s="11" t="s">
        <v>1212</v>
      </c>
      <c r="H32" s="12">
        <v>24701.0</v>
      </c>
      <c r="I32" s="13" t="s">
        <v>175</v>
      </c>
      <c r="J32" s="17" t="s">
        <v>392</v>
      </c>
      <c r="K32" s="18">
        <v>348.0</v>
      </c>
      <c r="L32" s="18">
        <v>552.0</v>
      </c>
      <c r="M32" s="18">
        <v>654.4</v>
      </c>
      <c r="N32" s="19">
        <v>1.39</v>
      </c>
      <c r="O32" s="20">
        <v>234.0</v>
      </c>
      <c r="P32" s="21">
        <v>0.0</v>
      </c>
      <c r="Q32" s="5">
        <v>2.7</v>
      </c>
      <c r="R32" s="22">
        <v>81927.0</v>
      </c>
      <c r="S32" s="5">
        <v>37.30771521</v>
      </c>
      <c r="T32" s="5">
        <v>-81.14647542</v>
      </c>
      <c r="U32" s="1">
        <v>4.0</v>
      </c>
      <c r="V32" s="5" t="s">
        <v>540</v>
      </c>
      <c r="W32" s="5">
        <v>1.0</v>
      </c>
      <c r="X32" s="5">
        <v>0.0</v>
      </c>
      <c r="Y32" s="5" t="s">
        <v>116</v>
      </c>
      <c r="Z32" s="24">
        <v>0.0</v>
      </c>
      <c r="AA32" s="37"/>
      <c r="AB32" s="37"/>
      <c r="AC32" s="15"/>
      <c r="AD32" s="38"/>
      <c r="AE32" s="26">
        <v>3.2</v>
      </c>
      <c r="AF32" s="26" t="str">
        <f t="shared" si="3"/>
        <v/>
      </c>
      <c r="AG32" s="16" t="str">
        <f t="shared" si="4"/>
        <v>Verify</v>
      </c>
      <c r="AH32" s="15" t="str">
        <f t="shared" si="5"/>
        <v>Verify</v>
      </c>
      <c r="AI32" s="32">
        <v>0.4</v>
      </c>
      <c r="AJ32" s="16" t="s">
        <v>230</v>
      </c>
      <c r="AK32" s="15"/>
      <c r="AL32" s="15"/>
      <c r="AM32" s="15"/>
      <c r="AN32" s="9"/>
      <c r="AO32" s="9">
        <f t="shared" si="6"/>
        <v>67.1</v>
      </c>
      <c r="AP32" s="9" t="str">
        <f t="shared" si="7"/>
        <v/>
      </c>
      <c r="AQ32" s="9">
        <f t="shared" si="8"/>
        <v>9</v>
      </c>
      <c r="AR32" s="9" t="str">
        <f t="shared" si="9"/>
        <v/>
      </c>
      <c r="AS32" s="16" t="s">
        <v>302</v>
      </c>
      <c r="AT32" s="15"/>
      <c r="AU32" s="15"/>
    </row>
    <row r="33" ht="15.75" customHeight="1">
      <c r="A33" s="15">
        <f t="shared" si="1"/>
        <v>26</v>
      </c>
      <c r="B33" s="15" t="str">
        <f t="shared" si="2"/>
        <v>Tier 2</v>
      </c>
      <c r="C33" s="15"/>
      <c r="D33" s="16" t="s">
        <v>141</v>
      </c>
      <c r="E33" s="15"/>
      <c r="F33" s="12" t="s">
        <v>1217</v>
      </c>
      <c r="G33" s="11" t="s">
        <v>1218</v>
      </c>
      <c r="H33" s="12" t="s">
        <v>700</v>
      </c>
      <c r="I33" s="13" t="s">
        <v>175</v>
      </c>
      <c r="J33" s="17" t="s">
        <v>392</v>
      </c>
      <c r="K33" s="18">
        <v>348.0</v>
      </c>
      <c r="L33" s="18">
        <v>552.0</v>
      </c>
      <c r="M33" s="18">
        <v>654.4</v>
      </c>
      <c r="N33" s="19">
        <v>2.26</v>
      </c>
      <c r="O33" s="20">
        <v>234.0</v>
      </c>
      <c r="P33" s="21">
        <v>0.0</v>
      </c>
      <c r="Q33" s="5">
        <v>2.7</v>
      </c>
      <c r="R33" s="22">
        <v>81927.0</v>
      </c>
      <c r="S33" s="5">
        <v>37.26099259</v>
      </c>
      <c r="T33" s="5">
        <v>-81.18981153</v>
      </c>
      <c r="U33" s="1">
        <v>4.0</v>
      </c>
      <c r="V33" s="5" t="s">
        <v>540</v>
      </c>
      <c r="W33" s="5">
        <v>1.0</v>
      </c>
      <c r="X33" s="5">
        <v>0.0</v>
      </c>
      <c r="Y33" s="5" t="s">
        <v>116</v>
      </c>
      <c r="Z33" s="24">
        <v>0.0</v>
      </c>
      <c r="AA33" s="25">
        <v>3.0</v>
      </c>
      <c r="AB33" s="25">
        <v>3.0</v>
      </c>
      <c r="AC33" s="16" t="s">
        <v>1207</v>
      </c>
      <c r="AD33" s="26">
        <v>2.21</v>
      </c>
      <c r="AE33" s="26">
        <v>3.2</v>
      </c>
      <c r="AF33" s="26">
        <f t="shared" si="3"/>
        <v>0</v>
      </c>
      <c r="AG33" s="16" t="str">
        <f t="shared" si="4"/>
        <v>No</v>
      </c>
      <c r="AH33" s="15" t="str">
        <f t="shared" si="5"/>
        <v>No</v>
      </c>
      <c r="AI33" s="32">
        <v>1.0</v>
      </c>
      <c r="AJ33" s="16" t="s">
        <v>230</v>
      </c>
      <c r="AK33" s="15"/>
      <c r="AL33" s="15"/>
      <c r="AM33" s="15"/>
      <c r="AN33" s="9"/>
      <c r="AO33" s="9">
        <f t="shared" si="6"/>
        <v>67.1</v>
      </c>
      <c r="AP33" s="9">
        <f t="shared" si="7"/>
        <v>27.1</v>
      </c>
      <c r="AQ33" s="9">
        <f t="shared" si="8"/>
        <v>9</v>
      </c>
      <c r="AR33" s="9">
        <f t="shared" si="9"/>
        <v>36.4</v>
      </c>
      <c r="AS33" s="16" t="s">
        <v>302</v>
      </c>
      <c r="AT33" s="15"/>
      <c r="AU33" s="15"/>
    </row>
    <row r="34" ht="15.75" customHeight="1">
      <c r="A34" s="15" t="str">
        <f t="shared" si="1"/>
        <v/>
      </c>
      <c r="B34" s="15" t="str">
        <f t="shared" si="2"/>
        <v/>
      </c>
      <c r="C34" s="15"/>
      <c r="D34" s="16" t="s">
        <v>141</v>
      </c>
      <c r="E34" s="15"/>
      <c r="F34" s="12" t="s">
        <v>1223</v>
      </c>
      <c r="G34" s="11" t="s">
        <v>1224</v>
      </c>
      <c r="H34" s="12">
        <v>24817.0</v>
      </c>
      <c r="I34" s="13" t="s">
        <v>726</v>
      </c>
      <c r="J34" s="17" t="s">
        <v>392</v>
      </c>
      <c r="K34" s="18">
        <v>12.0</v>
      </c>
      <c r="L34" s="18">
        <v>18.0</v>
      </c>
      <c r="M34" s="18">
        <v>29.8</v>
      </c>
      <c r="N34" s="19">
        <v>1.5</v>
      </c>
      <c r="O34" s="20">
        <v>0.0</v>
      </c>
      <c r="P34" s="21">
        <v>0.0</v>
      </c>
      <c r="Q34" s="5">
        <v>0.0</v>
      </c>
      <c r="R34" s="35"/>
      <c r="S34" s="5">
        <v>37.37057944</v>
      </c>
      <c r="T34" s="5">
        <v>-81.7976467</v>
      </c>
      <c r="U34" s="1">
        <v>10.0</v>
      </c>
      <c r="V34" s="5" t="s">
        <v>342</v>
      </c>
      <c r="W34" s="5">
        <v>3.0</v>
      </c>
      <c r="X34" s="5" t="s">
        <v>732</v>
      </c>
      <c r="Y34" s="5" t="s">
        <v>733</v>
      </c>
      <c r="Z34" s="24" t="s">
        <v>732</v>
      </c>
      <c r="AA34" s="37"/>
      <c r="AB34" s="37"/>
      <c r="AC34" s="15"/>
      <c r="AD34" s="38"/>
      <c r="AE34" s="26">
        <v>2.4</v>
      </c>
      <c r="AF34" s="26" t="str">
        <f t="shared" si="3"/>
        <v/>
      </c>
      <c r="AG34" s="16" t="str">
        <f t="shared" si="4"/>
        <v>Verify</v>
      </c>
      <c r="AH34" s="15" t="str">
        <f t="shared" si="5"/>
        <v>Verify</v>
      </c>
      <c r="AI34" s="32">
        <v>2.7</v>
      </c>
      <c r="AJ34" s="16" t="s">
        <v>230</v>
      </c>
      <c r="AK34" s="15"/>
      <c r="AL34" s="15"/>
      <c r="AM34" s="15"/>
      <c r="AN34" s="9"/>
      <c r="AO34" s="9">
        <f t="shared" si="6"/>
        <v>2.3</v>
      </c>
      <c r="AP34" s="9" t="str">
        <f t="shared" si="7"/>
        <v/>
      </c>
      <c r="AQ34" s="9" t="str">
        <f t="shared" si="8"/>
        <v/>
      </c>
      <c r="AR34" s="9" t="str">
        <f t="shared" si="9"/>
        <v/>
      </c>
      <c r="AS34" s="16" t="s">
        <v>302</v>
      </c>
      <c r="AT34" s="15"/>
      <c r="AU34" s="15"/>
    </row>
    <row r="35" ht="15.75" customHeight="1">
      <c r="A35" s="15">
        <f t="shared" si="1"/>
        <v>37</v>
      </c>
      <c r="B35" s="15" t="str">
        <f t="shared" si="2"/>
        <v>Tier 2</v>
      </c>
      <c r="C35" s="15"/>
      <c r="D35" s="16" t="s">
        <v>141</v>
      </c>
      <c r="E35" s="15"/>
      <c r="F35" s="12" t="s">
        <v>1230</v>
      </c>
      <c r="G35" s="11" t="s">
        <v>1231</v>
      </c>
      <c r="H35" s="12" t="s">
        <v>748</v>
      </c>
      <c r="I35" s="13" t="s">
        <v>585</v>
      </c>
      <c r="J35" s="17" t="s">
        <v>715</v>
      </c>
      <c r="K35" s="18">
        <v>67.0</v>
      </c>
      <c r="L35" s="18">
        <v>103.0</v>
      </c>
      <c r="M35" s="18">
        <v>137.3</v>
      </c>
      <c r="N35" s="19">
        <v>1.5</v>
      </c>
      <c r="O35" s="20">
        <v>0.0</v>
      </c>
      <c r="P35" s="21">
        <v>0.0</v>
      </c>
      <c r="Q35" s="5">
        <v>0.0</v>
      </c>
      <c r="R35" s="22">
        <v>20738.0</v>
      </c>
      <c r="S35" s="5">
        <v>38.18095161</v>
      </c>
      <c r="T35" s="5">
        <v>-82.17914867</v>
      </c>
      <c r="U35" s="1">
        <v>2.0</v>
      </c>
      <c r="V35" s="5" t="s">
        <v>180</v>
      </c>
      <c r="W35" s="5">
        <v>0.0</v>
      </c>
      <c r="X35" s="5">
        <v>0.0</v>
      </c>
      <c r="Y35" s="5" t="s">
        <v>116</v>
      </c>
      <c r="Z35" s="24">
        <v>0.0</v>
      </c>
      <c r="AA35" s="25">
        <v>0.0</v>
      </c>
      <c r="AB35" s="25">
        <v>0.0</v>
      </c>
      <c r="AC35" s="16" t="s">
        <v>1235</v>
      </c>
      <c r="AD35" s="26">
        <v>6.28</v>
      </c>
      <c r="AE35" s="26">
        <v>2.2</v>
      </c>
      <c r="AF35" s="26">
        <f t="shared" si="3"/>
        <v>4.08</v>
      </c>
      <c r="AG35" s="16" t="str">
        <f t="shared" si="4"/>
        <v>No</v>
      </c>
      <c r="AH35" s="15" t="str">
        <f t="shared" si="5"/>
        <v>Yes</v>
      </c>
      <c r="AI35" s="32">
        <v>6.3</v>
      </c>
      <c r="AJ35" s="16" t="s">
        <v>230</v>
      </c>
      <c r="AK35" s="15"/>
      <c r="AL35" s="15"/>
      <c r="AM35" s="15"/>
      <c r="AN35" s="9"/>
      <c r="AO35" s="9">
        <f t="shared" si="6"/>
        <v>12.9</v>
      </c>
      <c r="AP35" s="9">
        <f t="shared" si="7"/>
        <v>58.8</v>
      </c>
      <c r="AQ35" s="9">
        <f t="shared" si="8"/>
        <v>13.6</v>
      </c>
      <c r="AR35" s="9">
        <f t="shared" si="9"/>
        <v>33.5</v>
      </c>
      <c r="AS35" s="16" t="s">
        <v>302</v>
      </c>
      <c r="AT35" s="15"/>
      <c r="AU35" s="15"/>
    </row>
    <row r="36" ht="15.75" customHeight="1">
      <c r="A36" s="15" t="str">
        <f t="shared" si="1"/>
        <v/>
      </c>
      <c r="B36" s="15" t="str">
        <f t="shared" si="2"/>
        <v/>
      </c>
      <c r="C36" s="15"/>
      <c r="D36" s="16" t="s">
        <v>141</v>
      </c>
      <c r="E36" s="15"/>
      <c r="F36" s="12" t="s">
        <v>1237</v>
      </c>
      <c r="G36" s="11" t="s">
        <v>1238</v>
      </c>
      <c r="H36" s="12">
        <v>25506.0</v>
      </c>
      <c r="I36" s="13" t="s">
        <v>585</v>
      </c>
      <c r="J36" s="17" t="s">
        <v>715</v>
      </c>
      <c r="K36" s="18">
        <v>67.0</v>
      </c>
      <c r="L36" s="18">
        <v>103.0</v>
      </c>
      <c r="M36" s="18">
        <v>137.3</v>
      </c>
      <c r="N36" s="19">
        <v>0.74</v>
      </c>
      <c r="O36" s="20">
        <v>0.0</v>
      </c>
      <c r="P36" s="21">
        <v>0.0</v>
      </c>
      <c r="Q36" s="5">
        <v>0.0</v>
      </c>
      <c r="R36" s="22">
        <v>20738.0</v>
      </c>
      <c r="S36" s="5">
        <v>38.2739595</v>
      </c>
      <c r="T36" s="5">
        <v>-82.19958017</v>
      </c>
      <c r="U36" s="1">
        <v>2.0</v>
      </c>
      <c r="V36" s="5" t="s">
        <v>180</v>
      </c>
      <c r="W36" s="5">
        <v>0.0</v>
      </c>
      <c r="X36" s="5">
        <v>0.0</v>
      </c>
      <c r="Y36" s="5" t="s">
        <v>116</v>
      </c>
      <c r="Z36" s="24">
        <v>0.0</v>
      </c>
      <c r="AA36" s="37"/>
      <c r="AB36" s="37"/>
      <c r="AC36" s="15"/>
      <c r="AD36" s="38"/>
      <c r="AE36" s="26">
        <v>4.5</v>
      </c>
      <c r="AF36" s="26" t="str">
        <f t="shared" si="3"/>
        <v/>
      </c>
      <c r="AG36" s="16" t="str">
        <f t="shared" si="4"/>
        <v>Verify</v>
      </c>
      <c r="AH36" s="15" t="str">
        <f t="shared" si="5"/>
        <v>Verify</v>
      </c>
      <c r="AI36" s="32">
        <v>0.2</v>
      </c>
      <c r="AJ36" s="16" t="s">
        <v>230</v>
      </c>
      <c r="AK36" s="15"/>
      <c r="AL36" s="15"/>
      <c r="AM36" s="15"/>
      <c r="AN36" s="9"/>
      <c r="AO36" s="9">
        <f t="shared" si="6"/>
        <v>12.9</v>
      </c>
      <c r="AP36" s="9" t="str">
        <f t="shared" si="7"/>
        <v/>
      </c>
      <c r="AQ36" s="9">
        <f t="shared" si="8"/>
        <v>13.6</v>
      </c>
      <c r="AR36" s="9" t="str">
        <f t="shared" si="9"/>
        <v/>
      </c>
      <c r="AS36" s="16" t="s">
        <v>302</v>
      </c>
      <c r="AT36" s="15"/>
      <c r="AU36" s="15"/>
    </row>
    <row r="37" ht="15.75" customHeight="1">
      <c r="A37" s="15" t="str">
        <f t="shared" si="1"/>
        <v/>
      </c>
      <c r="B37" s="15" t="str">
        <f t="shared" si="2"/>
        <v/>
      </c>
      <c r="C37" s="15"/>
      <c r="D37" s="16" t="s">
        <v>141</v>
      </c>
      <c r="E37" s="15"/>
      <c r="F37" s="12" t="s">
        <v>1242</v>
      </c>
      <c r="G37" s="11" t="s">
        <v>1243</v>
      </c>
      <c r="H37" s="12" t="s">
        <v>783</v>
      </c>
      <c r="I37" s="13" t="s">
        <v>101</v>
      </c>
      <c r="J37" s="17" t="s">
        <v>169</v>
      </c>
      <c r="K37" s="18">
        <v>107.0</v>
      </c>
      <c r="L37" s="18">
        <v>161.0</v>
      </c>
      <c r="M37" s="18">
        <v>170.3</v>
      </c>
      <c r="N37" s="19">
        <v>0.76</v>
      </c>
      <c r="O37" s="20">
        <v>52.0</v>
      </c>
      <c r="P37" s="21">
        <v>0.0</v>
      </c>
      <c r="Q37" s="5">
        <v>0.0</v>
      </c>
      <c r="R37" s="35"/>
      <c r="S37" s="5">
        <v>39.28142729</v>
      </c>
      <c r="T37" s="5">
        <v>-80.25617404</v>
      </c>
      <c r="U37" s="1">
        <v>4.0</v>
      </c>
      <c r="V37" s="5" t="s">
        <v>540</v>
      </c>
      <c r="W37" s="5">
        <v>1.0</v>
      </c>
      <c r="X37" s="5">
        <v>0.0</v>
      </c>
      <c r="Y37" s="5" t="s">
        <v>116</v>
      </c>
      <c r="Z37" s="24">
        <v>0.0</v>
      </c>
      <c r="AA37" s="25">
        <v>4.0</v>
      </c>
      <c r="AB37" s="25">
        <v>5.0</v>
      </c>
      <c r="AC37" s="16" t="s">
        <v>1247</v>
      </c>
      <c r="AD37" s="26">
        <v>0.82</v>
      </c>
      <c r="AE37" s="26">
        <v>1.9</v>
      </c>
      <c r="AF37" s="26">
        <f t="shared" si="3"/>
        <v>0</v>
      </c>
      <c r="AG37" s="16" t="str">
        <f t="shared" si="4"/>
        <v>No</v>
      </c>
      <c r="AH37" s="15" t="str">
        <f t="shared" si="5"/>
        <v>No</v>
      </c>
      <c r="AI37" s="32">
        <v>0.9</v>
      </c>
      <c r="AJ37" s="16" t="s">
        <v>230</v>
      </c>
      <c r="AK37" s="15"/>
      <c r="AL37" s="15"/>
      <c r="AM37" s="15"/>
      <c r="AN37" s="9"/>
      <c r="AO37" s="9">
        <f t="shared" si="6"/>
        <v>20.6</v>
      </c>
      <c r="AP37" s="9">
        <f t="shared" si="7"/>
        <v>15</v>
      </c>
      <c r="AQ37" s="9" t="str">
        <f t="shared" si="8"/>
        <v/>
      </c>
      <c r="AR37" s="9" t="str">
        <f t="shared" si="9"/>
        <v/>
      </c>
      <c r="AS37" s="16" t="s">
        <v>302</v>
      </c>
      <c r="AT37" s="15"/>
      <c r="AU37" s="15"/>
    </row>
    <row r="38" ht="15.75" customHeight="1">
      <c r="A38" s="15">
        <f t="shared" si="1"/>
        <v>26</v>
      </c>
      <c r="B38" s="15" t="str">
        <f t="shared" si="2"/>
        <v>Tier 2</v>
      </c>
      <c r="C38" s="15"/>
      <c r="D38" s="16" t="s">
        <v>141</v>
      </c>
      <c r="E38" s="15"/>
      <c r="F38" s="12" t="s">
        <v>1249</v>
      </c>
      <c r="G38" s="11" t="s">
        <v>1251</v>
      </c>
      <c r="H38" s="12">
        <v>26201.0</v>
      </c>
      <c r="I38" s="13" t="s">
        <v>252</v>
      </c>
      <c r="J38" s="17" t="s">
        <v>663</v>
      </c>
      <c r="K38" s="18">
        <v>307.0</v>
      </c>
      <c r="L38" s="18">
        <v>475.0</v>
      </c>
      <c r="M38" s="18">
        <v>494.8</v>
      </c>
      <c r="N38" s="19">
        <v>3.83</v>
      </c>
      <c r="O38" s="20">
        <v>0.0</v>
      </c>
      <c r="P38" s="21">
        <v>0.0</v>
      </c>
      <c r="Q38" s="5">
        <v>0.0</v>
      </c>
      <c r="R38" s="22">
        <v>19167.0</v>
      </c>
      <c r="S38" s="5">
        <v>38.97922939</v>
      </c>
      <c r="T38" s="5">
        <v>-80.22474382</v>
      </c>
      <c r="U38" s="1">
        <v>7.0</v>
      </c>
      <c r="V38" s="5" t="s">
        <v>1254</v>
      </c>
      <c r="W38" s="5">
        <v>2.0</v>
      </c>
      <c r="X38" s="5">
        <v>1.0</v>
      </c>
      <c r="Y38" s="5" t="s">
        <v>471</v>
      </c>
      <c r="Z38" s="24">
        <v>1.0</v>
      </c>
      <c r="AA38" s="25">
        <v>1.0</v>
      </c>
      <c r="AB38" s="25">
        <v>3.0</v>
      </c>
      <c r="AC38" s="16" t="s">
        <v>1256</v>
      </c>
      <c r="AD38" s="26">
        <v>0.04</v>
      </c>
      <c r="AE38" s="26">
        <v>2.1</v>
      </c>
      <c r="AF38" s="26">
        <f t="shared" si="3"/>
        <v>0</v>
      </c>
      <c r="AG38" s="16" t="str">
        <f t="shared" si="4"/>
        <v>No</v>
      </c>
      <c r="AH38" s="15" t="str">
        <f t="shared" si="5"/>
        <v>No</v>
      </c>
      <c r="AI38" s="32">
        <v>0.0</v>
      </c>
      <c r="AJ38" s="16" t="s">
        <v>230</v>
      </c>
      <c r="AK38" s="15"/>
      <c r="AL38" s="15"/>
      <c r="AM38" s="15"/>
      <c r="AN38" s="9"/>
      <c r="AO38" s="9">
        <f t="shared" si="6"/>
        <v>59.2</v>
      </c>
      <c r="AP38" s="9">
        <f t="shared" si="7"/>
        <v>30.6</v>
      </c>
      <c r="AQ38" s="9">
        <f t="shared" si="8"/>
        <v>13.9</v>
      </c>
      <c r="AR38" s="9">
        <f t="shared" si="9"/>
        <v>36.4</v>
      </c>
      <c r="AS38" s="16" t="s">
        <v>302</v>
      </c>
      <c r="AT38" s="15"/>
      <c r="AU38" s="15"/>
    </row>
    <row r="39" ht="15.75" customHeight="1">
      <c r="A39" s="15" t="str">
        <f t="shared" si="1"/>
        <v/>
      </c>
      <c r="B39" s="15" t="str">
        <f t="shared" si="2"/>
        <v/>
      </c>
      <c r="C39" s="15"/>
      <c r="D39" s="16" t="s">
        <v>141</v>
      </c>
      <c r="E39" s="15"/>
      <c r="F39" s="12" t="s">
        <v>1275</v>
      </c>
      <c r="G39" s="11" t="s">
        <v>1276</v>
      </c>
      <c r="H39" s="12" t="s">
        <v>796</v>
      </c>
      <c r="I39" s="13" t="s">
        <v>218</v>
      </c>
      <c r="J39" s="17" t="s">
        <v>715</v>
      </c>
      <c r="K39" s="18">
        <v>14.0</v>
      </c>
      <c r="L39" s="18">
        <v>26.0</v>
      </c>
      <c r="M39" s="18">
        <v>19.5</v>
      </c>
      <c r="N39" s="19">
        <v>3.83</v>
      </c>
      <c r="O39" s="20">
        <v>120.0</v>
      </c>
      <c r="P39" s="21">
        <v>636.0</v>
      </c>
      <c r="Q39" s="5">
        <v>0.0</v>
      </c>
      <c r="R39" s="22">
        <v>30925.0</v>
      </c>
      <c r="S39" s="5">
        <v>38.58890294</v>
      </c>
      <c r="T39" s="5">
        <v>-81.99629028</v>
      </c>
      <c r="U39" s="1">
        <v>2.0</v>
      </c>
      <c r="V39" s="5" t="s">
        <v>180</v>
      </c>
      <c r="W39" s="5">
        <v>0.0</v>
      </c>
      <c r="X39" s="5">
        <v>0.0</v>
      </c>
      <c r="Y39" s="5" t="s">
        <v>116</v>
      </c>
      <c r="Z39" s="24">
        <v>0.0</v>
      </c>
      <c r="AA39" s="37"/>
      <c r="AB39" s="37"/>
      <c r="AC39" s="15"/>
      <c r="AD39" s="38"/>
      <c r="AE39" s="26">
        <v>4.2</v>
      </c>
      <c r="AF39" s="26" t="str">
        <f t="shared" si="3"/>
        <v/>
      </c>
      <c r="AG39" s="16" t="str">
        <f t="shared" si="4"/>
        <v>Verify</v>
      </c>
      <c r="AH39" s="15" t="str">
        <f t="shared" si="5"/>
        <v>Verify</v>
      </c>
      <c r="AI39" s="32">
        <v>2.0</v>
      </c>
      <c r="AJ39" s="16" t="s">
        <v>230</v>
      </c>
      <c r="AK39" s="15"/>
      <c r="AL39" s="15"/>
      <c r="AM39" s="15"/>
      <c r="AN39" s="9"/>
      <c r="AO39" s="9">
        <f t="shared" si="6"/>
        <v>2.7</v>
      </c>
      <c r="AP39" s="9" t="str">
        <f t="shared" si="7"/>
        <v/>
      </c>
      <c r="AQ39" s="9">
        <f t="shared" si="8"/>
        <v>34</v>
      </c>
      <c r="AR39" s="9" t="str">
        <f t="shared" si="9"/>
        <v/>
      </c>
      <c r="AS39" s="16" t="s">
        <v>302</v>
      </c>
      <c r="AT39" s="15"/>
      <c r="AU39" s="15"/>
    </row>
    <row r="40" ht="15.75" customHeight="1">
      <c r="A40" s="15">
        <f t="shared" si="1"/>
        <v>10</v>
      </c>
      <c r="B40" s="15" t="str">
        <f t="shared" si="2"/>
        <v>Tier 1</v>
      </c>
      <c r="C40" s="15"/>
      <c r="D40" s="16" t="s">
        <v>141</v>
      </c>
      <c r="E40" s="15"/>
      <c r="F40" s="12" t="s">
        <v>1283</v>
      </c>
      <c r="G40" s="11" t="s">
        <v>1284</v>
      </c>
      <c r="H40" s="12">
        <v>25413.0</v>
      </c>
      <c r="I40" s="13" t="s">
        <v>28</v>
      </c>
      <c r="J40" s="17" t="s">
        <v>576</v>
      </c>
      <c r="K40" s="18">
        <v>91.0</v>
      </c>
      <c r="L40" s="18">
        <v>136.0</v>
      </c>
      <c r="M40" s="18">
        <v>206.5</v>
      </c>
      <c r="N40" s="19">
        <v>1.22</v>
      </c>
      <c r="O40" s="20">
        <v>0.0</v>
      </c>
      <c r="P40" s="21">
        <v>92.0</v>
      </c>
      <c r="Q40" s="5">
        <v>0.0</v>
      </c>
      <c r="R40" s="22">
        <v>39886.0</v>
      </c>
      <c r="S40" s="5">
        <v>39.30629463</v>
      </c>
      <c r="T40" s="5">
        <v>-78.0708272</v>
      </c>
      <c r="U40" s="1">
        <v>1.0</v>
      </c>
      <c r="V40" s="5" t="s">
        <v>180</v>
      </c>
      <c r="W40" s="5">
        <v>0.0</v>
      </c>
      <c r="X40" s="5">
        <v>0.0</v>
      </c>
      <c r="Y40" s="5" t="s">
        <v>116</v>
      </c>
      <c r="Z40" s="24">
        <v>0.0</v>
      </c>
      <c r="AA40" s="25">
        <v>0.0</v>
      </c>
      <c r="AB40" s="25">
        <v>0.0</v>
      </c>
      <c r="AC40" s="16" t="s">
        <v>1288</v>
      </c>
      <c r="AD40" s="26">
        <v>11.16</v>
      </c>
      <c r="AE40" s="26">
        <v>0.8</v>
      </c>
      <c r="AF40" s="26">
        <f t="shared" si="3"/>
        <v>10.36</v>
      </c>
      <c r="AG40" s="16" t="str">
        <f t="shared" si="4"/>
        <v>Yes</v>
      </c>
      <c r="AH40" s="15" t="str">
        <f t="shared" si="5"/>
        <v>Yes</v>
      </c>
      <c r="AI40" s="32">
        <v>3.8</v>
      </c>
      <c r="AJ40" s="16" t="s">
        <v>230</v>
      </c>
      <c r="AK40" s="15"/>
      <c r="AL40" s="15"/>
      <c r="AM40" s="15"/>
      <c r="AN40" s="9"/>
      <c r="AO40" s="9">
        <f t="shared" si="6"/>
        <v>17.5</v>
      </c>
      <c r="AP40" s="9">
        <f t="shared" si="7"/>
        <v>73.5</v>
      </c>
      <c r="AQ40" s="9">
        <f t="shared" si="8"/>
        <v>13.9</v>
      </c>
      <c r="AR40" s="9">
        <f t="shared" si="9"/>
        <v>41.6</v>
      </c>
      <c r="AS40" s="16" t="s">
        <v>230</v>
      </c>
      <c r="AT40" s="15"/>
      <c r="AU40" s="15"/>
    </row>
    <row r="41" ht="15.75" customHeight="1">
      <c r="A41" s="15" t="str">
        <f t="shared" si="1"/>
        <v/>
      </c>
      <c r="B41" s="15" t="str">
        <f t="shared" si="2"/>
        <v/>
      </c>
      <c r="C41" s="15"/>
      <c r="D41" s="16" t="s">
        <v>141</v>
      </c>
      <c r="E41" s="15"/>
      <c r="F41" s="12" t="s">
        <v>1290</v>
      </c>
      <c r="G41" s="11" t="s">
        <v>1291</v>
      </c>
      <c r="H41" s="12" t="s">
        <v>813</v>
      </c>
      <c r="I41" s="13" t="s">
        <v>181</v>
      </c>
      <c r="J41" s="17" t="s">
        <v>576</v>
      </c>
      <c r="K41" s="18">
        <v>33.0</v>
      </c>
      <c r="L41" s="18">
        <v>51.0</v>
      </c>
      <c r="M41" s="18">
        <v>21.3</v>
      </c>
      <c r="N41" s="19">
        <v>1.23</v>
      </c>
      <c r="O41" s="20">
        <v>1723.0</v>
      </c>
      <c r="P41" s="21">
        <v>0.0</v>
      </c>
      <c r="Q41" s="5">
        <v>293.5</v>
      </c>
      <c r="R41" s="22">
        <v>41259.0</v>
      </c>
      <c r="S41" s="5">
        <v>39.33813913</v>
      </c>
      <c r="T41" s="5">
        <v>-78.91477853</v>
      </c>
      <c r="U41" s="1">
        <v>6.0</v>
      </c>
      <c r="V41" s="5" t="s">
        <v>540</v>
      </c>
      <c r="W41" s="5">
        <v>1.0</v>
      </c>
      <c r="X41" s="5">
        <v>1.0</v>
      </c>
      <c r="Y41" s="5" t="s">
        <v>471</v>
      </c>
      <c r="Z41" s="24">
        <v>1.0</v>
      </c>
      <c r="AA41" s="37"/>
      <c r="AB41" s="37"/>
      <c r="AC41" s="15"/>
      <c r="AD41" s="38"/>
      <c r="AE41" s="26">
        <v>3.8</v>
      </c>
      <c r="AF41" s="26" t="str">
        <f t="shared" si="3"/>
        <v/>
      </c>
      <c r="AG41" s="16" t="str">
        <f t="shared" si="4"/>
        <v>Verify</v>
      </c>
      <c r="AH41" s="15" t="str">
        <f t="shared" si="5"/>
        <v>Verify</v>
      </c>
      <c r="AI41" s="32">
        <v>6.5</v>
      </c>
      <c r="AJ41" s="16" t="s">
        <v>230</v>
      </c>
      <c r="AK41" s="15"/>
      <c r="AL41" s="15"/>
      <c r="AM41" s="15"/>
      <c r="AN41" s="9"/>
      <c r="AO41" s="9">
        <f t="shared" si="6"/>
        <v>6.4</v>
      </c>
      <c r="AP41" s="9" t="str">
        <f t="shared" si="7"/>
        <v/>
      </c>
      <c r="AQ41" s="9">
        <f t="shared" si="8"/>
        <v>75.8</v>
      </c>
      <c r="AR41" s="9" t="str">
        <f t="shared" si="9"/>
        <v/>
      </c>
      <c r="AS41" s="16" t="s">
        <v>302</v>
      </c>
      <c r="AT41" s="15"/>
      <c r="AU41" s="15"/>
    </row>
    <row r="42" ht="15.75" customHeight="1">
      <c r="A42" s="15" t="str">
        <f t="shared" si="1"/>
        <v/>
      </c>
      <c r="B42" s="15" t="str">
        <f t="shared" si="2"/>
        <v/>
      </c>
      <c r="C42" s="15"/>
      <c r="D42" s="16" t="s">
        <v>141</v>
      </c>
      <c r="E42" s="15"/>
      <c r="F42" s="12" t="s">
        <v>1295</v>
      </c>
      <c r="G42" s="11" t="s">
        <v>1296</v>
      </c>
      <c r="H42" s="12">
        <v>26335.0</v>
      </c>
      <c r="I42" s="13" t="s">
        <v>48</v>
      </c>
      <c r="J42" s="17" t="s">
        <v>331</v>
      </c>
      <c r="K42" s="18">
        <v>29.0</v>
      </c>
      <c r="L42" s="18">
        <v>35.0</v>
      </c>
      <c r="M42" s="18">
        <v>0.0</v>
      </c>
      <c r="N42" s="19">
        <v>0.84</v>
      </c>
      <c r="O42" s="40"/>
      <c r="P42" s="21">
        <v>35.0</v>
      </c>
      <c r="Q42" s="41"/>
      <c r="R42" s="35"/>
      <c r="S42" s="5">
        <v>38.8565159</v>
      </c>
      <c r="T42" s="5">
        <v>-80.65693054</v>
      </c>
      <c r="U42" s="1">
        <v>10.0</v>
      </c>
      <c r="V42" s="5" t="s">
        <v>342</v>
      </c>
      <c r="W42" s="5">
        <v>3.0</v>
      </c>
      <c r="X42" s="5">
        <v>0.0</v>
      </c>
      <c r="Y42" s="5" t="s">
        <v>116</v>
      </c>
      <c r="Z42" s="24">
        <v>0.0</v>
      </c>
      <c r="AA42" s="25">
        <v>0.0</v>
      </c>
      <c r="AB42" s="25">
        <v>0.0</v>
      </c>
      <c r="AC42" s="16" t="s">
        <v>1300</v>
      </c>
      <c r="AD42" s="26">
        <v>9.66</v>
      </c>
      <c r="AE42" s="26">
        <v>1.7</v>
      </c>
      <c r="AF42" s="26">
        <f t="shared" si="3"/>
        <v>7.96</v>
      </c>
      <c r="AG42" s="16" t="str">
        <f t="shared" si="4"/>
        <v>No</v>
      </c>
      <c r="AH42" s="15" t="str">
        <f t="shared" si="5"/>
        <v>Yes</v>
      </c>
      <c r="AI42" s="32">
        <v>10.3</v>
      </c>
      <c r="AJ42" s="16" t="s">
        <v>230</v>
      </c>
      <c r="AK42" s="15"/>
      <c r="AL42" s="15"/>
      <c r="AM42" s="15"/>
      <c r="AN42" s="9"/>
      <c r="AO42" s="9">
        <f t="shared" si="6"/>
        <v>5.6</v>
      </c>
      <c r="AP42" s="9">
        <f t="shared" si="7"/>
        <v>69</v>
      </c>
      <c r="AQ42" s="9" t="str">
        <f t="shared" si="8"/>
        <v/>
      </c>
      <c r="AR42" s="9" t="str">
        <f t="shared" si="9"/>
        <v/>
      </c>
      <c r="AS42" s="16" t="s">
        <v>302</v>
      </c>
      <c r="AT42" s="15"/>
      <c r="AU42" s="15"/>
    </row>
    <row r="43" ht="15.75" customHeight="1">
      <c r="A43" s="15">
        <f t="shared" si="1"/>
        <v>3</v>
      </c>
      <c r="B43" s="15" t="str">
        <f t="shared" si="2"/>
        <v>Tier 1</v>
      </c>
      <c r="C43" s="15"/>
      <c r="D43" s="16" t="s">
        <v>141</v>
      </c>
      <c r="E43" s="15"/>
      <c r="F43" s="12" t="s">
        <v>1305</v>
      </c>
      <c r="G43" s="11" t="s">
        <v>1306</v>
      </c>
      <c r="H43" s="12" t="s">
        <v>835</v>
      </c>
      <c r="I43" s="13" t="s">
        <v>263</v>
      </c>
      <c r="J43" s="17" t="s">
        <v>1133</v>
      </c>
      <c r="K43" s="18">
        <v>6.0</v>
      </c>
      <c r="L43" s="18">
        <v>7.0</v>
      </c>
      <c r="M43" s="18">
        <v>20.0</v>
      </c>
      <c r="N43" s="19">
        <v>0.76</v>
      </c>
      <c r="O43" s="20">
        <v>63.0</v>
      </c>
      <c r="P43" s="21">
        <v>122.0</v>
      </c>
      <c r="Q43" s="5">
        <v>31.3</v>
      </c>
      <c r="R43" s="22">
        <v>38633.0</v>
      </c>
      <c r="S43" s="5">
        <v>39.67172109</v>
      </c>
      <c r="T43" s="5">
        <v>-80.44550585</v>
      </c>
      <c r="U43" s="1">
        <v>2.0</v>
      </c>
      <c r="V43" s="5" t="s">
        <v>180</v>
      </c>
      <c r="W43" s="5">
        <v>0.0</v>
      </c>
      <c r="X43" s="5">
        <v>0.0</v>
      </c>
      <c r="Y43" s="5" t="s">
        <v>116</v>
      </c>
      <c r="Z43" s="24">
        <v>0.0</v>
      </c>
      <c r="AA43" s="25">
        <v>0.0</v>
      </c>
      <c r="AB43" s="25">
        <v>0.0</v>
      </c>
      <c r="AC43" s="16" t="s">
        <v>1307</v>
      </c>
      <c r="AD43" s="26">
        <v>20.25</v>
      </c>
      <c r="AE43" s="26">
        <v>2.0</v>
      </c>
      <c r="AF43" s="26">
        <f t="shared" si="3"/>
        <v>18.25</v>
      </c>
      <c r="AG43" s="16" t="str">
        <f t="shared" si="4"/>
        <v>Yes</v>
      </c>
      <c r="AH43" s="15" t="str">
        <f t="shared" si="5"/>
        <v>Yes</v>
      </c>
      <c r="AI43" s="32">
        <v>12.5</v>
      </c>
      <c r="AJ43" s="16" t="s">
        <v>230</v>
      </c>
      <c r="AK43" s="15"/>
      <c r="AL43" s="15"/>
      <c r="AM43" s="15"/>
      <c r="AN43" s="9"/>
      <c r="AO43" s="9">
        <f t="shared" si="6"/>
        <v>1.2</v>
      </c>
      <c r="AP43" s="9">
        <f t="shared" si="7"/>
        <v>100</v>
      </c>
      <c r="AQ43" s="9">
        <f t="shared" si="8"/>
        <v>20.2</v>
      </c>
      <c r="AR43" s="9">
        <f t="shared" si="9"/>
        <v>49.3</v>
      </c>
      <c r="AS43" s="16" t="s">
        <v>230</v>
      </c>
      <c r="AT43" s="15"/>
      <c r="AU43" s="15"/>
    </row>
    <row r="44" ht="15.75" customHeight="1">
      <c r="A44" s="15" t="str">
        <f t="shared" si="1"/>
        <v/>
      </c>
      <c r="B44" s="15" t="str">
        <f t="shared" si="2"/>
        <v/>
      </c>
      <c r="C44" s="15"/>
      <c r="D44" s="16" t="s">
        <v>141</v>
      </c>
      <c r="E44" s="15"/>
      <c r="F44" s="12" t="s">
        <v>1310</v>
      </c>
      <c r="G44" s="11" t="s">
        <v>1311</v>
      </c>
      <c r="H44" s="12" t="s">
        <v>852</v>
      </c>
      <c r="I44" s="13" t="s">
        <v>82</v>
      </c>
      <c r="J44" s="17" t="s">
        <v>331</v>
      </c>
      <c r="K44" s="18">
        <v>9.0</v>
      </c>
      <c r="L44" s="18">
        <v>15.0</v>
      </c>
      <c r="M44" s="18">
        <v>37.0</v>
      </c>
      <c r="N44" s="19">
        <v>1.7</v>
      </c>
      <c r="O44" s="20">
        <v>56.0</v>
      </c>
      <c r="P44" s="21">
        <v>0.0</v>
      </c>
      <c r="Q44" s="5">
        <v>0.0</v>
      </c>
      <c r="R44" s="22">
        <v>37125.0</v>
      </c>
      <c r="S44" s="5">
        <v>37.77281033</v>
      </c>
      <c r="T44" s="5">
        <v>-80.35090918</v>
      </c>
      <c r="U44" s="1">
        <v>8.0</v>
      </c>
      <c r="V44" s="5" t="s">
        <v>1254</v>
      </c>
      <c r="W44" s="5">
        <v>2.0</v>
      </c>
      <c r="X44" s="5">
        <v>0.0</v>
      </c>
      <c r="Y44" s="5" t="s">
        <v>116</v>
      </c>
      <c r="Z44" s="24">
        <v>0.0</v>
      </c>
      <c r="AA44" s="37"/>
      <c r="AB44" s="37"/>
      <c r="AC44" s="15"/>
      <c r="AD44" s="38"/>
      <c r="AE44" s="26">
        <v>3.3</v>
      </c>
      <c r="AF44" s="26" t="str">
        <f t="shared" si="3"/>
        <v/>
      </c>
      <c r="AG44" s="16" t="str">
        <f t="shared" si="4"/>
        <v>Verify</v>
      </c>
      <c r="AH44" s="15" t="str">
        <f t="shared" si="5"/>
        <v>Verify</v>
      </c>
      <c r="AI44" s="32">
        <v>4.2</v>
      </c>
      <c r="AJ44" s="16" t="s">
        <v>230</v>
      </c>
      <c r="AK44" s="15"/>
      <c r="AL44" s="15"/>
      <c r="AM44" s="15"/>
      <c r="AN44" s="9"/>
      <c r="AO44" s="9">
        <f t="shared" si="6"/>
        <v>1.7</v>
      </c>
      <c r="AP44" s="9" t="str">
        <f t="shared" si="7"/>
        <v/>
      </c>
      <c r="AQ44" s="9">
        <f t="shared" si="8"/>
        <v>12.2</v>
      </c>
      <c r="AR44" s="9" t="str">
        <f t="shared" si="9"/>
        <v/>
      </c>
      <c r="AS44" s="16" t="s">
        <v>302</v>
      </c>
      <c r="AT44" s="15"/>
      <c r="AU44" s="15"/>
    </row>
    <row r="45" ht="15.75" customHeight="1">
      <c r="A45" s="15">
        <f t="shared" si="1"/>
        <v>20</v>
      </c>
      <c r="B45" s="15" t="str">
        <f t="shared" si="2"/>
        <v>Tier 1</v>
      </c>
      <c r="C45" s="15"/>
      <c r="D45" s="16" t="s">
        <v>141</v>
      </c>
      <c r="E45" s="15"/>
      <c r="F45" s="12" t="s">
        <v>1317</v>
      </c>
      <c r="G45" s="11" t="s">
        <v>1319</v>
      </c>
      <c r="H45" s="12">
        <v>26033.0</v>
      </c>
      <c r="I45" s="13" t="s">
        <v>164</v>
      </c>
      <c r="J45" s="17" t="s">
        <v>1133</v>
      </c>
      <c r="K45" s="18">
        <v>26.0</v>
      </c>
      <c r="L45" s="18">
        <v>45.0</v>
      </c>
      <c r="M45" s="18">
        <v>2.5</v>
      </c>
      <c r="N45" s="19">
        <v>1.03</v>
      </c>
      <c r="O45" s="20">
        <v>186.0</v>
      </c>
      <c r="P45" s="21">
        <v>0.0</v>
      </c>
      <c r="Q45" s="5">
        <v>18.6</v>
      </c>
      <c r="R45" s="22">
        <v>41181.0</v>
      </c>
      <c r="S45" s="5">
        <v>39.82685014</v>
      </c>
      <c r="T45" s="5">
        <v>-80.56546509</v>
      </c>
      <c r="U45" s="1">
        <v>2.0</v>
      </c>
      <c r="V45" s="5" t="s">
        <v>180</v>
      </c>
      <c r="W45" s="5">
        <v>0.0</v>
      </c>
      <c r="X45" s="5">
        <v>0.0</v>
      </c>
      <c r="Y45" s="5" t="s">
        <v>116</v>
      </c>
      <c r="Z45" s="24">
        <v>0.0</v>
      </c>
      <c r="AA45" s="25">
        <v>0.0</v>
      </c>
      <c r="AB45" s="25">
        <v>0.0</v>
      </c>
      <c r="AC45" s="16" t="s">
        <v>1324</v>
      </c>
      <c r="AD45" s="26">
        <v>11.31</v>
      </c>
      <c r="AE45" s="26">
        <v>0.7</v>
      </c>
      <c r="AF45" s="26">
        <f t="shared" si="3"/>
        <v>10.61</v>
      </c>
      <c r="AG45" s="16" t="str">
        <f t="shared" si="4"/>
        <v>Yes</v>
      </c>
      <c r="AH45" s="15" t="str">
        <f t="shared" si="5"/>
        <v>Yes</v>
      </c>
      <c r="AI45" s="32">
        <v>11.2</v>
      </c>
      <c r="AJ45" s="16" t="s">
        <v>230</v>
      </c>
      <c r="AK45" s="15"/>
      <c r="AL45" s="15"/>
      <c r="AM45" s="15"/>
      <c r="AN45" s="9"/>
      <c r="AO45" s="9">
        <f t="shared" si="6"/>
        <v>5</v>
      </c>
      <c r="AP45" s="9">
        <f t="shared" si="7"/>
        <v>73.9</v>
      </c>
      <c r="AQ45" s="9">
        <f t="shared" si="8"/>
        <v>16.1</v>
      </c>
      <c r="AR45" s="9">
        <f t="shared" si="9"/>
        <v>38.1</v>
      </c>
      <c r="AS45" s="16" t="s">
        <v>230</v>
      </c>
      <c r="AT45" s="15"/>
      <c r="AU45" s="15"/>
    </row>
    <row r="46" ht="15.75" customHeight="1">
      <c r="A46" s="15" t="str">
        <f t="shared" si="1"/>
        <v/>
      </c>
      <c r="B46" s="15" t="str">
        <f t="shared" si="2"/>
        <v/>
      </c>
      <c r="C46" s="15"/>
      <c r="D46" s="16" t="s">
        <v>141</v>
      </c>
      <c r="E46" s="15"/>
      <c r="F46" s="12" t="s">
        <v>1330</v>
      </c>
      <c r="G46" s="11" t="s">
        <v>1331</v>
      </c>
      <c r="H46" s="12" t="s">
        <v>874</v>
      </c>
      <c r="I46" s="13" t="s">
        <v>273</v>
      </c>
      <c r="J46" s="17" t="s">
        <v>576</v>
      </c>
      <c r="K46" s="18">
        <v>23.0</v>
      </c>
      <c r="L46" s="18">
        <v>34.0</v>
      </c>
      <c r="M46" s="18">
        <v>50.9</v>
      </c>
      <c r="N46" s="19">
        <v>0.84</v>
      </c>
      <c r="O46" s="20">
        <v>959.0</v>
      </c>
      <c r="P46" s="21">
        <v>0.0</v>
      </c>
      <c r="Q46" s="5">
        <v>40.3</v>
      </c>
      <c r="R46" s="22">
        <v>41122.0</v>
      </c>
      <c r="S46" s="5">
        <v>39.30223215</v>
      </c>
      <c r="T46" s="5">
        <v>-78.44259919</v>
      </c>
      <c r="U46" s="1">
        <v>2.0</v>
      </c>
      <c r="V46" s="5" t="s">
        <v>180</v>
      </c>
      <c r="W46" s="5">
        <v>0.0</v>
      </c>
      <c r="X46" s="5">
        <v>0.0</v>
      </c>
      <c r="Y46" s="5" t="s">
        <v>116</v>
      </c>
      <c r="Z46" s="24">
        <v>0.0</v>
      </c>
      <c r="AA46" s="37"/>
      <c r="AB46" s="37"/>
      <c r="AC46" s="15"/>
      <c r="AD46" s="38"/>
      <c r="AE46" s="26">
        <v>1.5</v>
      </c>
      <c r="AF46" s="26" t="str">
        <f t="shared" si="3"/>
        <v/>
      </c>
      <c r="AG46" s="16" t="str">
        <f t="shared" si="4"/>
        <v>Verify</v>
      </c>
      <c r="AH46" s="15" t="str">
        <f t="shared" si="5"/>
        <v>Verify</v>
      </c>
      <c r="AI46" s="32">
        <v>14.1</v>
      </c>
      <c r="AJ46" s="16" t="s">
        <v>230</v>
      </c>
      <c r="AK46" s="15"/>
      <c r="AL46" s="15"/>
      <c r="AM46" s="15"/>
      <c r="AN46" s="9"/>
      <c r="AO46" s="9">
        <f t="shared" si="6"/>
        <v>4.4</v>
      </c>
      <c r="AP46" s="9" t="str">
        <f t="shared" si="7"/>
        <v/>
      </c>
      <c r="AQ46" s="9">
        <f t="shared" si="8"/>
        <v>30.3</v>
      </c>
      <c r="AR46" s="9" t="str">
        <f t="shared" si="9"/>
        <v/>
      </c>
      <c r="AS46" s="16" t="s">
        <v>302</v>
      </c>
      <c r="AT46" s="15"/>
      <c r="AU46" s="15"/>
    </row>
    <row r="47" ht="15.75" customHeight="1">
      <c r="A47" s="15" t="str">
        <f t="shared" si="1"/>
        <v/>
      </c>
      <c r="B47" s="15" t="str">
        <f t="shared" si="2"/>
        <v/>
      </c>
      <c r="C47" s="15"/>
      <c r="D47" s="16" t="s">
        <v>141</v>
      </c>
      <c r="E47" s="15"/>
      <c r="F47" s="12" t="s">
        <v>1337</v>
      </c>
      <c r="G47" s="11" t="s">
        <v>1338</v>
      </c>
      <c r="H47" s="12">
        <v>26527.0</v>
      </c>
      <c r="I47" s="13" t="s">
        <v>169</v>
      </c>
      <c r="J47" s="17" t="s">
        <v>169</v>
      </c>
      <c r="K47" s="44"/>
      <c r="L47" s="44"/>
      <c r="M47" s="44"/>
      <c r="N47" s="19">
        <v>2.41</v>
      </c>
      <c r="O47" s="40"/>
      <c r="P47" s="21">
        <v>0.0</v>
      </c>
      <c r="Q47" s="41"/>
      <c r="R47" s="35"/>
      <c r="S47" s="5">
        <v>39.66512451</v>
      </c>
      <c r="T47" s="5">
        <v>-80.06809999</v>
      </c>
      <c r="U47" s="1">
        <v>2.0</v>
      </c>
      <c r="V47" s="5" t="s">
        <v>180</v>
      </c>
      <c r="W47" s="5">
        <v>0.0</v>
      </c>
      <c r="X47" s="5" t="s">
        <v>732</v>
      </c>
      <c r="Y47" s="5" t="s">
        <v>733</v>
      </c>
      <c r="Z47" s="24" t="s">
        <v>732</v>
      </c>
      <c r="AA47" s="37"/>
      <c r="AB47" s="37"/>
      <c r="AC47" s="15"/>
      <c r="AD47" s="38"/>
      <c r="AE47" s="26">
        <v>0.3</v>
      </c>
      <c r="AF47" s="26" t="str">
        <f t="shared" si="3"/>
        <v/>
      </c>
      <c r="AG47" s="16" t="str">
        <f t="shared" si="4"/>
        <v>Verify</v>
      </c>
      <c r="AH47" s="15" t="str">
        <f t="shared" si="5"/>
        <v>Verify</v>
      </c>
      <c r="AI47" s="32">
        <v>3.5</v>
      </c>
      <c r="AJ47" s="16" t="s">
        <v>230</v>
      </c>
      <c r="AK47" s="15"/>
      <c r="AL47" s="15"/>
      <c r="AM47" s="15"/>
      <c r="AN47" s="9"/>
      <c r="AO47" s="9" t="str">
        <f t="shared" si="6"/>
        <v/>
      </c>
      <c r="AP47" s="9" t="str">
        <f t="shared" si="7"/>
        <v/>
      </c>
      <c r="AQ47" s="9" t="str">
        <f t="shared" si="8"/>
        <v/>
      </c>
      <c r="AR47" s="9" t="str">
        <f t="shared" si="9"/>
        <v/>
      </c>
      <c r="AS47" s="16" t="s">
        <v>302</v>
      </c>
      <c r="AT47" s="15"/>
      <c r="AU47" s="15"/>
    </row>
    <row r="48" ht="15.75" customHeight="1">
      <c r="A48" s="15">
        <f t="shared" si="1"/>
        <v>1</v>
      </c>
      <c r="B48" s="15" t="str">
        <f t="shared" si="2"/>
        <v>Tier 1</v>
      </c>
      <c r="C48" s="15"/>
      <c r="D48" s="16" t="s">
        <v>141</v>
      </c>
      <c r="E48" s="15"/>
      <c r="F48" s="12" t="s">
        <v>1345</v>
      </c>
      <c r="G48" s="11" t="s">
        <v>1346</v>
      </c>
      <c r="H48" s="12" t="s">
        <v>886</v>
      </c>
      <c r="I48" s="13" t="s">
        <v>153</v>
      </c>
      <c r="J48" s="17" t="s">
        <v>392</v>
      </c>
      <c r="K48" s="18">
        <v>109.0</v>
      </c>
      <c r="L48" s="18">
        <v>181.0</v>
      </c>
      <c r="M48" s="18">
        <v>209.4</v>
      </c>
      <c r="N48" s="19">
        <v>2.09</v>
      </c>
      <c r="O48" s="20">
        <v>3.0</v>
      </c>
      <c r="P48" s="21">
        <v>11.0</v>
      </c>
      <c r="Q48" s="5">
        <v>0.0</v>
      </c>
      <c r="R48" s="22">
        <v>71033.0</v>
      </c>
      <c r="S48" s="5">
        <v>37.97661378</v>
      </c>
      <c r="T48" s="5">
        <v>-82.03757924</v>
      </c>
      <c r="U48" s="1">
        <v>10.0</v>
      </c>
      <c r="V48" s="5" t="s">
        <v>342</v>
      </c>
      <c r="W48" s="5">
        <v>3.0</v>
      </c>
      <c r="X48" s="5">
        <v>0.0</v>
      </c>
      <c r="Y48" s="5" t="s">
        <v>116</v>
      </c>
      <c r="Z48" s="24">
        <v>0.0</v>
      </c>
      <c r="AA48" s="25">
        <v>0.0</v>
      </c>
      <c r="AB48" s="25">
        <v>1.0</v>
      </c>
      <c r="AC48" s="16" t="s">
        <v>1351</v>
      </c>
      <c r="AD48" s="26">
        <v>21.23</v>
      </c>
      <c r="AE48" s="26">
        <v>1.9</v>
      </c>
      <c r="AF48" s="26">
        <f t="shared" si="3"/>
        <v>19.33</v>
      </c>
      <c r="AG48" s="16" t="str">
        <f t="shared" si="4"/>
        <v>Yes</v>
      </c>
      <c r="AH48" s="15" t="str">
        <f t="shared" si="5"/>
        <v>No</v>
      </c>
      <c r="AI48" s="32">
        <v>1.2</v>
      </c>
      <c r="AJ48" s="16" t="s">
        <v>230</v>
      </c>
      <c r="AK48" s="15"/>
      <c r="AL48" s="15"/>
      <c r="AM48" s="15"/>
      <c r="AN48" s="9"/>
      <c r="AO48" s="9">
        <f t="shared" si="6"/>
        <v>21</v>
      </c>
      <c r="AP48" s="9">
        <f t="shared" si="7"/>
        <v>98.5</v>
      </c>
      <c r="AQ48" s="9">
        <f t="shared" si="8"/>
        <v>7.2</v>
      </c>
      <c r="AR48" s="9">
        <f t="shared" si="9"/>
        <v>52.4</v>
      </c>
      <c r="AS48" s="16" t="s">
        <v>230</v>
      </c>
      <c r="AT48" s="15"/>
      <c r="AU48" s="15"/>
    </row>
    <row r="49" ht="15.75" customHeight="1">
      <c r="A49" s="15">
        <f t="shared" si="1"/>
        <v>95</v>
      </c>
      <c r="B49" s="15" t="str">
        <f t="shared" si="2"/>
        <v>Tier 3</v>
      </c>
      <c r="C49" s="15"/>
      <c r="D49" s="16" t="s">
        <v>141</v>
      </c>
      <c r="E49" s="15"/>
      <c r="F49" s="12" t="s">
        <v>1356</v>
      </c>
      <c r="G49" s="11" t="s">
        <v>1357</v>
      </c>
      <c r="H49" s="12" t="s">
        <v>900</v>
      </c>
      <c r="I49" s="13" t="s">
        <v>123</v>
      </c>
      <c r="J49" s="17" t="s">
        <v>576</v>
      </c>
      <c r="K49" s="18">
        <v>126.0</v>
      </c>
      <c r="L49" s="18">
        <v>188.0</v>
      </c>
      <c r="M49" s="18">
        <v>235.0</v>
      </c>
      <c r="N49" s="19">
        <v>0.47</v>
      </c>
      <c r="O49" s="20">
        <v>0.0</v>
      </c>
      <c r="P49" s="21">
        <v>84.0</v>
      </c>
      <c r="Q49" s="5">
        <v>0.0</v>
      </c>
      <c r="R49" s="22">
        <v>48391.0</v>
      </c>
      <c r="S49" s="5">
        <v>39.29663244</v>
      </c>
      <c r="T49" s="5">
        <v>-77.83255298</v>
      </c>
      <c r="U49" s="1">
        <v>4.0</v>
      </c>
      <c r="V49" s="5" t="s">
        <v>540</v>
      </c>
      <c r="W49" s="5">
        <v>1.0</v>
      </c>
      <c r="X49" s="5">
        <v>0.0</v>
      </c>
      <c r="Y49" s="5" t="s">
        <v>116</v>
      </c>
      <c r="Z49" s="24">
        <v>0.0</v>
      </c>
      <c r="AA49" s="25">
        <v>5.0</v>
      </c>
      <c r="AB49" s="25">
        <v>7.0</v>
      </c>
      <c r="AC49" s="16" t="s">
        <v>1361</v>
      </c>
      <c r="AD49" s="26">
        <v>0.02</v>
      </c>
      <c r="AE49" s="26">
        <v>4.2</v>
      </c>
      <c r="AF49" s="26">
        <f t="shared" si="3"/>
        <v>0</v>
      </c>
      <c r="AG49" s="16" t="str">
        <f t="shared" si="4"/>
        <v>No</v>
      </c>
      <c r="AH49" s="15" t="str">
        <f t="shared" si="5"/>
        <v>No</v>
      </c>
      <c r="AI49" s="32">
        <v>0.2</v>
      </c>
      <c r="AJ49" s="16" t="s">
        <v>230</v>
      </c>
      <c r="AK49" s="15"/>
      <c r="AL49" s="15"/>
      <c r="AM49" s="15"/>
      <c r="AN49" s="9"/>
      <c r="AO49" s="9">
        <f t="shared" si="6"/>
        <v>24.3</v>
      </c>
      <c r="AP49" s="9">
        <f t="shared" si="7"/>
        <v>4.6</v>
      </c>
      <c r="AQ49" s="9">
        <f t="shared" si="8"/>
        <v>12.5</v>
      </c>
      <c r="AR49" s="9">
        <f t="shared" si="9"/>
        <v>12.9</v>
      </c>
      <c r="AS49" s="16" t="s">
        <v>556</v>
      </c>
      <c r="AT49" s="15"/>
      <c r="AU49" s="15"/>
    </row>
    <row r="50" ht="15.75" customHeight="1">
      <c r="A50" s="15">
        <f t="shared" si="1"/>
        <v>93</v>
      </c>
      <c r="B50" s="15" t="str">
        <f t="shared" si="2"/>
        <v>Tier 3</v>
      </c>
      <c r="C50" s="15"/>
      <c r="D50" s="16" t="s">
        <v>141</v>
      </c>
      <c r="E50" s="15"/>
      <c r="F50" s="12" t="s">
        <v>1366</v>
      </c>
      <c r="G50" s="11" t="s">
        <v>1368</v>
      </c>
      <c r="H50" s="12">
        <v>25414.0</v>
      </c>
      <c r="I50" s="13" t="s">
        <v>123</v>
      </c>
      <c r="J50" s="17" t="s">
        <v>576</v>
      </c>
      <c r="K50" s="18">
        <v>126.0</v>
      </c>
      <c r="L50" s="18">
        <v>188.0</v>
      </c>
      <c r="M50" s="18">
        <v>235.0</v>
      </c>
      <c r="N50" s="19">
        <v>1.83</v>
      </c>
      <c r="O50" s="20">
        <v>0.0</v>
      </c>
      <c r="P50" s="21">
        <v>84.0</v>
      </c>
      <c r="Q50" s="5">
        <v>0.0</v>
      </c>
      <c r="R50" s="22">
        <v>48391.0</v>
      </c>
      <c r="S50" s="5">
        <v>39.27275191</v>
      </c>
      <c r="T50" s="5">
        <v>-77.84585142</v>
      </c>
      <c r="U50" s="1">
        <v>4.0</v>
      </c>
      <c r="V50" s="5" t="s">
        <v>540</v>
      </c>
      <c r="W50" s="5">
        <v>1.0</v>
      </c>
      <c r="X50" s="5">
        <v>0.0</v>
      </c>
      <c r="Y50" s="5" t="s">
        <v>116</v>
      </c>
      <c r="Z50" s="24">
        <v>0.0</v>
      </c>
      <c r="AA50" s="25">
        <v>5.0</v>
      </c>
      <c r="AB50" s="25">
        <v>7.0</v>
      </c>
      <c r="AC50" s="16" t="s">
        <v>1288</v>
      </c>
      <c r="AD50" s="26">
        <v>1.23</v>
      </c>
      <c r="AE50" s="26">
        <v>2.4</v>
      </c>
      <c r="AF50" s="26">
        <f t="shared" si="3"/>
        <v>0</v>
      </c>
      <c r="AG50" s="16" t="str">
        <f t="shared" si="4"/>
        <v>No</v>
      </c>
      <c r="AH50" s="15" t="str">
        <f t="shared" si="5"/>
        <v>No</v>
      </c>
      <c r="AI50" s="32">
        <v>1.3</v>
      </c>
      <c r="AJ50" s="16" t="s">
        <v>230</v>
      </c>
      <c r="AK50" s="15"/>
      <c r="AL50" s="15"/>
      <c r="AM50" s="15"/>
      <c r="AN50" s="9"/>
      <c r="AO50" s="9">
        <f t="shared" si="6"/>
        <v>24.3</v>
      </c>
      <c r="AP50" s="9">
        <f t="shared" si="7"/>
        <v>8.2</v>
      </c>
      <c r="AQ50" s="9">
        <f t="shared" si="8"/>
        <v>12.5</v>
      </c>
      <c r="AR50" s="9">
        <f t="shared" si="9"/>
        <v>14.5</v>
      </c>
      <c r="AS50" s="16" t="s">
        <v>556</v>
      </c>
      <c r="AT50" s="15"/>
      <c r="AU50" s="15"/>
    </row>
    <row r="51" ht="15.75" customHeight="1">
      <c r="A51" s="15" t="str">
        <f t="shared" si="1"/>
        <v/>
      </c>
      <c r="B51" s="15" t="str">
        <f t="shared" si="2"/>
        <v/>
      </c>
      <c r="C51" s="15"/>
      <c r="D51" s="16" t="s">
        <v>141</v>
      </c>
      <c r="E51" s="15"/>
      <c r="F51" s="12" t="s">
        <v>1370</v>
      </c>
      <c r="G51" s="11" t="s">
        <v>1371</v>
      </c>
      <c r="H51" s="12" t="s">
        <v>922</v>
      </c>
      <c r="I51" s="13" t="s">
        <v>128</v>
      </c>
      <c r="J51" s="17" t="s">
        <v>715</v>
      </c>
      <c r="K51" s="18">
        <v>96.0</v>
      </c>
      <c r="L51" s="18">
        <v>165.0</v>
      </c>
      <c r="M51" s="18">
        <v>76.8</v>
      </c>
      <c r="N51" s="19">
        <v>0.7</v>
      </c>
      <c r="O51" s="40"/>
      <c r="P51" s="21">
        <v>0.0</v>
      </c>
      <c r="Q51" s="5">
        <v>0.0</v>
      </c>
      <c r="R51" s="35"/>
      <c r="S51" s="5">
        <v>38.317517</v>
      </c>
      <c r="T51" s="5">
        <v>-81.52037084</v>
      </c>
      <c r="U51" s="1">
        <v>2.0</v>
      </c>
      <c r="V51" s="5" t="s">
        <v>180</v>
      </c>
      <c r="W51" s="5">
        <v>0.0</v>
      </c>
      <c r="X51" s="5">
        <v>0.0</v>
      </c>
      <c r="Y51" s="5" t="s">
        <v>116</v>
      </c>
      <c r="Z51" s="24">
        <v>0.0</v>
      </c>
      <c r="AA51" s="25">
        <v>3.0</v>
      </c>
      <c r="AB51" s="25">
        <v>6.0</v>
      </c>
      <c r="AC51" s="16" t="s">
        <v>1374</v>
      </c>
      <c r="AD51" s="26">
        <v>0.71</v>
      </c>
      <c r="AE51" s="26">
        <v>1.2</v>
      </c>
      <c r="AF51" s="26">
        <f t="shared" si="3"/>
        <v>0</v>
      </c>
      <c r="AG51" s="16" t="str">
        <f t="shared" si="4"/>
        <v>No</v>
      </c>
      <c r="AH51" s="15" t="str">
        <f t="shared" si="5"/>
        <v>No</v>
      </c>
      <c r="AI51" s="32">
        <v>2.5</v>
      </c>
      <c r="AJ51" s="16" t="s">
        <v>230</v>
      </c>
      <c r="AK51" s="15"/>
      <c r="AL51" s="15"/>
      <c r="AM51" s="15"/>
      <c r="AN51" s="9"/>
      <c r="AO51" s="9">
        <f t="shared" si="6"/>
        <v>18.5</v>
      </c>
      <c r="AP51" s="9">
        <f t="shared" si="7"/>
        <v>18.1</v>
      </c>
      <c r="AQ51" s="9" t="str">
        <f t="shared" si="8"/>
        <v/>
      </c>
      <c r="AR51" s="9" t="str">
        <f t="shared" si="9"/>
        <v/>
      </c>
      <c r="AS51" s="16" t="s">
        <v>302</v>
      </c>
      <c r="AT51" s="15"/>
      <c r="AU51" s="15"/>
    </row>
    <row r="52" ht="15.75" customHeight="1">
      <c r="A52" s="15">
        <f t="shared" si="1"/>
        <v>94</v>
      </c>
      <c r="B52" s="15" t="str">
        <f t="shared" si="2"/>
        <v>Tier 3</v>
      </c>
      <c r="C52" s="15"/>
      <c r="D52" s="16" t="s">
        <v>141</v>
      </c>
      <c r="E52" s="15"/>
      <c r="F52" s="12" t="s">
        <v>1377</v>
      </c>
      <c r="G52" s="11" t="s">
        <v>1378</v>
      </c>
      <c r="H52" s="12" t="s">
        <v>928</v>
      </c>
      <c r="I52" s="13" t="s">
        <v>128</v>
      </c>
      <c r="J52" s="17" t="s">
        <v>715</v>
      </c>
      <c r="K52" s="18">
        <v>126.0</v>
      </c>
      <c r="L52" s="18">
        <v>193.0</v>
      </c>
      <c r="M52" s="18">
        <v>272.9</v>
      </c>
      <c r="N52" s="19">
        <v>0.71</v>
      </c>
      <c r="O52" s="20">
        <v>113.0</v>
      </c>
      <c r="P52" s="21">
        <v>0.0</v>
      </c>
      <c r="Q52" s="5">
        <v>0.0</v>
      </c>
      <c r="R52" s="22">
        <v>80833.0</v>
      </c>
      <c r="S52" s="5">
        <v>38.34190815</v>
      </c>
      <c r="T52" s="5">
        <v>-81.61971927</v>
      </c>
      <c r="U52" s="1">
        <v>1.0</v>
      </c>
      <c r="V52" s="5" t="s">
        <v>180</v>
      </c>
      <c r="W52" s="5">
        <v>0.0</v>
      </c>
      <c r="X52" s="5">
        <v>0.0</v>
      </c>
      <c r="Y52" s="5" t="s">
        <v>116</v>
      </c>
      <c r="Z52" s="24">
        <v>0.0</v>
      </c>
      <c r="AA52" s="25">
        <v>5.0</v>
      </c>
      <c r="AB52" s="25">
        <v>7.0</v>
      </c>
      <c r="AC52" s="16" t="s">
        <v>1380</v>
      </c>
      <c r="AD52" s="26">
        <v>1.17</v>
      </c>
      <c r="AE52" s="26">
        <v>3.8</v>
      </c>
      <c r="AF52" s="26">
        <f t="shared" si="3"/>
        <v>0</v>
      </c>
      <c r="AG52" s="16" t="str">
        <f t="shared" si="4"/>
        <v>No</v>
      </c>
      <c r="AH52" s="15" t="str">
        <f t="shared" si="5"/>
        <v>No</v>
      </c>
      <c r="AI52" s="32">
        <v>1.2</v>
      </c>
      <c r="AJ52" s="16" t="s">
        <v>230</v>
      </c>
      <c r="AK52" s="15"/>
      <c r="AL52" s="15"/>
      <c r="AM52" s="15"/>
      <c r="AN52" s="9"/>
      <c r="AO52" s="9">
        <f t="shared" si="6"/>
        <v>24.3</v>
      </c>
      <c r="AP52" s="9">
        <f t="shared" si="7"/>
        <v>8</v>
      </c>
      <c r="AQ52" s="9">
        <f t="shared" si="8"/>
        <v>7.1</v>
      </c>
      <c r="AR52" s="9">
        <f t="shared" si="9"/>
        <v>13.2</v>
      </c>
      <c r="AS52" s="16" t="s">
        <v>556</v>
      </c>
      <c r="AT52" s="15"/>
      <c r="AU52" s="15"/>
    </row>
    <row r="53" ht="15.75" customHeight="1">
      <c r="A53" s="15">
        <f t="shared" si="1"/>
        <v>88</v>
      </c>
      <c r="B53" s="15" t="str">
        <f t="shared" si="2"/>
        <v>Tier 3</v>
      </c>
      <c r="C53" s="15"/>
      <c r="D53" s="16" t="s">
        <v>141</v>
      </c>
      <c r="E53" s="15"/>
      <c r="F53" s="12" t="s">
        <v>1382</v>
      </c>
      <c r="G53" s="11" t="s">
        <v>1383</v>
      </c>
      <c r="H53" s="12" t="s">
        <v>936</v>
      </c>
      <c r="I53" s="13" t="s">
        <v>128</v>
      </c>
      <c r="J53" s="17" t="s">
        <v>715</v>
      </c>
      <c r="K53" s="18">
        <v>150.0</v>
      </c>
      <c r="L53" s="18">
        <v>222.0</v>
      </c>
      <c r="M53" s="18">
        <v>184.6</v>
      </c>
      <c r="N53" s="19">
        <v>1.62</v>
      </c>
      <c r="O53" s="20">
        <v>60.0</v>
      </c>
      <c r="P53" s="21">
        <v>0.0</v>
      </c>
      <c r="Q53" s="5">
        <v>3.8</v>
      </c>
      <c r="R53" s="22">
        <v>38333.0</v>
      </c>
      <c r="S53" s="5">
        <v>38.42606353</v>
      </c>
      <c r="T53" s="5">
        <v>-81.78533365</v>
      </c>
      <c r="U53" s="1">
        <v>1.0</v>
      </c>
      <c r="V53" s="5" t="s">
        <v>180</v>
      </c>
      <c r="W53" s="5">
        <v>0.0</v>
      </c>
      <c r="X53" s="5">
        <v>0.0</v>
      </c>
      <c r="Y53" s="5" t="s">
        <v>116</v>
      </c>
      <c r="Z53" s="24">
        <v>0.0</v>
      </c>
      <c r="AA53" s="25">
        <v>4.0</v>
      </c>
      <c r="AB53" s="25">
        <v>7.0</v>
      </c>
      <c r="AC53" s="16" t="s">
        <v>1384</v>
      </c>
      <c r="AD53" s="26">
        <v>0.09</v>
      </c>
      <c r="AE53" s="26">
        <v>2.6</v>
      </c>
      <c r="AF53" s="26">
        <f t="shared" si="3"/>
        <v>0</v>
      </c>
      <c r="AG53" s="16" t="str">
        <f t="shared" si="4"/>
        <v>No</v>
      </c>
      <c r="AH53" s="15" t="str">
        <f t="shared" si="5"/>
        <v>No</v>
      </c>
      <c r="AI53" s="32">
        <v>0.1</v>
      </c>
      <c r="AJ53" s="16" t="s">
        <v>230</v>
      </c>
      <c r="AK53" s="15"/>
      <c r="AL53" s="15"/>
      <c r="AM53" s="15"/>
      <c r="AN53" s="9"/>
      <c r="AO53" s="9">
        <f t="shared" si="6"/>
        <v>28.9</v>
      </c>
      <c r="AP53" s="9">
        <f t="shared" si="7"/>
        <v>9.8</v>
      </c>
      <c r="AQ53" s="9">
        <f t="shared" si="8"/>
        <v>12.6</v>
      </c>
      <c r="AR53" s="9">
        <f t="shared" si="9"/>
        <v>16.8</v>
      </c>
      <c r="AS53" s="16" t="s">
        <v>556</v>
      </c>
      <c r="AT53" s="15"/>
      <c r="AU53" s="15"/>
    </row>
    <row r="54" ht="15.75" customHeight="1">
      <c r="A54" s="15">
        <f t="shared" si="1"/>
        <v>70</v>
      </c>
      <c r="B54" s="15" t="str">
        <f t="shared" si="2"/>
        <v>Tier 3</v>
      </c>
      <c r="C54" s="15"/>
      <c r="D54" s="16" t="s">
        <v>141</v>
      </c>
      <c r="E54" s="15"/>
      <c r="F54" s="12" t="s">
        <v>1387</v>
      </c>
      <c r="G54" s="11" t="s">
        <v>1388</v>
      </c>
      <c r="H54" s="12">
        <v>25302.0</v>
      </c>
      <c r="I54" s="13" t="s">
        <v>128</v>
      </c>
      <c r="J54" s="17" t="s">
        <v>715</v>
      </c>
      <c r="K54" s="18">
        <v>189.0</v>
      </c>
      <c r="L54" s="18">
        <v>273.0</v>
      </c>
      <c r="M54" s="18">
        <v>205.6</v>
      </c>
      <c r="N54" s="19">
        <v>0.9</v>
      </c>
      <c r="O54" s="20">
        <v>599.0</v>
      </c>
      <c r="P54" s="21">
        <v>7.0</v>
      </c>
      <c r="Q54" s="5">
        <v>23.3</v>
      </c>
      <c r="R54" s="22">
        <v>58750.0</v>
      </c>
      <c r="S54" s="5">
        <v>38.38537343</v>
      </c>
      <c r="T54" s="5">
        <v>-81.59361718</v>
      </c>
      <c r="U54" s="1">
        <v>1.0</v>
      </c>
      <c r="V54" s="5" t="s">
        <v>180</v>
      </c>
      <c r="W54" s="5">
        <v>0.0</v>
      </c>
      <c r="X54" s="5">
        <v>0.0</v>
      </c>
      <c r="Y54" s="5" t="s">
        <v>116</v>
      </c>
      <c r="Z54" s="24">
        <v>0.0</v>
      </c>
      <c r="AA54" s="25">
        <v>4.0</v>
      </c>
      <c r="AB54" s="25">
        <v>7.0</v>
      </c>
      <c r="AC54" s="16" t="s">
        <v>1380</v>
      </c>
      <c r="AD54" s="26">
        <v>2.64</v>
      </c>
      <c r="AE54" s="26">
        <v>0.5</v>
      </c>
      <c r="AF54" s="26">
        <f t="shared" si="3"/>
        <v>2.14</v>
      </c>
      <c r="AG54" s="16" t="str">
        <f t="shared" si="4"/>
        <v>No</v>
      </c>
      <c r="AH54" s="15" t="str">
        <f t="shared" si="5"/>
        <v>No</v>
      </c>
      <c r="AI54" s="32">
        <v>2.5</v>
      </c>
      <c r="AJ54" s="16" t="s">
        <v>230</v>
      </c>
      <c r="AK54" s="15"/>
      <c r="AL54" s="15"/>
      <c r="AM54" s="15"/>
      <c r="AN54" s="9"/>
      <c r="AO54" s="9">
        <f t="shared" si="6"/>
        <v>36.4</v>
      </c>
      <c r="AP54" s="9">
        <f t="shared" si="7"/>
        <v>17.4</v>
      </c>
      <c r="AQ54" s="9">
        <f t="shared" si="8"/>
        <v>20.5</v>
      </c>
      <c r="AR54" s="9">
        <f t="shared" si="9"/>
        <v>24.4</v>
      </c>
      <c r="AS54" s="16" t="s">
        <v>556</v>
      </c>
      <c r="AT54" s="15"/>
      <c r="AU54" s="15"/>
    </row>
    <row r="55" ht="15.75" customHeight="1">
      <c r="A55" s="15" t="str">
        <f t="shared" si="1"/>
        <v/>
      </c>
      <c r="B55" s="15" t="str">
        <f t="shared" si="2"/>
        <v/>
      </c>
      <c r="C55" s="15"/>
      <c r="D55" s="16" t="s">
        <v>141</v>
      </c>
      <c r="E55" s="15"/>
      <c r="F55" s="12" t="s">
        <v>1391</v>
      </c>
      <c r="G55" s="11" t="s">
        <v>1392</v>
      </c>
      <c r="H55" s="12" t="s">
        <v>954</v>
      </c>
      <c r="I55" s="13" t="s">
        <v>128</v>
      </c>
      <c r="J55" s="17" t="s">
        <v>715</v>
      </c>
      <c r="K55" s="18">
        <v>96.0</v>
      </c>
      <c r="L55" s="18">
        <v>165.0</v>
      </c>
      <c r="M55" s="18">
        <v>76.8</v>
      </c>
      <c r="N55" s="19">
        <v>0.96</v>
      </c>
      <c r="O55" s="40"/>
      <c r="P55" s="21">
        <v>0.0</v>
      </c>
      <c r="Q55" s="5">
        <v>0.0</v>
      </c>
      <c r="R55" s="35"/>
      <c r="S55" s="5">
        <v>38.28870138</v>
      </c>
      <c r="T55" s="5">
        <v>-81.56139572</v>
      </c>
      <c r="U55" s="1">
        <v>2.0</v>
      </c>
      <c r="V55" s="5" t="s">
        <v>180</v>
      </c>
      <c r="W55" s="5">
        <v>0.0</v>
      </c>
      <c r="X55" s="5">
        <v>0.0</v>
      </c>
      <c r="Y55" s="5" t="s">
        <v>116</v>
      </c>
      <c r="Z55" s="24">
        <v>0.0</v>
      </c>
      <c r="AA55" s="25">
        <v>4.0</v>
      </c>
      <c r="AB55" s="25">
        <v>7.0</v>
      </c>
      <c r="AC55" s="16" t="s">
        <v>1394</v>
      </c>
      <c r="AD55" s="26">
        <v>1.75</v>
      </c>
      <c r="AE55" s="26">
        <v>3.7</v>
      </c>
      <c r="AF55" s="26">
        <f t="shared" si="3"/>
        <v>0</v>
      </c>
      <c r="AG55" s="16" t="str">
        <f t="shared" si="4"/>
        <v>No</v>
      </c>
      <c r="AH55" s="15" t="str">
        <f t="shared" si="5"/>
        <v>No</v>
      </c>
      <c r="AI55" s="32">
        <v>1.6</v>
      </c>
      <c r="AJ55" s="16" t="s">
        <v>230</v>
      </c>
      <c r="AK55" s="15"/>
      <c r="AL55" s="15"/>
      <c r="AM55" s="15"/>
      <c r="AN55" s="9"/>
      <c r="AO55" s="9">
        <f t="shared" si="6"/>
        <v>18.5</v>
      </c>
      <c r="AP55" s="9">
        <f t="shared" si="7"/>
        <v>14.8</v>
      </c>
      <c r="AQ55" s="9" t="str">
        <f t="shared" si="8"/>
        <v/>
      </c>
      <c r="AR55" s="9" t="str">
        <f t="shared" si="9"/>
        <v/>
      </c>
      <c r="AS55" s="16" t="s">
        <v>302</v>
      </c>
      <c r="AT55" s="15"/>
      <c r="AU55" s="15"/>
    </row>
    <row r="56" ht="15.75" customHeight="1">
      <c r="A56" s="15">
        <f t="shared" si="1"/>
        <v>60</v>
      </c>
      <c r="B56" s="15" t="str">
        <f t="shared" si="2"/>
        <v>Tier 3</v>
      </c>
      <c r="C56" s="15"/>
      <c r="D56" s="16" t="s">
        <v>141</v>
      </c>
      <c r="E56" s="15"/>
      <c r="F56" s="12" t="s">
        <v>1397</v>
      </c>
      <c r="G56" s="11" t="s">
        <v>1398</v>
      </c>
      <c r="H56" s="12" t="s">
        <v>965</v>
      </c>
      <c r="I56" s="13" t="s">
        <v>128</v>
      </c>
      <c r="J56" s="17" t="s">
        <v>715</v>
      </c>
      <c r="K56" s="18">
        <v>189.0</v>
      </c>
      <c r="L56" s="18">
        <v>273.0</v>
      </c>
      <c r="M56" s="18">
        <v>205.6</v>
      </c>
      <c r="N56" s="19">
        <v>0.65</v>
      </c>
      <c r="O56" s="20">
        <v>599.0</v>
      </c>
      <c r="P56" s="21">
        <v>373.0</v>
      </c>
      <c r="Q56" s="5">
        <v>23.3</v>
      </c>
      <c r="R56" s="22">
        <v>58750.0</v>
      </c>
      <c r="S56" s="5">
        <v>38.36436259</v>
      </c>
      <c r="T56" s="5">
        <v>-81.65067832</v>
      </c>
      <c r="U56" s="1">
        <v>1.0</v>
      </c>
      <c r="V56" s="5" t="s">
        <v>180</v>
      </c>
      <c r="W56" s="5">
        <v>0.0</v>
      </c>
      <c r="X56" s="5">
        <v>0.0</v>
      </c>
      <c r="Y56" s="5" t="s">
        <v>116</v>
      </c>
      <c r="Z56" s="24">
        <v>0.0</v>
      </c>
      <c r="AA56" s="25">
        <v>3.0</v>
      </c>
      <c r="AB56" s="25">
        <v>6.0</v>
      </c>
      <c r="AC56" s="16" t="s">
        <v>1399</v>
      </c>
      <c r="AD56" s="26">
        <v>0.27</v>
      </c>
      <c r="AE56" s="26">
        <v>3.6</v>
      </c>
      <c r="AF56" s="26">
        <f t="shared" si="3"/>
        <v>0</v>
      </c>
      <c r="AG56" s="16" t="str">
        <f t="shared" si="4"/>
        <v>No</v>
      </c>
      <c r="AH56" s="15" t="str">
        <f t="shared" si="5"/>
        <v>No</v>
      </c>
      <c r="AI56" s="32">
        <v>0.3</v>
      </c>
      <c r="AJ56" s="16" t="s">
        <v>230</v>
      </c>
      <c r="AK56" s="15"/>
      <c r="AL56" s="15"/>
      <c r="AM56" s="15"/>
      <c r="AN56" s="9"/>
      <c r="AO56" s="9">
        <f t="shared" si="6"/>
        <v>36.4</v>
      </c>
      <c r="AP56" s="9">
        <f t="shared" si="7"/>
        <v>16.8</v>
      </c>
      <c r="AQ56" s="9">
        <f t="shared" si="8"/>
        <v>32</v>
      </c>
      <c r="AR56" s="9">
        <f t="shared" si="9"/>
        <v>26.7</v>
      </c>
      <c r="AS56" s="16" t="s">
        <v>556</v>
      </c>
      <c r="AT56" s="15"/>
      <c r="AU56" s="15"/>
    </row>
    <row r="57" ht="15.75" customHeight="1">
      <c r="A57" s="15">
        <f t="shared" si="1"/>
        <v>92</v>
      </c>
      <c r="B57" s="15" t="str">
        <f t="shared" si="2"/>
        <v>Tier 3</v>
      </c>
      <c r="C57" s="15"/>
      <c r="D57" s="16" t="s">
        <v>141</v>
      </c>
      <c r="E57" s="15"/>
      <c r="F57" s="12" t="s">
        <v>1402</v>
      </c>
      <c r="G57" s="11" t="s">
        <v>1403</v>
      </c>
      <c r="H57" s="12" t="s">
        <v>973</v>
      </c>
      <c r="I57" s="13" t="s">
        <v>128</v>
      </c>
      <c r="J57" s="17" t="s">
        <v>715</v>
      </c>
      <c r="K57" s="18">
        <v>108.0</v>
      </c>
      <c r="L57" s="18">
        <v>157.0</v>
      </c>
      <c r="M57" s="18">
        <v>236.8</v>
      </c>
      <c r="N57" s="19">
        <v>0.65</v>
      </c>
      <c r="O57" s="20">
        <v>9.0</v>
      </c>
      <c r="P57" s="21">
        <v>18.0</v>
      </c>
      <c r="Q57" s="5">
        <v>0.0</v>
      </c>
      <c r="R57" s="22">
        <v>71250.0</v>
      </c>
      <c r="S57" s="5">
        <v>38.38945296</v>
      </c>
      <c r="T57" s="5">
        <v>-81.65823048</v>
      </c>
      <c r="U57" s="1">
        <v>1.0</v>
      </c>
      <c r="V57" s="5" t="s">
        <v>180</v>
      </c>
      <c r="W57" s="5">
        <v>0.0</v>
      </c>
      <c r="X57" s="5">
        <v>0.0</v>
      </c>
      <c r="Y57" s="5" t="s">
        <v>116</v>
      </c>
      <c r="Z57" s="24">
        <v>0.0</v>
      </c>
      <c r="AA57" s="25">
        <v>4.0</v>
      </c>
      <c r="AB57" s="25">
        <v>7.0</v>
      </c>
      <c r="AC57" s="16" t="s">
        <v>1399</v>
      </c>
      <c r="AD57" s="26">
        <v>1.93</v>
      </c>
      <c r="AE57" s="26">
        <v>0.7</v>
      </c>
      <c r="AF57" s="26">
        <f t="shared" si="3"/>
        <v>1.23</v>
      </c>
      <c r="AG57" s="16" t="str">
        <f t="shared" si="4"/>
        <v>No</v>
      </c>
      <c r="AH57" s="15" t="str">
        <f t="shared" si="5"/>
        <v>No</v>
      </c>
      <c r="AI57" s="32">
        <v>2.0</v>
      </c>
      <c r="AJ57" s="16" t="s">
        <v>230</v>
      </c>
      <c r="AK57" s="15"/>
      <c r="AL57" s="15"/>
      <c r="AM57" s="15"/>
      <c r="AN57" s="9"/>
      <c r="AO57" s="9">
        <f t="shared" si="6"/>
        <v>20.8</v>
      </c>
      <c r="AP57" s="9">
        <f t="shared" si="7"/>
        <v>15.3</v>
      </c>
      <c r="AQ57" s="9">
        <f t="shared" si="8"/>
        <v>7.4</v>
      </c>
      <c r="AR57" s="9">
        <f t="shared" si="9"/>
        <v>15.4</v>
      </c>
      <c r="AS57" s="16" t="s">
        <v>556</v>
      </c>
      <c r="AT57" s="15"/>
      <c r="AU57" s="15"/>
    </row>
    <row r="58" ht="15.75" customHeight="1">
      <c r="A58" s="15">
        <f t="shared" si="1"/>
        <v>79</v>
      </c>
      <c r="B58" s="15" t="str">
        <f t="shared" si="2"/>
        <v>Tier 3</v>
      </c>
      <c r="C58" s="15"/>
      <c r="D58" s="16" t="s">
        <v>141</v>
      </c>
      <c r="E58" s="15"/>
      <c r="F58" s="12" t="s">
        <v>1407</v>
      </c>
      <c r="G58" s="11" t="s">
        <v>1408</v>
      </c>
      <c r="H58" s="12" t="s">
        <v>987</v>
      </c>
      <c r="I58" s="13" t="s">
        <v>128</v>
      </c>
      <c r="J58" s="17" t="s">
        <v>715</v>
      </c>
      <c r="K58" s="18">
        <v>108.0</v>
      </c>
      <c r="L58" s="18">
        <v>157.0</v>
      </c>
      <c r="M58" s="18">
        <v>236.8</v>
      </c>
      <c r="N58" s="19">
        <v>0.65</v>
      </c>
      <c r="O58" s="20">
        <v>9.0</v>
      </c>
      <c r="P58" s="21">
        <v>18.0</v>
      </c>
      <c r="Q58" s="5">
        <v>0.0</v>
      </c>
      <c r="R58" s="22">
        <v>71250.0</v>
      </c>
      <c r="S58" s="5">
        <v>38.37350644</v>
      </c>
      <c r="T58" s="5">
        <v>-81.663761</v>
      </c>
      <c r="U58" s="1">
        <v>1.0</v>
      </c>
      <c r="V58" s="5" t="s">
        <v>180</v>
      </c>
      <c r="W58" s="5">
        <v>0.0</v>
      </c>
      <c r="X58" s="5">
        <v>0.0</v>
      </c>
      <c r="Y58" s="5" t="s">
        <v>116</v>
      </c>
      <c r="Z58" s="24">
        <v>0.0</v>
      </c>
      <c r="AA58" s="25">
        <v>2.0</v>
      </c>
      <c r="AB58" s="25">
        <v>4.0</v>
      </c>
      <c r="AC58" s="16" t="s">
        <v>1399</v>
      </c>
      <c r="AD58" s="26">
        <v>1.2</v>
      </c>
      <c r="AE58" s="26">
        <v>0.9</v>
      </c>
      <c r="AF58" s="26">
        <f t="shared" si="3"/>
        <v>0.3</v>
      </c>
      <c r="AG58" s="16" t="str">
        <f t="shared" si="4"/>
        <v>No</v>
      </c>
      <c r="AH58" s="15" t="str">
        <f t="shared" si="5"/>
        <v>No</v>
      </c>
      <c r="AI58" s="32">
        <v>1.3</v>
      </c>
      <c r="AJ58" s="16" t="s">
        <v>230</v>
      </c>
      <c r="AK58" s="15"/>
      <c r="AL58" s="15"/>
      <c r="AM58" s="15"/>
      <c r="AN58" s="9"/>
      <c r="AO58" s="9">
        <f t="shared" si="6"/>
        <v>20.8</v>
      </c>
      <c r="AP58" s="9">
        <f t="shared" si="7"/>
        <v>27.6</v>
      </c>
      <c r="AQ58" s="9">
        <f t="shared" si="8"/>
        <v>7.4</v>
      </c>
      <c r="AR58" s="9">
        <f t="shared" si="9"/>
        <v>20.8</v>
      </c>
      <c r="AS58" s="16" t="s">
        <v>556</v>
      </c>
      <c r="AT58" s="15"/>
      <c r="AU58" s="15"/>
    </row>
    <row r="59" ht="15.75" customHeight="1">
      <c r="A59" s="15">
        <f t="shared" si="1"/>
        <v>81</v>
      </c>
      <c r="B59" s="15" t="str">
        <f t="shared" si="2"/>
        <v>Tier 3</v>
      </c>
      <c r="C59" s="15"/>
      <c r="D59" s="16" t="s">
        <v>141</v>
      </c>
      <c r="E59" s="15"/>
      <c r="F59" s="12" t="s">
        <v>1412</v>
      </c>
      <c r="G59" s="11" t="s">
        <v>1413</v>
      </c>
      <c r="H59" s="12" t="s">
        <v>998</v>
      </c>
      <c r="I59" s="13" t="s">
        <v>128</v>
      </c>
      <c r="J59" s="17" t="s">
        <v>715</v>
      </c>
      <c r="K59" s="18">
        <v>99.0</v>
      </c>
      <c r="L59" s="18">
        <v>139.0</v>
      </c>
      <c r="M59" s="18">
        <v>229.7</v>
      </c>
      <c r="N59" s="19">
        <v>0.65</v>
      </c>
      <c r="O59" s="20">
        <v>11.0</v>
      </c>
      <c r="P59" s="21">
        <v>18.0</v>
      </c>
      <c r="Q59" s="5">
        <v>0.0</v>
      </c>
      <c r="R59" s="22">
        <v>55278.0</v>
      </c>
      <c r="S59" s="5">
        <v>38.47272677</v>
      </c>
      <c r="T59" s="5">
        <v>-81.67107675</v>
      </c>
      <c r="U59" s="1">
        <v>2.0</v>
      </c>
      <c r="V59" s="5" t="s">
        <v>180</v>
      </c>
      <c r="W59" s="5">
        <v>0.0</v>
      </c>
      <c r="X59" s="5">
        <v>0.0</v>
      </c>
      <c r="Y59" s="5" t="s">
        <v>116</v>
      </c>
      <c r="Z59" s="24">
        <v>0.0</v>
      </c>
      <c r="AA59" s="25">
        <v>2.0</v>
      </c>
      <c r="AB59" s="25">
        <v>4.0</v>
      </c>
      <c r="AC59" s="16" t="s">
        <v>1414</v>
      </c>
      <c r="AD59" s="26">
        <v>0.35</v>
      </c>
      <c r="AE59" s="26">
        <v>2.0</v>
      </c>
      <c r="AF59" s="26">
        <f t="shared" si="3"/>
        <v>0</v>
      </c>
      <c r="AG59" s="16" t="str">
        <f t="shared" si="4"/>
        <v>No</v>
      </c>
      <c r="AH59" s="15" t="str">
        <f t="shared" si="5"/>
        <v>No</v>
      </c>
      <c r="AI59" s="32">
        <v>0.3</v>
      </c>
      <c r="AJ59" s="16" t="s">
        <v>230</v>
      </c>
      <c r="AK59" s="15"/>
      <c r="AL59" s="15"/>
      <c r="AM59" s="15"/>
      <c r="AN59" s="9"/>
      <c r="AO59" s="9">
        <f t="shared" si="6"/>
        <v>19.1</v>
      </c>
      <c r="AP59" s="9">
        <f t="shared" si="7"/>
        <v>25.1</v>
      </c>
      <c r="AQ59" s="9">
        <f t="shared" si="8"/>
        <v>9.6</v>
      </c>
      <c r="AR59" s="9">
        <f t="shared" si="9"/>
        <v>19.7</v>
      </c>
      <c r="AS59" s="16" t="s">
        <v>556</v>
      </c>
      <c r="AT59" s="15"/>
      <c r="AU59" s="15"/>
    </row>
    <row r="60" ht="15.75" customHeight="1">
      <c r="A60" s="15">
        <f t="shared" si="1"/>
        <v>89</v>
      </c>
      <c r="B60" s="15" t="str">
        <f t="shared" si="2"/>
        <v>Tier 3</v>
      </c>
      <c r="C60" s="15"/>
      <c r="D60" s="16" t="s">
        <v>141</v>
      </c>
      <c r="E60" s="15"/>
      <c r="F60" s="12" t="s">
        <v>1417</v>
      </c>
      <c r="G60" s="11" t="s">
        <v>1418</v>
      </c>
      <c r="H60" s="12" t="s">
        <v>1022</v>
      </c>
      <c r="I60" s="13" t="s">
        <v>128</v>
      </c>
      <c r="J60" s="17" t="s">
        <v>715</v>
      </c>
      <c r="K60" s="18">
        <v>11.0</v>
      </c>
      <c r="L60" s="18">
        <v>18.0</v>
      </c>
      <c r="M60" s="18">
        <v>53.8</v>
      </c>
      <c r="N60" s="19">
        <v>1.13</v>
      </c>
      <c r="O60" s="20">
        <v>55.0</v>
      </c>
      <c r="P60" s="21">
        <v>18.0</v>
      </c>
      <c r="Q60" s="5">
        <v>4.7</v>
      </c>
      <c r="R60" s="22">
        <v>22946.0</v>
      </c>
      <c r="S60" s="5">
        <v>38.19520732</v>
      </c>
      <c r="T60" s="5">
        <v>-81.489955</v>
      </c>
      <c r="U60" s="1">
        <v>1.0</v>
      </c>
      <c r="V60" s="5" t="s">
        <v>180</v>
      </c>
      <c r="W60" s="5">
        <v>0.0</v>
      </c>
      <c r="X60" s="5">
        <v>0.0</v>
      </c>
      <c r="Y60" s="5" t="s">
        <v>116</v>
      </c>
      <c r="Z60" s="24">
        <v>0.0</v>
      </c>
      <c r="AA60" s="25">
        <v>2.0</v>
      </c>
      <c r="AB60" s="25">
        <v>4.0</v>
      </c>
      <c r="AC60" s="16" t="s">
        <v>1071</v>
      </c>
      <c r="AD60" s="26">
        <v>1.43</v>
      </c>
      <c r="AE60" s="26">
        <v>2.7</v>
      </c>
      <c r="AF60" s="26">
        <f t="shared" si="3"/>
        <v>0</v>
      </c>
      <c r="AG60" s="16" t="str">
        <f t="shared" si="4"/>
        <v>No</v>
      </c>
      <c r="AH60" s="15" t="str">
        <f t="shared" si="5"/>
        <v>No</v>
      </c>
      <c r="AI60" s="32">
        <v>1.0</v>
      </c>
      <c r="AJ60" s="16" t="s">
        <v>230</v>
      </c>
      <c r="AK60" s="15"/>
      <c r="AL60" s="15"/>
      <c r="AM60" s="15"/>
      <c r="AN60" s="9"/>
      <c r="AO60" s="9">
        <f t="shared" si="6"/>
        <v>2.1</v>
      </c>
      <c r="AP60" s="9">
        <f t="shared" si="7"/>
        <v>28.3</v>
      </c>
      <c r="AQ60" s="9">
        <f t="shared" si="8"/>
        <v>15.3</v>
      </c>
      <c r="AR60" s="9">
        <f t="shared" si="9"/>
        <v>16.7</v>
      </c>
      <c r="AS60" s="16" t="s">
        <v>556</v>
      </c>
      <c r="AT60" s="15"/>
      <c r="AU60" s="15"/>
    </row>
    <row r="61" ht="15.75" customHeight="1">
      <c r="A61" s="15" t="str">
        <f t="shared" si="1"/>
        <v/>
      </c>
      <c r="B61" s="15" t="str">
        <f t="shared" si="2"/>
        <v/>
      </c>
      <c r="C61" s="15"/>
      <c r="D61" s="16" t="s">
        <v>141</v>
      </c>
      <c r="E61" s="15"/>
      <c r="F61" s="12" t="s">
        <v>1425</v>
      </c>
      <c r="G61" s="11" t="s">
        <v>1426</v>
      </c>
      <c r="H61" s="12" t="s">
        <v>1045</v>
      </c>
      <c r="I61" s="13" t="s">
        <v>128</v>
      </c>
      <c r="J61" s="17" t="s">
        <v>715</v>
      </c>
      <c r="K61" s="18">
        <v>44.0</v>
      </c>
      <c r="L61" s="18">
        <v>69.0</v>
      </c>
      <c r="M61" s="18">
        <v>71.6</v>
      </c>
      <c r="N61" s="19">
        <v>1.37</v>
      </c>
      <c r="O61" s="20">
        <v>0.0</v>
      </c>
      <c r="P61" s="21">
        <v>18.0</v>
      </c>
      <c r="Q61" s="5">
        <v>0.0</v>
      </c>
      <c r="R61" s="35"/>
      <c r="S61" s="5">
        <v>38.22267752</v>
      </c>
      <c r="T61" s="5">
        <v>-81.53511708</v>
      </c>
      <c r="U61" s="1">
        <v>1.0</v>
      </c>
      <c r="V61" s="5" t="s">
        <v>180</v>
      </c>
      <c r="W61" s="5">
        <v>0.0</v>
      </c>
      <c r="X61" s="5">
        <v>0.0</v>
      </c>
      <c r="Y61" s="5" t="s">
        <v>116</v>
      </c>
      <c r="Z61" s="24">
        <v>0.0</v>
      </c>
      <c r="AA61" s="25">
        <v>1.0</v>
      </c>
      <c r="AB61" s="25">
        <v>2.0</v>
      </c>
      <c r="AC61" s="16" t="s">
        <v>1071</v>
      </c>
      <c r="AD61" s="26">
        <v>1.67</v>
      </c>
      <c r="AE61" s="26">
        <v>2.7</v>
      </c>
      <c r="AF61" s="26">
        <f t="shared" si="3"/>
        <v>0</v>
      </c>
      <c r="AG61" s="16" t="str">
        <f t="shared" si="4"/>
        <v>No</v>
      </c>
      <c r="AH61" s="15" t="str">
        <f t="shared" si="5"/>
        <v>No</v>
      </c>
      <c r="AI61" s="32">
        <v>1.8</v>
      </c>
      <c r="AJ61" s="16" t="s">
        <v>230</v>
      </c>
      <c r="AK61" s="15"/>
      <c r="AL61" s="15"/>
      <c r="AM61" s="15"/>
      <c r="AN61" s="9"/>
      <c r="AO61" s="9">
        <f t="shared" si="6"/>
        <v>8.5</v>
      </c>
      <c r="AP61" s="9">
        <f t="shared" si="7"/>
        <v>37</v>
      </c>
      <c r="AQ61" s="9" t="str">
        <f t="shared" si="8"/>
        <v/>
      </c>
      <c r="AR61" s="9" t="str">
        <f t="shared" si="9"/>
        <v/>
      </c>
      <c r="AS61" s="16" t="s">
        <v>302</v>
      </c>
      <c r="AT61" s="15"/>
      <c r="AU61" s="15"/>
    </row>
    <row r="62" ht="15.75" customHeight="1">
      <c r="A62" s="15" t="str">
        <f t="shared" si="1"/>
        <v/>
      </c>
      <c r="B62" s="15" t="str">
        <f t="shared" si="2"/>
        <v/>
      </c>
      <c r="C62" s="15"/>
      <c r="D62" s="16" t="s">
        <v>141</v>
      </c>
      <c r="E62" s="15"/>
      <c r="F62" s="12" t="s">
        <v>1432</v>
      </c>
      <c r="G62" s="11" t="s">
        <v>1433</v>
      </c>
      <c r="H62" s="12" t="s">
        <v>1066</v>
      </c>
      <c r="I62" s="13" t="s">
        <v>921</v>
      </c>
      <c r="J62" s="17" t="s">
        <v>1133</v>
      </c>
      <c r="K62" s="18">
        <v>48.0</v>
      </c>
      <c r="L62" s="18">
        <v>81.0</v>
      </c>
      <c r="M62" s="18">
        <v>58.9</v>
      </c>
      <c r="N62" s="19">
        <v>0.56</v>
      </c>
      <c r="O62" s="20">
        <v>1434.0</v>
      </c>
      <c r="P62" s="21">
        <v>18.0</v>
      </c>
      <c r="Q62" s="5">
        <v>77.1</v>
      </c>
      <c r="R62" s="22">
        <v>73810.0</v>
      </c>
      <c r="S62" s="5">
        <v>40.59858914</v>
      </c>
      <c r="T62" s="5">
        <v>-80.53857443</v>
      </c>
      <c r="U62" s="1">
        <v>4.0</v>
      </c>
      <c r="V62" s="5" t="s">
        <v>540</v>
      </c>
      <c r="W62" s="5">
        <v>1.0</v>
      </c>
      <c r="X62" s="5">
        <v>0.0</v>
      </c>
      <c r="Y62" s="5" t="s">
        <v>116</v>
      </c>
      <c r="Z62" s="24">
        <v>0.0</v>
      </c>
      <c r="AA62" s="37"/>
      <c r="AB62" s="37"/>
      <c r="AC62" s="16" t="s">
        <v>1436</v>
      </c>
      <c r="AD62" s="26">
        <v>1.9</v>
      </c>
      <c r="AE62" s="26">
        <v>0.7</v>
      </c>
      <c r="AF62" s="26">
        <f t="shared" si="3"/>
        <v>1.2</v>
      </c>
      <c r="AG62" s="16" t="str">
        <f t="shared" si="4"/>
        <v>No</v>
      </c>
      <c r="AH62" s="15" t="str">
        <f t="shared" si="5"/>
        <v>Verify</v>
      </c>
      <c r="AI62" s="32">
        <v>2.0</v>
      </c>
      <c r="AJ62" s="16" t="s">
        <v>230</v>
      </c>
      <c r="AK62" s="15"/>
      <c r="AL62" s="15"/>
      <c r="AM62" s="15"/>
      <c r="AN62" s="9"/>
      <c r="AO62" s="9">
        <f t="shared" si="6"/>
        <v>9.2</v>
      </c>
      <c r="AP62" s="9" t="str">
        <f t="shared" si="7"/>
        <v/>
      </c>
      <c r="AQ62" s="9">
        <f t="shared" si="8"/>
        <v>38.3</v>
      </c>
      <c r="AR62" s="9" t="str">
        <f t="shared" si="9"/>
        <v/>
      </c>
      <c r="AS62" s="16" t="s">
        <v>302</v>
      </c>
      <c r="AT62" s="15"/>
      <c r="AU62" s="15"/>
    </row>
    <row r="63" ht="15.75" customHeight="1">
      <c r="A63" s="15" t="str">
        <f t="shared" si="1"/>
        <v/>
      </c>
      <c r="B63" s="15" t="str">
        <f t="shared" si="2"/>
        <v/>
      </c>
      <c r="C63" s="15"/>
      <c r="D63" s="16" t="s">
        <v>141</v>
      </c>
      <c r="E63" s="15"/>
      <c r="F63" s="12" t="s">
        <v>1439</v>
      </c>
      <c r="G63" s="11" t="s">
        <v>1440</v>
      </c>
      <c r="H63" s="12" t="s">
        <v>1086</v>
      </c>
      <c r="I63" s="13" t="s">
        <v>101</v>
      </c>
      <c r="J63" s="17" t="s">
        <v>169</v>
      </c>
      <c r="K63" s="18">
        <v>519.0</v>
      </c>
      <c r="L63" s="18">
        <v>826.0</v>
      </c>
      <c r="M63" s="18">
        <v>679.4</v>
      </c>
      <c r="N63" s="19">
        <v>1.14</v>
      </c>
      <c r="O63" s="20">
        <v>70.0</v>
      </c>
      <c r="P63" s="21">
        <v>0.0</v>
      </c>
      <c r="Q63" s="5">
        <v>8.7</v>
      </c>
      <c r="R63" s="22">
        <v>38007.0</v>
      </c>
      <c r="S63" s="5">
        <v>39.26636238</v>
      </c>
      <c r="T63" s="5">
        <v>-80.30894367</v>
      </c>
      <c r="U63" s="1">
        <v>4.0</v>
      </c>
      <c r="V63" s="5" t="s">
        <v>540</v>
      </c>
      <c r="W63" s="5">
        <v>1.0</v>
      </c>
      <c r="X63" s="5">
        <v>0.0</v>
      </c>
      <c r="Y63" s="5" t="s">
        <v>116</v>
      </c>
      <c r="Z63" s="24">
        <v>0.0</v>
      </c>
      <c r="AA63" s="25">
        <v>4.0</v>
      </c>
      <c r="AB63" s="25">
        <v>6.0</v>
      </c>
      <c r="AC63" s="15"/>
      <c r="AD63" s="38"/>
      <c r="AE63" s="26">
        <v>3.5</v>
      </c>
      <c r="AF63" s="26" t="str">
        <f t="shared" si="3"/>
        <v/>
      </c>
      <c r="AG63" s="16" t="str">
        <f t="shared" si="4"/>
        <v>Verify</v>
      </c>
      <c r="AH63" s="15" t="str">
        <f t="shared" si="5"/>
        <v>No</v>
      </c>
      <c r="AI63" s="32">
        <v>1.0</v>
      </c>
      <c r="AJ63" s="16" t="s">
        <v>230</v>
      </c>
      <c r="AK63" s="15"/>
      <c r="AL63" s="15"/>
      <c r="AM63" s="15"/>
      <c r="AN63" s="9"/>
      <c r="AO63" s="9">
        <f t="shared" si="6"/>
        <v>100</v>
      </c>
      <c r="AP63" s="9" t="str">
        <f t="shared" si="7"/>
        <v/>
      </c>
      <c r="AQ63" s="9">
        <f t="shared" si="8"/>
        <v>13.5</v>
      </c>
      <c r="AR63" s="9" t="str">
        <f t="shared" si="9"/>
        <v/>
      </c>
      <c r="AS63" s="16" t="s">
        <v>302</v>
      </c>
      <c r="AT63" s="15"/>
      <c r="AU63" s="15"/>
    </row>
    <row r="64" ht="15.75" customHeight="1">
      <c r="A64" s="15" t="str">
        <f t="shared" si="1"/>
        <v/>
      </c>
      <c r="B64" s="15" t="str">
        <f t="shared" si="2"/>
        <v/>
      </c>
      <c r="C64" s="15"/>
      <c r="D64" s="16" t="s">
        <v>141</v>
      </c>
      <c r="E64" s="15"/>
      <c r="F64" s="12" t="s">
        <v>1443</v>
      </c>
      <c r="G64" s="11" t="s">
        <v>1444</v>
      </c>
      <c r="H64" s="12">
        <v>26301.0</v>
      </c>
      <c r="I64" s="13" t="s">
        <v>101</v>
      </c>
      <c r="J64" s="17" t="s">
        <v>169</v>
      </c>
      <c r="K64" s="18">
        <v>519.0</v>
      </c>
      <c r="L64" s="18">
        <v>826.0</v>
      </c>
      <c r="M64" s="18">
        <v>679.4</v>
      </c>
      <c r="N64" s="39"/>
      <c r="O64" s="20">
        <v>70.0</v>
      </c>
      <c r="P64" s="21">
        <v>130.0</v>
      </c>
      <c r="Q64" s="5">
        <v>8.7</v>
      </c>
      <c r="R64" s="22">
        <v>38007.0</v>
      </c>
      <c r="S64" s="5">
        <v>39.26857087</v>
      </c>
      <c r="T64" s="5">
        <v>-80.35364846</v>
      </c>
      <c r="U64" s="1">
        <v>4.0</v>
      </c>
      <c r="V64" s="5" t="s">
        <v>540</v>
      </c>
      <c r="W64" s="5">
        <v>1.0</v>
      </c>
      <c r="X64" s="5">
        <v>0.0</v>
      </c>
      <c r="Y64" s="5" t="s">
        <v>116</v>
      </c>
      <c r="Z64" s="24">
        <v>0.0</v>
      </c>
      <c r="AA64" s="37"/>
      <c r="AB64" s="37"/>
      <c r="AC64" s="16" t="s">
        <v>1446</v>
      </c>
      <c r="AD64" s="26">
        <v>1.55</v>
      </c>
      <c r="AE64" s="26">
        <v>1.6</v>
      </c>
      <c r="AF64" s="26">
        <f t="shared" si="3"/>
        <v>0</v>
      </c>
      <c r="AG64" s="16" t="str">
        <f t="shared" si="4"/>
        <v>No</v>
      </c>
      <c r="AH64" s="15" t="str">
        <f t="shared" si="5"/>
        <v>Verify</v>
      </c>
      <c r="AI64" s="32">
        <v>0.9</v>
      </c>
      <c r="AJ64" s="16" t="s">
        <v>230</v>
      </c>
      <c r="AK64" s="15"/>
      <c r="AL64" s="15"/>
      <c r="AM64" s="15"/>
      <c r="AN64" s="9"/>
      <c r="AO64" s="9">
        <f t="shared" si="6"/>
        <v>100</v>
      </c>
      <c r="AP64" s="9" t="str">
        <f t="shared" si="7"/>
        <v/>
      </c>
      <c r="AQ64" s="9">
        <f t="shared" si="8"/>
        <v>17.6</v>
      </c>
      <c r="AR64" s="9" t="str">
        <f t="shared" si="9"/>
        <v/>
      </c>
      <c r="AS64" s="16" t="s">
        <v>302</v>
      </c>
      <c r="AT64" s="15"/>
      <c r="AU64" s="15"/>
    </row>
    <row r="65" ht="15.75" customHeight="1">
      <c r="A65" s="15" t="str">
        <f t="shared" si="1"/>
        <v/>
      </c>
      <c r="B65" s="15" t="str">
        <f t="shared" si="2"/>
        <v/>
      </c>
      <c r="C65" s="15"/>
      <c r="D65" s="16" t="s">
        <v>141</v>
      </c>
      <c r="E65" s="15"/>
      <c r="F65" s="12" t="s">
        <v>1447</v>
      </c>
      <c r="G65" s="11" t="s">
        <v>1448</v>
      </c>
      <c r="H65" s="12">
        <v>26301.0</v>
      </c>
      <c r="I65" s="13" t="s">
        <v>101</v>
      </c>
      <c r="J65" s="17" t="s">
        <v>169</v>
      </c>
      <c r="K65" s="18">
        <v>519.0</v>
      </c>
      <c r="L65" s="18">
        <v>826.0</v>
      </c>
      <c r="M65" s="18">
        <v>679.4</v>
      </c>
      <c r="N65" s="19">
        <v>1.7</v>
      </c>
      <c r="O65" s="20">
        <v>70.0</v>
      </c>
      <c r="P65" s="21">
        <v>22.0</v>
      </c>
      <c r="Q65" s="5">
        <v>8.7</v>
      </c>
      <c r="R65" s="22">
        <v>38007.0</v>
      </c>
      <c r="S65" s="5">
        <v>39.268356</v>
      </c>
      <c r="T65" s="5">
        <v>-80.37305212</v>
      </c>
      <c r="U65" s="1">
        <v>4.0</v>
      </c>
      <c r="V65" s="5" t="s">
        <v>540</v>
      </c>
      <c r="W65" s="5">
        <v>1.0</v>
      </c>
      <c r="X65" s="5">
        <v>0.0</v>
      </c>
      <c r="Y65" s="5" t="s">
        <v>116</v>
      </c>
      <c r="Z65" s="24">
        <v>0.0</v>
      </c>
      <c r="AA65" s="25">
        <v>4.0</v>
      </c>
      <c r="AB65" s="25">
        <v>5.0</v>
      </c>
      <c r="AC65" s="15"/>
      <c r="AD65" s="38"/>
      <c r="AE65" s="26">
        <v>1.2</v>
      </c>
      <c r="AF65" s="26" t="str">
        <f t="shared" si="3"/>
        <v/>
      </c>
      <c r="AG65" s="16" t="str">
        <f t="shared" si="4"/>
        <v>Verify</v>
      </c>
      <c r="AH65" s="15" t="str">
        <f t="shared" si="5"/>
        <v>No</v>
      </c>
      <c r="AI65" s="32">
        <v>0.1</v>
      </c>
      <c r="AJ65" s="16" t="s">
        <v>230</v>
      </c>
      <c r="AK65" s="15"/>
      <c r="AL65" s="15"/>
      <c r="AM65" s="15"/>
      <c r="AN65" s="9"/>
      <c r="AO65" s="9">
        <f t="shared" si="6"/>
        <v>100</v>
      </c>
      <c r="AP65" s="9" t="str">
        <f t="shared" si="7"/>
        <v/>
      </c>
      <c r="AQ65" s="9">
        <f t="shared" si="8"/>
        <v>14.2</v>
      </c>
      <c r="AR65" s="9" t="str">
        <f t="shared" si="9"/>
        <v/>
      </c>
      <c r="AS65" s="16" t="s">
        <v>302</v>
      </c>
      <c r="AT65" s="15"/>
      <c r="AU65" s="15"/>
    </row>
    <row r="66" ht="15.75" customHeight="1">
      <c r="A66" s="15">
        <f t="shared" si="1"/>
        <v>4</v>
      </c>
      <c r="B66" s="15" t="str">
        <f t="shared" si="2"/>
        <v>Tier 1</v>
      </c>
      <c r="C66" s="15"/>
      <c r="D66" s="16" t="s">
        <v>141</v>
      </c>
      <c r="E66" s="15"/>
      <c r="F66" s="12" t="s">
        <v>1451</v>
      </c>
      <c r="G66" s="11" t="s">
        <v>1452</v>
      </c>
      <c r="H66" s="12" t="s">
        <v>1113</v>
      </c>
      <c r="I66" s="13" t="s">
        <v>101</v>
      </c>
      <c r="J66" s="17" t="s">
        <v>169</v>
      </c>
      <c r="K66" s="18">
        <v>519.0</v>
      </c>
      <c r="L66" s="18">
        <v>826.0</v>
      </c>
      <c r="M66" s="18">
        <v>679.4</v>
      </c>
      <c r="N66" s="19">
        <v>1.07</v>
      </c>
      <c r="O66" s="20">
        <v>70.0</v>
      </c>
      <c r="P66" s="21">
        <v>114.0</v>
      </c>
      <c r="Q66" s="5">
        <v>8.7</v>
      </c>
      <c r="R66" s="22">
        <v>38007.0</v>
      </c>
      <c r="S66" s="5">
        <v>39.28093442</v>
      </c>
      <c r="T66" s="5">
        <v>-80.35147292</v>
      </c>
      <c r="U66" s="1">
        <v>4.0</v>
      </c>
      <c r="V66" s="5" t="s">
        <v>540</v>
      </c>
      <c r="W66" s="5">
        <v>1.0</v>
      </c>
      <c r="X66" s="5">
        <v>0.0</v>
      </c>
      <c r="Y66" s="5" t="s">
        <v>116</v>
      </c>
      <c r="Z66" s="24">
        <v>0.0</v>
      </c>
      <c r="AA66" s="25">
        <v>2.0</v>
      </c>
      <c r="AB66" s="25">
        <v>4.0</v>
      </c>
      <c r="AC66" s="16" t="s">
        <v>1454</v>
      </c>
      <c r="AD66" s="26">
        <v>0.89</v>
      </c>
      <c r="AE66" s="26">
        <v>1.2</v>
      </c>
      <c r="AF66" s="26">
        <f t="shared" si="3"/>
        <v>0</v>
      </c>
      <c r="AG66" s="16" t="str">
        <f t="shared" si="4"/>
        <v>No</v>
      </c>
      <c r="AH66" s="15" t="str">
        <f t="shared" si="5"/>
        <v>No</v>
      </c>
      <c r="AI66" s="32">
        <v>0.9</v>
      </c>
      <c r="AJ66" s="16" t="s">
        <v>230</v>
      </c>
      <c r="AK66" s="15"/>
      <c r="AL66" s="15"/>
      <c r="AM66" s="15"/>
      <c r="AN66" s="9"/>
      <c r="AO66" s="9">
        <f t="shared" si="6"/>
        <v>100</v>
      </c>
      <c r="AP66" s="9">
        <f t="shared" si="7"/>
        <v>26.7</v>
      </c>
      <c r="AQ66" s="9">
        <f t="shared" si="8"/>
        <v>17.1</v>
      </c>
      <c r="AR66" s="9">
        <f t="shared" si="9"/>
        <v>49</v>
      </c>
      <c r="AS66" s="16" t="s">
        <v>230</v>
      </c>
      <c r="AT66" s="15"/>
      <c r="AU66" s="15"/>
    </row>
    <row r="67" ht="15.75" customHeight="1">
      <c r="A67" s="15" t="str">
        <f t="shared" si="1"/>
        <v/>
      </c>
      <c r="B67" s="15" t="str">
        <f t="shared" si="2"/>
        <v/>
      </c>
      <c r="C67" s="15"/>
      <c r="D67" s="16" t="s">
        <v>420</v>
      </c>
      <c r="E67" s="16" t="s">
        <v>230</v>
      </c>
      <c r="F67" s="12" t="s">
        <v>1458</v>
      </c>
      <c r="G67" s="11" t="s">
        <v>1459</v>
      </c>
      <c r="H67" s="12">
        <v>26301.0</v>
      </c>
      <c r="I67" s="13" t="s">
        <v>101</v>
      </c>
      <c r="J67" s="17" t="s">
        <v>169</v>
      </c>
      <c r="K67" s="18">
        <v>519.0</v>
      </c>
      <c r="L67" s="18">
        <v>826.0</v>
      </c>
      <c r="M67" s="18">
        <v>679.4</v>
      </c>
      <c r="N67" s="19">
        <v>2.42</v>
      </c>
      <c r="O67" s="20">
        <v>70.0</v>
      </c>
      <c r="P67" s="21">
        <v>0.0</v>
      </c>
      <c r="Q67" s="5">
        <v>8.7</v>
      </c>
      <c r="R67" s="22">
        <v>38007.0</v>
      </c>
      <c r="S67" s="5">
        <v>39.290145</v>
      </c>
      <c r="T67" s="5">
        <v>-80.39185071</v>
      </c>
      <c r="U67" s="1">
        <v>4.0</v>
      </c>
      <c r="V67" s="5" t="s">
        <v>540</v>
      </c>
      <c r="W67" s="5">
        <v>1.0</v>
      </c>
      <c r="X67" s="5">
        <v>0.0</v>
      </c>
      <c r="Y67" s="5" t="s">
        <v>116</v>
      </c>
      <c r="Z67" s="24">
        <v>0.0</v>
      </c>
      <c r="AA67" s="37"/>
      <c r="AB67" s="37"/>
      <c r="AC67" s="16" t="s">
        <v>1454</v>
      </c>
      <c r="AD67" s="26">
        <v>1.72</v>
      </c>
      <c r="AE67" s="26">
        <v>1.1</v>
      </c>
      <c r="AF67" s="26">
        <f t="shared" si="3"/>
        <v>0.62</v>
      </c>
      <c r="AG67" s="16" t="str">
        <f t="shared" si="4"/>
        <v>No</v>
      </c>
      <c r="AH67" s="15" t="str">
        <f t="shared" si="5"/>
        <v>Verify</v>
      </c>
      <c r="AI67" s="32">
        <v>1.7</v>
      </c>
      <c r="AJ67" s="16" t="s">
        <v>230</v>
      </c>
      <c r="AK67" s="15"/>
      <c r="AL67" s="15"/>
      <c r="AM67" s="15"/>
      <c r="AN67" s="9"/>
      <c r="AO67" s="9">
        <f t="shared" si="6"/>
        <v>100</v>
      </c>
      <c r="AP67" s="9" t="str">
        <f t="shared" si="7"/>
        <v/>
      </c>
      <c r="AQ67" s="9">
        <f t="shared" si="8"/>
        <v>13.5</v>
      </c>
      <c r="AR67" s="9" t="str">
        <f t="shared" si="9"/>
        <v/>
      </c>
      <c r="AS67" s="16" t="s">
        <v>302</v>
      </c>
      <c r="AT67" s="15"/>
      <c r="AU67" s="15"/>
    </row>
    <row r="68" ht="15.75" customHeight="1">
      <c r="A68" s="15" t="str">
        <f t="shared" si="1"/>
        <v/>
      </c>
      <c r="B68" s="15" t="str">
        <f t="shared" si="2"/>
        <v/>
      </c>
      <c r="C68" s="15"/>
      <c r="D68" s="16" t="s">
        <v>141</v>
      </c>
      <c r="E68" s="15"/>
      <c r="F68" s="12" t="s">
        <v>1463</v>
      </c>
      <c r="G68" s="11" t="s">
        <v>1464</v>
      </c>
      <c r="H68" s="12" t="s">
        <v>1126</v>
      </c>
      <c r="I68" s="13" t="s">
        <v>101</v>
      </c>
      <c r="J68" s="17" t="s">
        <v>169</v>
      </c>
      <c r="K68" s="18">
        <v>519.0</v>
      </c>
      <c r="L68" s="18">
        <v>826.0</v>
      </c>
      <c r="M68" s="18">
        <v>679.4</v>
      </c>
      <c r="N68" s="19">
        <v>0.5</v>
      </c>
      <c r="O68" s="20">
        <v>70.0</v>
      </c>
      <c r="P68" s="21">
        <v>0.0</v>
      </c>
      <c r="Q68" s="5">
        <v>8.7</v>
      </c>
      <c r="R68" s="22">
        <v>38007.0</v>
      </c>
      <c r="S68" s="5">
        <v>39.305968</v>
      </c>
      <c r="T68" s="5">
        <v>-80.35358401</v>
      </c>
      <c r="U68" s="1">
        <v>4.0</v>
      </c>
      <c r="V68" s="5" t="s">
        <v>540</v>
      </c>
      <c r="W68" s="5">
        <v>1.0</v>
      </c>
      <c r="X68" s="5">
        <v>0.0</v>
      </c>
      <c r="Y68" s="5" t="s">
        <v>116</v>
      </c>
      <c r="Z68" s="24">
        <v>0.0</v>
      </c>
      <c r="AA68" s="25">
        <v>0.0</v>
      </c>
      <c r="AB68" s="25">
        <v>0.0</v>
      </c>
      <c r="AC68" s="15"/>
      <c r="AD68" s="38"/>
      <c r="AE68" s="26">
        <v>1.7</v>
      </c>
      <c r="AF68" s="26" t="str">
        <f t="shared" si="3"/>
        <v/>
      </c>
      <c r="AG68" s="16" t="str">
        <f t="shared" si="4"/>
        <v>Verify</v>
      </c>
      <c r="AH68" s="15" t="str">
        <f t="shared" si="5"/>
        <v>Yes</v>
      </c>
      <c r="AI68" s="32">
        <v>1.0</v>
      </c>
      <c r="AJ68" s="16" t="s">
        <v>230</v>
      </c>
      <c r="AK68" s="15"/>
      <c r="AL68" s="15"/>
      <c r="AM68" s="15"/>
      <c r="AN68" s="9"/>
      <c r="AO68" s="9">
        <f t="shared" si="6"/>
        <v>100</v>
      </c>
      <c r="AP68" s="9" t="str">
        <f t="shared" si="7"/>
        <v/>
      </c>
      <c r="AQ68" s="9">
        <f t="shared" si="8"/>
        <v>13.5</v>
      </c>
      <c r="AR68" s="9" t="str">
        <f t="shared" si="9"/>
        <v/>
      </c>
      <c r="AS68" s="16" t="s">
        <v>302</v>
      </c>
      <c r="AT68" s="15"/>
      <c r="AU68" s="15"/>
    </row>
    <row r="69" ht="15.75" customHeight="1">
      <c r="A69" s="15" t="str">
        <f t="shared" si="1"/>
        <v/>
      </c>
      <c r="B69" s="15" t="str">
        <f t="shared" si="2"/>
        <v/>
      </c>
      <c r="C69" s="15"/>
      <c r="D69" s="16" t="s">
        <v>141</v>
      </c>
      <c r="E69" s="15"/>
      <c r="F69" s="12" t="s">
        <v>1468</v>
      </c>
      <c r="G69" s="11" t="s">
        <v>1469</v>
      </c>
      <c r="H69" s="12" t="s">
        <v>1128</v>
      </c>
      <c r="I69" s="13" t="s">
        <v>906</v>
      </c>
      <c r="J69" s="17" t="s">
        <v>331</v>
      </c>
      <c r="K69" s="18">
        <v>40.0</v>
      </c>
      <c r="L69" s="18">
        <v>56.0</v>
      </c>
      <c r="M69" s="18">
        <v>46.0</v>
      </c>
      <c r="N69" s="19">
        <v>1.02</v>
      </c>
      <c r="O69" s="20">
        <v>0.0</v>
      </c>
      <c r="P69" s="21">
        <v>0.0</v>
      </c>
      <c r="Q69" s="5">
        <v>0.0</v>
      </c>
      <c r="R69" s="35"/>
      <c r="S69" s="5">
        <v>38.46036969</v>
      </c>
      <c r="T69" s="5">
        <v>-81.08475337</v>
      </c>
      <c r="U69" s="1">
        <v>10.0</v>
      </c>
      <c r="V69" s="5" t="s">
        <v>342</v>
      </c>
      <c r="W69" s="5">
        <v>3.0</v>
      </c>
      <c r="X69" s="5">
        <v>0.0</v>
      </c>
      <c r="Y69" s="5" t="s">
        <v>116</v>
      </c>
      <c r="Z69" s="24">
        <v>0.0</v>
      </c>
      <c r="AA69" s="25">
        <v>0.0</v>
      </c>
      <c r="AB69" s="25">
        <v>0.0</v>
      </c>
      <c r="AC69" s="16" t="s">
        <v>1476</v>
      </c>
      <c r="AD69" s="26">
        <v>5.93</v>
      </c>
      <c r="AE69" s="26">
        <v>5.0</v>
      </c>
      <c r="AF69" s="26">
        <f t="shared" si="3"/>
        <v>0.93</v>
      </c>
      <c r="AG69" s="16" t="str">
        <f t="shared" si="4"/>
        <v>No</v>
      </c>
      <c r="AH69" s="15" t="str">
        <f t="shared" si="5"/>
        <v>Yes</v>
      </c>
      <c r="AI69" s="32">
        <v>13.5</v>
      </c>
      <c r="AJ69" s="16" t="s">
        <v>230</v>
      </c>
      <c r="AK69" s="15"/>
      <c r="AL69" s="15"/>
      <c r="AM69" s="15"/>
      <c r="AN69" s="9"/>
      <c r="AO69" s="9">
        <f t="shared" si="6"/>
        <v>7.7</v>
      </c>
      <c r="AP69" s="9">
        <f t="shared" si="7"/>
        <v>57.8</v>
      </c>
      <c r="AQ69" s="9" t="str">
        <f t="shared" si="8"/>
        <v/>
      </c>
      <c r="AR69" s="9" t="str">
        <f t="shared" si="9"/>
        <v/>
      </c>
      <c r="AS69" s="16" t="s">
        <v>302</v>
      </c>
      <c r="AT69" s="15"/>
      <c r="AU69" s="15"/>
    </row>
    <row r="70" ht="15.75" customHeight="1">
      <c r="A70" s="15">
        <f t="shared" si="1"/>
        <v>7</v>
      </c>
      <c r="B70" s="15" t="str">
        <f t="shared" si="2"/>
        <v>Tier 1</v>
      </c>
      <c r="C70" s="15"/>
      <c r="D70" s="16" t="s">
        <v>141</v>
      </c>
      <c r="E70" s="15"/>
      <c r="F70" s="12" t="s">
        <v>1480</v>
      </c>
      <c r="G70" s="11" t="s">
        <v>1481</v>
      </c>
      <c r="H70" s="12" t="s">
        <v>1132</v>
      </c>
      <c r="I70" s="13" t="s">
        <v>128</v>
      </c>
      <c r="J70" s="17" t="s">
        <v>715</v>
      </c>
      <c r="K70" s="18">
        <v>67.0</v>
      </c>
      <c r="L70" s="18">
        <v>100.0</v>
      </c>
      <c r="M70" s="18">
        <v>228.0</v>
      </c>
      <c r="N70" s="19">
        <v>0.55</v>
      </c>
      <c r="O70" s="20">
        <v>437.0</v>
      </c>
      <c r="P70" s="21">
        <v>87.0</v>
      </c>
      <c r="Q70" s="5">
        <v>41.7</v>
      </c>
      <c r="R70" s="22">
        <v>42837.0</v>
      </c>
      <c r="S70" s="5">
        <v>38.48825057</v>
      </c>
      <c r="T70" s="5">
        <v>-81.34981275</v>
      </c>
      <c r="U70" s="1">
        <v>2.0</v>
      </c>
      <c r="V70" s="5" t="s">
        <v>180</v>
      </c>
      <c r="W70" s="5">
        <v>0.0</v>
      </c>
      <c r="X70" s="5">
        <v>0.0</v>
      </c>
      <c r="Y70" s="5" t="s">
        <v>116</v>
      </c>
      <c r="Z70" s="24">
        <v>0.0</v>
      </c>
      <c r="AA70" s="25">
        <v>0.0</v>
      </c>
      <c r="AB70" s="25">
        <v>0.0</v>
      </c>
      <c r="AC70" s="16" t="s">
        <v>1484</v>
      </c>
      <c r="AD70" s="26">
        <v>11.68</v>
      </c>
      <c r="AE70" s="26">
        <v>3.0</v>
      </c>
      <c r="AF70" s="26">
        <f t="shared" si="3"/>
        <v>8.68</v>
      </c>
      <c r="AG70" s="16" t="str">
        <f t="shared" si="4"/>
        <v>Yes</v>
      </c>
      <c r="AH70" s="15" t="str">
        <f t="shared" si="5"/>
        <v>Yes</v>
      </c>
      <c r="AI70" s="32">
        <v>0.2</v>
      </c>
      <c r="AJ70" s="16" t="s">
        <v>230</v>
      </c>
      <c r="AK70" s="15"/>
      <c r="AL70" s="15"/>
      <c r="AM70" s="15"/>
      <c r="AN70" s="9"/>
      <c r="AO70" s="9">
        <f t="shared" si="6"/>
        <v>12.9</v>
      </c>
      <c r="AP70" s="9">
        <f t="shared" si="7"/>
        <v>75</v>
      </c>
      <c r="AQ70" s="9">
        <f t="shared" si="8"/>
        <v>25.4</v>
      </c>
      <c r="AR70" s="9">
        <f t="shared" si="9"/>
        <v>43.3</v>
      </c>
      <c r="AS70" s="16" t="s">
        <v>230</v>
      </c>
      <c r="AT70" s="15"/>
      <c r="AU70" s="15"/>
    </row>
    <row r="71" ht="15.75" customHeight="1">
      <c r="A71" s="15">
        <f t="shared" si="1"/>
        <v>49</v>
      </c>
      <c r="B71" s="15" t="str">
        <f t="shared" si="2"/>
        <v>Tier 2</v>
      </c>
      <c r="C71" s="15"/>
      <c r="D71" s="16" t="s">
        <v>141</v>
      </c>
      <c r="E71" s="15"/>
      <c r="F71" s="12" t="s">
        <v>1487</v>
      </c>
      <c r="G71" s="11" t="s">
        <v>1488</v>
      </c>
      <c r="H71" s="12" t="s">
        <v>1136</v>
      </c>
      <c r="I71" s="13" t="s">
        <v>225</v>
      </c>
      <c r="J71" s="17" t="s">
        <v>392</v>
      </c>
      <c r="K71" s="18">
        <v>42.0</v>
      </c>
      <c r="L71" s="18">
        <v>72.0</v>
      </c>
      <c r="M71" s="18">
        <v>26.9</v>
      </c>
      <c r="N71" s="19">
        <v>1.86</v>
      </c>
      <c r="O71" s="20">
        <v>207.0</v>
      </c>
      <c r="P71" s="21">
        <v>131.0</v>
      </c>
      <c r="Q71" s="5">
        <v>6.9</v>
      </c>
      <c r="R71" s="22">
        <v>56324.0</v>
      </c>
      <c r="S71" s="5">
        <v>37.68326735</v>
      </c>
      <c r="T71" s="5">
        <v>-81.21065041</v>
      </c>
      <c r="U71" s="1">
        <v>2.0</v>
      </c>
      <c r="V71" s="5" t="s">
        <v>180</v>
      </c>
      <c r="W71" s="5">
        <v>0.0</v>
      </c>
      <c r="X71" s="5">
        <v>0.0</v>
      </c>
      <c r="Y71" s="5" t="s">
        <v>116</v>
      </c>
      <c r="Z71" s="24">
        <v>0.0</v>
      </c>
      <c r="AA71" s="25">
        <v>1.0</v>
      </c>
      <c r="AB71" s="25">
        <v>2.0</v>
      </c>
      <c r="AC71" s="16" t="s">
        <v>821</v>
      </c>
      <c r="AD71" s="26">
        <v>6.29</v>
      </c>
      <c r="AE71" s="26">
        <v>1.9</v>
      </c>
      <c r="AF71" s="26">
        <f t="shared" si="3"/>
        <v>4.39</v>
      </c>
      <c r="AG71" s="16" t="str">
        <f t="shared" si="4"/>
        <v>No</v>
      </c>
      <c r="AH71" s="15" t="str">
        <f t="shared" si="5"/>
        <v>No</v>
      </c>
      <c r="AI71" s="32">
        <v>3.4</v>
      </c>
      <c r="AJ71" s="16" t="s">
        <v>302</v>
      </c>
      <c r="AK71" s="15"/>
      <c r="AL71" s="15"/>
      <c r="AM71" s="15"/>
      <c r="AN71" s="9"/>
      <c r="AO71" s="9">
        <f t="shared" si="6"/>
        <v>8.1</v>
      </c>
      <c r="AP71" s="9">
        <f t="shared" si="7"/>
        <v>50.9</v>
      </c>
      <c r="AQ71" s="9">
        <f t="shared" si="8"/>
        <v>16.8</v>
      </c>
      <c r="AR71" s="9">
        <f t="shared" si="9"/>
        <v>29.1</v>
      </c>
      <c r="AS71" s="16" t="s">
        <v>302</v>
      </c>
      <c r="AT71" s="15"/>
      <c r="AU71" s="15"/>
    </row>
    <row r="72" ht="15.75" customHeight="1">
      <c r="A72" s="15">
        <f t="shared" si="1"/>
        <v>55</v>
      </c>
      <c r="B72" s="15" t="str">
        <f t="shared" si="2"/>
        <v>Tier 3</v>
      </c>
      <c r="C72" s="15"/>
      <c r="D72" s="16" t="s">
        <v>141</v>
      </c>
      <c r="E72" s="15"/>
      <c r="F72" s="12" t="s">
        <v>1493</v>
      </c>
      <c r="G72" s="11" t="s">
        <v>1494</v>
      </c>
      <c r="H72" s="12" t="s">
        <v>1140</v>
      </c>
      <c r="I72" s="13" t="s">
        <v>225</v>
      </c>
      <c r="J72" s="17" t="s">
        <v>392</v>
      </c>
      <c r="K72" s="18">
        <v>17.0</v>
      </c>
      <c r="L72" s="18">
        <v>25.0</v>
      </c>
      <c r="M72" s="18">
        <v>29.2</v>
      </c>
      <c r="N72" s="19">
        <v>0.45</v>
      </c>
      <c r="O72" s="20">
        <v>524.0</v>
      </c>
      <c r="P72" s="21">
        <v>104.0</v>
      </c>
      <c r="Q72" s="5">
        <v>34.9</v>
      </c>
      <c r="R72" s="22">
        <v>49428.0</v>
      </c>
      <c r="S72" s="5">
        <v>37.65805994</v>
      </c>
      <c r="T72" s="5">
        <v>-81.0957474</v>
      </c>
      <c r="U72" s="1">
        <v>2.0</v>
      </c>
      <c r="V72" s="5" t="s">
        <v>180</v>
      </c>
      <c r="W72" s="5">
        <v>0.0</v>
      </c>
      <c r="X72" s="5">
        <v>0.0</v>
      </c>
      <c r="Y72" s="5" t="s">
        <v>116</v>
      </c>
      <c r="Z72" s="24">
        <v>0.0</v>
      </c>
      <c r="AA72" s="25">
        <v>1.0</v>
      </c>
      <c r="AB72" s="25">
        <v>2.0</v>
      </c>
      <c r="AC72" s="16" t="s">
        <v>1497</v>
      </c>
      <c r="AD72" s="26">
        <v>4.88</v>
      </c>
      <c r="AE72" s="26">
        <v>1.2</v>
      </c>
      <c r="AF72" s="26">
        <f t="shared" si="3"/>
        <v>3.68</v>
      </c>
      <c r="AG72" s="16" t="str">
        <f t="shared" si="4"/>
        <v>No</v>
      </c>
      <c r="AH72" s="15" t="str">
        <f t="shared" si="5"/>
        <v>No</v>
      </c>
      <c r="AI72" s="32">
        <v>4.9</v>
      </c>
      <c r="AJ72" s="16" t="s">
        <v>230</v>
      </c>
      <c r="AK72" s="15"/>
      <c r="AL72" s="15"/>
      <c r="AM72" s="15"/>
      <c r="AN72" s="9"/>
      <c r="AO72" s="9">
        <f t="shared" si="6"/>
        <v>3.3</v>
      </c>
      <c r="AP72" s="9">
        <f t="shared" si="7"/>
        <v>46.6</v>
      </c>
      <c r="AQ72" s="9">
        <f t="shared" si="8"/>
        <v>25.3</v>
      </c>
      <c r="AR72" s="9">
        <f t="shared" si="9"/>
        <v>27.4</v>
      </c>
      <c r="AS72" s="16" t="s">
        <v>556</v>
      </c>
      <c r="AT72" s="15"/>
      <c r="AU72" s="15"/>
    </row>
    <row r="73" ht="15.75" customHeight="1">
      <c r="A73" s="15" t="str">
        <f t="shared" si="1"/>
        <v/>
      </c>
      <c r="B73" s="15" t="str">
        <f t="shared" si="2"/>
        <v/>
      </c>
      <c r="C73" s="15"/>
      <c r="D73" s="16" t="s">
        <v>141</v>
      </c>
      <c r="E73" s="15"/>
      <c r="F73" s="12" t="s">
        <v>1498</v>
      </c>
      <c r="G73" s="11" t="s">
        <v>1499</v>
      </c>
      <c r="H73" s="12">
        <v>26206.0</v>
      </c>
      <c r="I73" s="13" t="s">
        <v>1034</v>
      </c>
      <c r="J73" s="17" t="s">
        <v>331</v>
      </c>
      <c r="K73" s="18">
        <v>60.0</v>
      </c>
      <c r="L73" s="18">
        <v>98.0</v>
      </c>
      <c r="M73" s="18">
        <v>93.5</v>
      </c>
      <c r="N73" s="19">
        <v>0.45</v>
      </c>
      <c r="O73" s="20">
        <v>0.0</v>
      </c>
      <c r="P73" s="21">
        <v>9.0</v>
      </c>
      <c r="Q73" s="5">
        <v>0.0</v>
      </c>
      <c r="R73" s="35"/>
      <c r="S73" s="5">
        <v>38.40682168</v>
      </c>
      <c r="T73" s="5">
        <v>-80.56024685</v>
      </c>
      <c r="U73" s="1">
        <v>10.0</v>
      </c>
      <c r="V73" s="5" t="s">
        <v>342</v>
      </c>
      <c r="W73" s="5">
        <v>3.0</v>
      </c>
      <c r="X73" s="5">
        <v>0.0</v>
      </c>
      <c r="Y73" s="5" t="s">
        <v>116</v>
      </c>
      <c r="Z73" s="24">
        <v>0.0</v>
      </c>
      <c r="AA73" s="37"/>
      <c r="AB73" s="37"/>
      <c r="AC73" s="16" t="s">
        <v>1500</v>
      </c>
      <c r="AD73" s="26">
        <v>0.15</v>
      </c>
      <c r="AE73" s="26">
        <v>10.0</v>
      </c>
      <c r="AF73" s="26">
        <f t="shared" si="3"/>
        <v>0</v>
      </c>
      <c r="AG73" s="16" t="str">
        <f t="shared" si="4"/>
        <v>No</v>
      </c>
      <c r="AH73" s="15" t="str">
        <f t="shared" si="5"/>
        <v>Verify</v>
      </c>
      <c r="AI73" s="32">
        <v>0.2</v>
      </c>
      <c r="AJ73" s="16" t="s">
        <v>230</v>
      </c>
      <c r="AK73" s="15"/>
      <c r="AL73" s="15"/>
      <c r="AM73" s="15"/>
      <c r="AN73" s="9"/>
      <c r="AO73" s="9">
        <f t="shared" si="6"/>
        <v>11.6</v>
      </c>
      <c r="AP73" s="9" t="str">
        <f t="shared" si="7"/>
        <v/>
      </c>
      <c r="AQ73" s="9" t="str">
        <f t="shared" si="8"/>
        <v/>
      </c>
      <c r="AR73" s="9" t="str">
        <f t="shared" si="9"/>
        <v/>
      </c>
      <c r="AS73" s="16" t="s">
        <v>302</v>
      </c>
      <c r="AT73" s="15"/>
      <c r="AU73" s="15"/>
    </row>
    <row r="74" ht="15.75" customHeight="1">
      <c r="A74" s="15" t="str">
        <f t="shared" si="1"/>
        <v/>
      </c>
      <c r="B74" s="15" t="str">
        <f t="shared" si="2"/>
        <v/>
      </c>
      <c r="C74" s="15"/>
      <c r="D74" s="16" t="s">
        <v>141</v>
      </c>
      <c r="E74" s="15"/>
      <c r="F74" s="12" t="s">
        <v>1501</v>
      </c>
      <c r="G74" s="11" t="s">
        <v>1502</v>
      </c>
      <c r="H74" s="12">
        <v>26205.0</v>
      </c>
      <c r="I74" s="13" t="s">
        <v>198</v>
      </c>
      <c r="J74" s="17" t="s">
        <v>331</v>
      </c>
      <c r="K74" s="18">
        <v>64.0</v>
      </c>
      <c r="L74" s="18">
        <v>105.0</v>
      </c>
      <c r="M74" s="18">
        <v>24.4</v>
      </c>
      <c r="N74" s="19">
        <v>0.56</v>
      </c>
      <c r="O74" s="20">
        <v>0.0</v>
      </c>
      <c r="P74" s="21">
        <v>0.0</v>
      </c>
      <c r="Q74" s="5">
        <v>0.0</v>
      </c>
      <c r="R74" s="22">
        <v>33684.0</v>
      </c>
      <c r="S74" s="5">
        <v>38.33553402</v>
      </c>
      <c r="T74" s="5">
        <v>-80.63742306</v>
      </c>
      <c r="U74" s="1">
        <v>10.0</v>
      </c>
      <c r="V74" s="5" t="s">
        <v>342</v>
      </c>
      <c r="W74" s="5">
        <v>3.0</v>
      </c>
      <c r="X74" s="5">
        <v>0.0</v>
      </c>
      <c r="Y74" s="5" t="s">
        <v>116</v>
      </c>
      <c r="Z74" s="24">
        <v>0.0</v>
      </c>
      <c r="AA74" s="37"/>
      <c r="AB74" s="37"/>
      <c r="AC74" s="15"/>
      <c r="AD74" s="38"/>
      <c r="AE74" s="26">
        <v>1.0</v>
      </c>
      <c r="AF74" s="26" t="str">
        <f t="shared" si="3"/>
        <v/>
      </c>
      <c r="AG74" s="16" t="str">
        <f t="shared" si="4"/>
        <v>Verify</v>
      </c>
      <c r="AH74" s="15" t="str">
        <f t="shared" si="5"/>
        <v>Verify</v>
      </c>
      <c r="AI74" s="32">
        <v>0.1</v>
      </c>
      <c r="AJ74" s="16" t="s">
        <v>230</v>
      </c>
      <c r="AK74" s="15"/>
      <c r="AL74" s="15"/>
      <c r="AM74" s="15"/>
      <c r="AN74" s="9"/>
      <c r="AO74" s="9">
        <f t="shared" si="6"/>
        <v>12.3</v>
      </c>
      <c r="AP74" s="9" t="str">
        <f t="shared" si="7"/>
        <v/>
      </c>
      <c r="AQ74" s="9">
        <f t="shared" si="8"/>
        <v>11.9</v>
      </c>
      <c r="AR74" s="9" t="str">
        <f t="shared" si="9"/>
        <v/>
      </c>
      <c r="AS74" s="16" t="s">
        <v>302</v>
      </c>
      <c r="AT74" s="15"/>
      <c r="AU74" s="15"/>
    </row>
    <row r="75" ht="15.75" customHeight="1">
      <c r="A75" s="15" t="str">
        <f t="shared" si="1"/>
        <v/>
      </c>
      <c r="B75" s="15" t="str">
        <f t="shared" si="2"/>
        <v/>
      </c>
      <c r="C75" s="15"/>
      <c r="D75" s="16" t="s">
        <v>141</v>
      </c>
      <c r="E75" s="15"/>
      <c r="F75" s="12" t="s">
        <v>1503</v>
      </c>
      <c r="G75" s="11" t="s">
        <v>1504</v>
      </c>
      <c r="H75" s="12" t="s">
        <v>1166</v>
      </c>
      <c r="I75" s="13" t="s">
        <v>198</v>
      </c>
      <c r="J75" s="17" t="s">
        <v>331</v>
      </c>
      <c r="K75" s="18">
        <v>64.0</v>
      </c>
      <c r="L75" s="18">
        <v>105.0</v>
      </c>
      <c r="M75" s="18">
        <v>24.4</v>
      </c>
      <c r="N75" s="19">
        <v>0.45</v>
      </c>
      <c r="O75" s="20">
        <v>0.0</v>
      </c>
      <c r="P75" s="21">
        <v>15.0</v>
      </c>
      <c r="Q75" s="5">
        <v>0.0</v>
      </c>
      <c r="R75" s="22">
        <v>33684.0</v>
      </c>
      <c r="S75" s="5">
        <v>38.33447035</v>
      </c>
      <c r="T75" s="5">
        <v>-80.63837107</v>
      </c>
      <c r="U75" s="1">
        <v>10.0</v>
      </c>
      <c r="V75" s="5" t="s">
        <v>342</v>
      </c>
      <c r="W75" s="5">
        <v>3.0</v>
      </c>
      <c r="X75" s="5">
        <v>0.0</v>
      </c>
      <c r="Y75" s="5" t="s">
        <v>116</v>
      </c>
      <c r="Z75" s="24">
        <v>0.0</v>
      </c>
      <c r="AA75" s="37"/>
      <c r="AB75" s="37"/>
      <c r="AC75" s="15"/>
      <c r="AD75" s="38"/>
      <c r="AE75" s="26">
        <v>1.0</v>
      </c>
      <c r="AF75" s="26" t="str">
        <f t="shared" si="3"/>
        <v/>
      </c>
      <c r="AG75" s="16" t="str">
        <f t="shared" si="4"/>
        <v>Verify</v>
      </c>
      <c r="AH75" s="15" t="str">
        <f t="shared" si="5"/>
        <v>Verify</v>
      </c>
      <c r="AI75" s="32">
        <v>0.0</v>
      </c>
      <c r="AJ75" s="16" t="s">
        <v>230</v>
      </c>
      <c r="AK75" s="15"/>
      <c r="AL75" s="15"/>
      <c r="AM75" s="15"/>
      <c r="AN75" s="9"/>
      <c r="AO75" s="9">
        <f t="shared" si="6"/>
        <v>12.3</v>
      </c>
      <c r="AP75" s="9" t="str">
        <f t="shared" si="7"/>
        <v/>
      </c>
      <c r="AQ75" s="9">
        <f t="shared" si="8"/>
        <v>12.3</v>
      </c>
      <c r="AR75" s="9" t="str">
        <f t="shared" si="9"/>
        <v/>
      </c>
      <c r="AS75" s="16" t="s">
        <v>302</v>
      </c>
      <c r="AT75" s="15"/>
      <c r="AU75" s="15"/>
    </row>
    <row r="76" ht="15.75" customHeight="1">
      <c r="A76" s="15" t="str">
        <f t="shared" si="1"/>
        <v/>
      </c>
      <c r="B76" s="15" t="str">
        <f t="shared" si="2"/>
        <v/>
      </c>
      <c r="C76" s="15"/>
      <c r="D76" s="16" t="s">
        <v>141</v>
      </c>
      <c r="E76" s="15"/>
      <c r="F76" s="12" t="s">
        <v>1505</v>
      </c>
      <c r="G76" s="11" t="s">
        <v>1506</v>
      </c>
      <c r="H76" s="12" t="s">
        <v>1172</v>
      </c>
      <c r="I76" s="13" t="s">
        <v>59</v>
      </c>
      <c r="J76" s="17" t="s">
        <v>715</v>
      </c>
      <c r="K76" s="18">
        <v>73.0</v>
      </c>
      <c r="L76" s="18">
        <v>109.0</v>
      </c>
      <c r="M76" s="18">
        <v>95.8</v>
      </c>
      <c r="N76" s="19">
        <v>0.56</v>
      </c>
      <c r="O76" s="20">
        <v>418.0</v>
      </c>
      <c r="P76" s="21">
        <v>15.0</v>
      </c>
      <c r="Q76" s="5">
        <v>32.6</v>
      </c>
      <c r="R76" s="22">
        <v>46390.0</v>
      </c>
      <c r="S76" s="5">
        <v>38.41901999</v>
      </c>
      <c r="T76" s="5">
        <v>-82.07697497</v>
      </c>
      <c r="U76" s="1">
        <v>1.0</v>
      </c>
      <c r="V76" s="5" t="s">
        <v>180</v>
      </c>
      <c r="W76" s="5">
        <v>0.0</v>
      </c>
      <c r="X76" s="5">
        <v>0.0</v>
      </c>
      <c r="Y76" s="5" t="s">
        <v>116</v>
      </c>
      <c r="Z76" s="24">
        <v>0.0</v>
      </c>
      <c r="AA76" s="37"/>
      <c r="AB76" s="37"/>
      <c r="AC76" s="15"/>
      <c r="AD76" s="38"/>
      <c r="AE76" s="26">
        <v>2.6</v>
      </c>
      <c r="AF76" s="26" t="str">
        <f t="shared" si="3"/>
        <v/>
      </c>
      <c r="AG76" s="16" t="str">
        <f t="shared" si="4"/>
        <v>Verify</v>
      </c>
      <c r="AH76" s="15" t="str">
        <f t="shared" si="5"/>
        <v>Verify</v>
      </c>
      <c r="AI76" s="32">
        <v>3.1</v>
      </c>
      <c r="AJ76" s="16" t="s">
        <v>230</v>
      </c>
      <c r="AK76" s="15"/>
      <c r="AL76" s="15"/>
      <c r="AM76" s="15"/>
      <c r="AN76" s="9"/>
      <c r="AO76" s="9">
        <f t="shared" si="6"/>
        <v>14.1</v>
      </c>
      <c r="AP76" s="9" t="str">
        <f t="shared" si="7"/>
        <v/>
      </c>
      <c r="AQ76" s="9">
        <f t="shared" si="8"/>
        <v>21.1</v>
      </c>
      <c r="AR76" s="9" t="str">
        <f t="shared" si="9"/>
        <v/>
      </c>
      <c r="AS76" s="16" t="s">
        <v>302</v>
      </c>
      <c r="AT76" s="15"/>
      <c r="AU76" s="15"/>
    </row>
    <row r="77" ht="15.75" customHeight="1">
      <c r="A77" s="15" t="str">
        <f t="shared" si="1"/>
        <v/>
      </c>
      <c r="B77" s="15" t="str">
        <f t="shared" si="2"/>
        <v/>
      </c>
      <c r="C77" s="15"/>
      <c r="D77" s="16" t="s">
        <v>141</v>
      </c>
      <c r="E77" s="15"/>
      <c r="F77" s="12" t="s">
        <v>1512</v>
      </c>
      <c r="G77" s="11" t="s">
        <v>1513</v>
      </c>
      <c r="H77" s="12" t="s">
        <v>1176</v>
      </c>
      <c r="I77" s="13" t="s">
        <v>74</v>
      </c>
      <c r="J77" s="17" t="s">
        <v>392</v>
      </c>
      <c r="K77" s="18">
        <v>19.0</v>
      </c>
      <c r="L77" s="18">
        <v>26.0</v>
      </c>
      <c r="M77" s="18">
        <v>9.8</v>
      </c>
      <c r="N77" s="19">
        <v>1.09</v>
      </c>
      <c r="O77" s="20">
        <v>594.0</v>
      </c>
      <c r="P77" s="21">
        <v>14.0</v>
      </c>
      <c r="Q77" s="5">
        <v>29.4</v>
      </c>
      <c r="R77" s="22">
        <v>55463.0</v>
      </c>
      <c r="S77" s="5">
        <v>37.92966122</v>
      </c>
      <c r="T77" s="5">
        <v>-80.90323712</v>
      </c>
      <c r="U77" s="1">
        <v>10.0</v>
      </c>
      <c r="V77" s="5" t="s">
        <v>342</v>
      </c>
      <c r="W77" s="5">
        <v>3.0</v>
      </c>
      <c r="X77" s="5">
        <v>0.0</v>
      </c>
      <c r="Y77" s="5" t="s">
        <v>116</v>
      </c>
      <c r="Z77" s="24">
        <v>0.0</v>
      </c>
      <c r="AA77" s="25">
        <v>5.0</v>
      </c>
      <c r="AB77" s="25">
        <v>7.0</v>
      </c>
      <c r="AC77" s="15"/>
      <c r="AD77" s="38"/>
      <c r="AE77" s="26">
        <v>2.5</v>
      </c>
      <c r="AF77" s="26" t="str">
        <f t="shared" si="3"/>
        <v/>
      </c>
      <c r="AG77" s="16" t="str">
        <f t="shared" si="4"/>
        <v>Verify</v>
      </c>
      <c r="AH77" s="15" t="str">
        <f t="shared" si="5"/>
        <v>No</v>
      </c>
      <c r="AI77" s="32">
        <v>7.4</v>
      </c>
      <c r="AJ77" s="16" t="s">
        <v>230</v>
      </c>
      <c r="AK77" s="15"/>
      <c r="AL77" s="15"/>
      <c r="AM77" s="15"/>
      <c r="AN77" s="9"/>
      <c r="AO77" s="9">
        <f t="shared" si="6"/>
        <v>3.7</v>
      </c>
      <c r="AP77" s="9" t="str">
        <f t="shared" si="7"/>
        <v/>
      </c>
      <c r="AQ77" s="9">
        <f t="shared" si="8"/>
        <v>22</v>
      </c>
      <c r="AR77" s="9" t="str">
        <f t="shared" si="9"/>
        <v/>
      </c>
      <c r="AS77" s="16" t="s">
        <v>302</v>
      </c>
      <c r="AT77" s="15"/>
      <c r="AU77" s="15"/>
    </row>
    <row r="78" ht="15.75" customHeight="1">
      <c r="A78" s="15">
        <f t="shared" si="1"/>
        <v>69</v>
      </c>
      <c r="B78" s="15" t="str">
        <f t="shared" si="2"/>
        <v>Tier 3</v>
      </c>
      <c r="C78" s="15"/>
      <c r="D78" s="16" t="s">
        <v>141</v>
      </c>
      <c r="E78" s="15"/>
      <c r="F78" s="12" t="s">
        <v>1518</v>
      </c>
      <c r="G78" s="11" t="s">
        <v>1519</v>
      </c>
      <c r="H78" s="12" t="s">
        <v>1178</v>
      </c>
      <c r="I78" s="13" t="s">
        <v>225</v>
      </c>
      <c r="J78" s="17" t="s">
        <v>392</v>
      </c>
      <c r="K78" s="18">
        <v>31.0</v>
      </c>
      <c r="L78" s="18">
        <v>47.0</v>
      </c>
      <c r="M78" s="18">
        <v>31.8</v>
      </c>
      <c r="N78" s="19">
        <v>1.27</v>
      </c>
      <c r="O78" s="20">
        <v>598.0</v>
      </c>
      <c r="P78" s="21">
        <v>0.0</v>
      </c>
      <c r="Q78" s="5">
        <v>16.4</v>
      </c>
      <c r="R78" s="22">
        <v>74965.0</v>
      </c>
      <c r="S78" s="5">
        <v>37.74075398</v>
      </c>
      <c r="T78" s="5">
        <v>-81.11700125</v>
      </c>
      <c r="U78" s="1">
        <v>1.0</v>
      </c>
      <c r="V78" s="5" t="s">
        <v>180</v>
      </c>
      <c r="W78" s="5">
        <v>0.0</v>
      </c>
      <c r="X78" s="5">
        <v>0.0</v>
      </c>
      <c r="Y78" s="5" t="s">
        <v>116</v>
      </c>
      <c r="Z78" s="24">
        <v>0.0</v>
      </c>
      <c r="AA78" s="25">
        <v>0.0</v>
      </c>
      <c r="AB78" s="25">
        <v>0.0</v>
      </c>
      <c r="AC78" s="16" t="s">
        <v>1522</v>
      </c>
      <c r="AD78" s="26">
        <v>0.77</v>
      </c>
      <c r="AE78" s="26">
        <v>1.8</v>
      </c>
      <c r="AF78" s="26">
        <f t="shared" si="3"/>
        <v>0</v>
      </c>
      <c r="AG78" s="16" t="str">
        <f t="shared" si="4"/>
        <v>No</v>
      </c>
      <c r="AH78" s="15" t="str">
        <f t="shared" si="5"/>
        <v>Yes</v>
      </c>
      <c r="AI78" s="32">
        <v>0.8</v>
      </c>
      <c r="AJ78" s="16" t="s">
        <v>230</v>
      </c>
      <c r="AK78" s="15"/>
      <c r="AL78" s="15"/>
      <c r="AM78" s="15"/>
      <c r="AN78" s="9"/>
      <c r="AO78" s="9">
        <f t="shared" si="6"/>
        <v>6</v>
      </c>
      <c r="AP78" s="9">
        <f t="shared" si="7"/>
        <v>42.3</v>
      </c>
      <c r="AQ78" s="9">
        <f t="shared" si="8"/>
        <v>17.1</v>
      </c>
      <c r="AR78" s="9">
        <f t="shared" si="9"/>
        <v>24.6</v>
      </c>
      <c r="AS78" s="16" t="s">
        <v>556</v>
      </c>
      <c r="AT78" s="15"/>
      <c r="AU78" s="15"/>
    </row>
    <row r="79" ht="15.75" customHeight="1">
      <c r="A79" s="15" t="str">
        <f t="shared" si="1"/>
        <v/>
      </c>
      <c r="B79" s="15" t="str">
        <f t="shared" si="2"/>
        <v/>
      </c>
      <c r="C79" s="15"/>
      <c r="D79" s="16" t="s">
        <v>141</v>
      </c>
      <c r="E79" s="15"/>
      <c r="F79" s="12" t="s">
        <v>1524</v>
      </c>
      <c r="G79" s="11" t="s">
        <v>1525</v>
      </c>
      <c r="H79" s="12" t="s">
        <v>1183</v>
      </c>
      <c r="I79" s="13" t="s">
        <v>288</v>
      </c>
      <c r="J79" s="17" t="s">
        <v>715</v>
      </c>
      <c r="K79" s="18">
        <v>69.0</v>
      </c>
      <c r="L79" s="18">
        <v>114.0</v>
      </c>
      <c r="M79" s="18">
        <v>92.1</v>
      </c>
      <c r="N79" s="19">
        <v>1.39</v>
      </c>
      <c r="O79" s="20">
        <v>28.0</v>
      </c>
      <c r="P79" s="21">
        <v>21.0</v>
      </c>
      <c r="Q79" s="5">
        <v>1.7</v>
      </c>
      <c r="R79" s="22">
        <v>65534.0</v>
      </c>
      <c r="S79" s="5">
        <v>37.99443095</v>
      </c>
      <c r="T79" s="5">
        <v>-81.81397016</v>
      </c>
      <c r="U79" s="1">
        <v>10.0</v>
      </c>
      <c r="V79" s="5" t="s">
        <v>342</v>
      </c>
      <c r="W79" s="5">
        <v>3.0</v>
      </c>
      <c r="X79" s="5">
        <v>0.0</v>
      </c>
      <c r="Y79" s="5" t="s">
        <v>116</v>
      </c>
      <c r="Z79" s="24">
        <v>0.0</v>
      </c>
      <c r="AA79" s="37"/>
      <c r="AB79" s="37"/>
      <c r="AC79" s="16" t="s">
        <v>1527</v>
      </c>
      <c r="AD79" s="26">
        <v>13.22</v>
      </c>
      <c r="AE79" s="26">
        <v>4.9</v>
      </c>
      <c r="AF79" s="26">
        <f t="shared" si="3"/>
        <v>8.32</v>
      </c>
      <c r="AG79" s="16" t="str">
        <f t="shared" si="4"/>
        <v>Yes</v>
      </c>
      <c r="AH79" s="15" t="str">
        <f t="shared" si="5"/>
        <v>Verify</v>
      </c>
      <c r="AI79" s="32">
        <v>4.3</v>
      </c>
      <c r="AJ79" s="16" t="s">
        <v>230</v>
      </c>
      <c r="AK79" s="15"/>
      <c r="AL79" s="15"/>
      <c r="AM79" s="15"/>
      <c r="AN79" s="9"/>
      <c r="AO79" s="9">
        <f t="shared" si="6"/>
        <v>13.3</v>
      </c>
      <c r="AP79" s="9" t="str">
        <f t="shared" si="7"/>
        <v/>
      </c>
      <c r="AQ79" s="9">
        <f t="shared" si="8"/>
        <v>8.8</v>
      </c>
      <c r="AR79" s="9" t="str">
        <f t="shared" si="9"/>
        <v/>
      </c>
      <c r="AS79" s="16" t="s">
        <v>302</v>
      </c>
      <c r="AT79" s="15"/>
      <c r="AU79" s="15"/>
    </row>
    <row r="80" ht="15.0" customHeight="1">
      <c r="A80" s="15" t="str">
        <f t="shared" si="1"/>
        <v/>
      </c>
      <c r="B80" s="15" t="str">
        <f t="shared" si="2"/>
        <v/>
      </c>
      <c r="C80" s="15"/>
      <c r="D80" s="16" t="s">
        <v>141</v>
      </c>
      <c r="E80" s="15"/>
      <c r="F80" s="12" t="s">
        <v>1532</v>
      </c>
      <c r="G80" s="11" t="s">
        <v>1533</v>
      </c>
      <c r="H80" s="12" t="s">
        <v>1189</v>
      </c>
      <c r="I80" s="13" t="s">
        <v>839</v>
      </c>
      <c r="J80" s="17" t="s">
        <v>663</v>
      </c>
      <c r="K80" s="18">
        <v>7.0</v>
      </c>
      <c r="L80" s="18">
        <v>10.0</v>
      </c>
      <c r="M80" s="18">
        <v>10.9</v>
      </c>
      <c r="N80" s="19">
        <v>1.22</v>
      </c>
      <c r="O80" s="20">
        <v>107.0</v>
      </c>
      <c r="P80" s="21">
        <v>0.0</v>
      </c>
      <c r="Q80" s="5">
        <v>0.0</v>
      </c>
      <c r="R80" s="22">
        <v>39965.0</v>
      </c>
      <c r="S80" s="5">
        <v>39.1291746</v>
      </c>
      <c r="T80" s="5">
        <v>-79.46176183</v>
      </c>
      <c r="U80" s="1">
        <v>10.0</v>
      </c>
      <c r="V80" s="5" t="s">
        <v>342</v>
      </c>
      <c r="W80" s="5">
        <v>3.0</v>
      </c>
      <c r="X80" s="5">
        <v>4.0</v>
      </c>
      <c r="Y80" s="5" t="s">
        <v>1190</v>
      </c>
      <c r="Z80" s="24">
        <v>4.0</v>
      </c>
      <c r="AA80" s="37"/>
      <c r="AB80" s="37"/>
      <c r="AC80" s="15"/>
      <c r="AD80" s="38"/>
      <c r="AE80" s="26">
        <v>4.1</v>
      </c>
      <c r="AF80" s="26" t="str">
        <f t="shared" si="3"/>
        <v/>
      </c>
      <c r="AG80" s="16" t="str">
        <f t="shared" si="4"/>
        <v>Verify</v>
      </c>
      <c r="AH80" s="15" t="str">
        <f t="shared" si="5"/>
        <v>Verify</v>
      </c>
      <c r="AI80" s="32">
        <v>0.0</v>
      </c>
      <c r="AJ80" s="16" t="s">
        <v>230</v>
      </c>
      <c r="AK80" s="15"/>
      <c r="AL80" s="15"/>
      <c r="AM80" s="15"/>
      <c r="AN80" s="9"/>
      <c r="AO80" s="9">
        <f t="shared" si="6"/>
        <v>1.3</v>
      </c>
      <c r="AP80" s="9" t="str">
        <f t="shared" si="7"/>
        <v/>
      </c>
      <c r="AQ80" s="9">
        <f t="shared" si="8"/>
        <v>12.6</v>
      </c>
      <c r="AR80" s="9" t="str">
        <f t="shared" si="9"/>
        <v/>
      </c>
      <c r="AS80" s="16" t="s">
        <v>302</v>
      </c>
      <c r="AT80" s="15"/>
      <c r="AU80" s="15"/>
    </row>
    <row r="81" ht="15.75" customHeight="1">
      <c r="A81" s="15" t="str">
        <f t="shared" si="1"/>
        <v/>
      </c>
      <c r="B81" s="15" t="str">
        <f t="shared" si="2"/>
        <v/>
      </c>
      <c r="C81" s="15"/>
      <c r="D81" s="16" t="s">
        <v>141</v>
      </c>
      <c r="E81" s="15"/>
      <c r="F81" s="12" t="s">
        <v>1539</v>
      </c>
      <c r="G81" s="11" t="s">
        <v>1540</v>
      </c>
      <c r="H81" s="12">
        <v>25670.0</v>
      </c>
      <c r="I81" s="13" t="s">
        <v>978</v>
      </c>
      <c r="J81" s="17" t="s">
        <v>392</v>
      </c>
      <c r="K81" s="18">
        <v>90.0</v>
      </c>
      <c r="L81" s="18">
        <v>142.0</v>
      </c>
      <c r="M81" s="18">
        <v>53.8</v>
      </c>
      <c r="N81" s="19">
        <v>1.6</v>
      </c>
      <c r="O81" s="20">
        <v>47.0</v>
      </c>
      <c r="P81" s="21">
        <v>26.0</v>
      </c>
      <c r="Q81" s="5">
        <v>6.4</v>
      </c>
      <c r="R81" s="22">
        <v>39167.0</v>
      </c>
      <c r="S81" s="5">
        <v>37.712417</v>
      </c>
      <c r="T81" s="5">
        <v>-82.18525197</v>
      </c>
      <c r="U81" s="1">
        <v>10.0</v>
      </c>
      <c r="V81" s="5" t="s">
        <v>342</v>
      </c>
      <c r="W81" s="5">
        <v>3.0</v>
      </c>
      <c r="X81" s="5">
        <v>4.0</v>
      </c>
      <c r="Y81" s="5" t="s">
        <v>1190</v>
      </c>
      <c r="Z81" s="24">
        <v>4.0</v>
      </c>
      <c r="AA81" s="37"/>
      <c r="AB81" s="37"/>
      <c r="AC81" s="15"/>
      <c r="AD81" s="38"/>
      <c r="AE81" s="26">
        <v>2.4</v>
      </c>
      <c r="AF81" s="26" t="str">
        <f t="shared" si="3"/>
        <v/>
      </c>
      <c r="AG81" s="16" t="str">
        <f t="shared" si="4"/>
        <v>Verify</v>
      </c>
      <c r="AH81" s="15" t="str">
        <f t="shared" si="5"/>
        <v>Verify</v>
      </c>
      <c r="AI81" s="32">
        <v>5.9</v>
      </c>
      <c r="AJ81" s="16" t="s">
        <v>230</v>
      </c>
      <c r="AK81" s="15"/>
      <c r="AL81" s="15"/>
      <c r="AM81" s="15"/>
      <c r="AN81" s="9"/>
      <c r="AO81" s="9">
        <f t="shared" si="6"/>
        <v>17.3</v>
      </c>
      <c r="AP81" s="9" t="str">
        <f t="shared" si="7"/>
        <v/>
      </c>
      <c r="AQ81" s="9">
        <f t="shared" si="8"/>
        <v>13.5</v>
      </c>
      <c r="AR81" s="9" t="str">
        <f t="shared" si="9"/>
        <v/>
      </c>
      <c r="AS81" s="16" t="s">
        <v>302</v>
      </c>
      <c r="AT81" s="15"/>
      <c r="AU81" s="15"/>
    </row>
    <row r="82" ht="15.75" customHeight="1">
      <c r="A82" s="15" t="str">
        <f t="shared" si="1"/>
        <v/>
      </c>
      <c r="B82" s="15" t="str">
        <f t="shared" si="2"/>
        <v/>
      </c>
      <c r="C82" s="15"/>
      <c r="D82" s="16" t="s">
        <v>141</v>
      </c>
      <c r="E82" s="15"/>
      <c r="F82" s="12" t="s">
        <v>1548</v>
      </c>
      <c r="G82" s="11" t="s">
        <v>1549</v>
      </c>
      <c r="H82" s="12">
        <v>25670.0</v>
      </c>
      <c r="I82" s="13" t="s">
        <v>978</v>
      </c>
      <c r="J82" s="17" t="s">
        <v>392</v>
      </c>
      <c r="K82" s="18">
        <v>90.0</v>
      </c>
      <c r="L82" s="18">
        <v>142.0</v>
      </c>
      <c r="M82" s="18">
        <v>53.8</v>
      </c>
      <c r="N82" s="19">
        <v>0.31</v>
      </c>
      <c r="O82" s="20">
        <v>47.0</v>
      </c>
      <c r="P82" s="21">
        <v>26.0</v>
      </c>
      <c r="Q82" s="5">
        <v>6.4</v>
      </c>
      <c r="R82" s="22">
        <v>39167.0</v>
      </c>
      <c r="S82" s="5">
        <v>37.66934475</v>
      </c>
      <c r="T82" s="5">
        <v>-82.12124734</v>
      </c>
      <c r="U82" s="1">
        <v>10.0</v>
      </c>
      <c r="V82" s="5" t="s">
        <v>342</v>
      </c>
      <c r="W82" s="5">
        <v>3.0</v>
      </c>
      <c r="X82" s="5">
        <v>4.0</v>
      </c>
      <c r="Y82" s="5" t="s">
        <v>1190</v>
      </c>
      <c r="Z82" s="24">
        <v>4.0</v>
      </c>
      <c r="AA82" s="37"/>
      <c r="AB82" s="37"/>
      <c r="AC82" s="15"/>
      <c r="AD82" s="38"/>
      <c r="AE82" s="26">
        <v>5.1</v>
      </c>
      <c r="AF82" s="26" t="str">
        <f t="shared" si="3"/>
        <v/>
      </c>
      <c r="AG82" s="16" t="str">
        <f t="shared" si="4"/>
        <v>Verify</v>
      </c>
      <c r="AH82" s="15" t="str">
        <f t="shared" si="5"/>
        <v>Verify</v>
      </c>
      <c r="AI82" s="32">
        <v>4.2</v>
      </c>
      <c r="AJ82" s="16" t="s">
        <v>230</v>
      </c>
      <c r="AK82" s="15"/>
      <c r="AL82" s="15"/>
      <c r="AM82" s="15"/>
      <c r="AN82" s="9"/>
      <c r="AO82" s="9">
        <f t="shared" si="6"/>
        <v>17.3</v>
      </c>
      <c r="AP82" s="9" t="str">
        <f t="shared" si="7"/>
        <v/>
      </c>
      <c r="AQ82" s="9">
        <f t="shared" si="8"/>
        <v>13.5</v>
      </c>
      <c r="AR82" s="9" t="str">
        <f t="shared" si="9"/>
        <v/>
      </c>
      <c r="AS82" s="16" t="s">
        <v>302</v>
      </c>
      <c r="AT82" s="15"/>
      <c r="AU82" s="15"/>
    </row>
    <row r="83" ht="15.75" customHeight="1">
      <c r="A83" s="15" t="str">
        <f t="shared" si="1"/>
        <v/>
      </c>
      <c r="B83" s="15" t="str">
        <f t="shared" si="2"/>
        <v/>
      </c>
      <c r="C83" s="15"/>
      <c r="D83" s="16" t="s">
        <v>141</v>
      </c>
      <c r="E83" s="15"/>
      <c r="F83" s="12" t="s">
        <v>1558</v>
      </c>
      <c r="G83" s="11" t="s">
        <v>1559</v>
      </c>
      <c r="H83" s="12" t="s">
        <v>1198</v>
      </c>
      <c r="I83" s="13" t="s">
        <v>198</v>
      </c>
      <c r="J83" s="17" t="s">
        <v>331</v>
      </c>
      <c r="K83" s="18">
        <v>9.0</v>
      </c>
      <c r="L83" s="18">
        <v>15.0</v>
      </c>
      <c r="M83" s="18">
        <v>0.0</v>
      </c>
      <c r="N83" s="19">
        <v>1.01</v>
      </c>
      <c r="O83" s="40"/>
      <c r="P83" s="21">
        <v>0.0</v>
      </c>
      <c r="Q83" s="41"/>
      <c r="R83" s="35"/>
      <c r="S83" s="5">
        <v>38.24463482</v>
      </c>
      <c r="T83" s="5">
        <v>-81.19327015</v>
      </c>
      <c r="U83" s="1">
        <v>10.0</v>
      </c>
      <c r="V83" s="5" t="s">
        <v>342</v>
      </c>
      <c r="W83" s="5">
        <v>3.0</v>
      </c>
      <c r="X83" s="5">
        <v>0.0</v>
      </c>
      <c r="Y83" s="5" t="s">
        <v>116</v>
      </c>
      <c r="Z83" s="24">
        <v>0.0</v>
      </c>
      <c r="AA83" s="25">
        <v>4.0</v>
      </c>
      <c r="AB83" s="25">
        <v>5.0</v>
      </c>
      <c r="AC83" s="15"/>
      <c r="AD83" s="38"/>
      <c r="AE83" s="26">
        <v>1.7</v>
      </c>
      <c r="AF83" s="26" t="str">
        <f t="shared" si="3"/>
        <v/>
      </c>
      <c r="AG83" s="16" t="str">
        <f t="shared" si="4"/>
        <v>Verify</v>
      </c>
      <c r="AH83" s="15" t="str">
        <f t="shared" si="5"/>
        <v>No</v>
      </c>
      <c r="AI83" s="32">
        <v>7.9</v>
      </c>
      <c r="AJ83" s="16" t="s">
        <v>230</v>
      </c>
      <c r="AK83" s="15"/>
      <c r="AL83" s="15"/>
      <c r="AM83" s="15"/>
      <c r="AN83" s="9"/>
      <c r="AO83" s="9">
        <f t="shared" si="6"/>
        <v>1.7</v>
      </c>
      <c r="AP83" s="9" t="str">
        <f t="shared" si="7"/>
        <v/>
      </c>
      <c r="AQ83" s="9" t="str">
        <f t="shared" si="8"/>
        <v/>
      </c>
      <c r="AR83" s="9" t="str">
        <f t="shared" si="9"/>
        <v/>
      </c>
      <c r="AS83" s="16" t="s">
        <v>302</v>
      </c>
      <c r="AT83" s="15"/>
      <c r="AU83" s="15"/>
    </row>
    <row r="84" ht="15.75" customHeight="1">
      <c r="A84" s="15" t="str">
        <f t="shared" si="1"/>
        <v/>
      </c>
      <c r="B84" s="15" t="str">
        <f t="shared" si="2"/>
        <v/>
      </c>
      <c r="C84" s="15"/>
      <c r="D84" s="16" t="s">
        <v>141</v>
      </c>
      <c r="E84" s="15"/>
      <c r="F84" s="12" t="s">
        <v>1565</v>
      </c>
      <c r="G84" s="11" t="s">
        <v>1566</v>
      </c>
      <c r="H84" s="12" t="s">
        <v>1200</v>
      </c>
      <c r="I84" s="13" t="s">
        <v>128</v>
      </c>
      <c r="J84" s="17" t="s">
        <v>715</v>
      </c>
      <c r="K84" s="18">
        <v>144.0</v>
      </c>
      <c r="L84" s="18">
        <v>212.0</v>
      </c>
      <c r="M84" s="18">
        <v>187.9</v>
      </c>
      <c r="N84" s="19">
        <v>1.07</v>
      </c>
      <c r="O84" s="20">
        <v>15.0</v>
      </c>
      <c r="P84" s="21">
        <v>0.0</v>
      </c>
      <c r="Q84" s="5">
        <v>5.9</v>
      </c>
      <c r="R84" s="35"/>
      <c r="S84" s="5">
        <v>38.3608822</v>
      </c>
      <c r="T84" s="5">
        <v>-81.74342202</v>
      </c>
      <c r="U84" s="1">
        <v>1.0</v>
      </c>
      <c r="V84" s="5" t="s">
        <v>180</v>
      </c>
      <c r="W84" s="5">
        <v>0.0</v>
      </c>
      <c r="X84" s="5">
        <v>0.0</v>
      </c>
      <c r="Y84" s="5" t="s">
        <v>116</v>
      </c>
      <c r="Z84" s="24">
        <v>0.0</v>
      </c>
      <c r="AA84" s="25">
        <v>1.0</v>
      </c>
      <c r="AB84" s="25">
        <v>2.0</v>
      </c>
      <c r="AC84" s="16" t="s">
        <v>1569</v>
      </c>
      <c r="AD84" s="26">
        <v>3.31</v>
      </c>
      <c r="AE84" s="26">
        <v>1.2</v>
      </c>
      <c r="AF84" s="26">
        <f t="shared" si="3"/>
        <v>2.11</v>
      </c>
      <c r="AG84" s="16" t="str">
        <f t="shared" si="4"/>
        <v>No</v>
      </c>
      <c r="AH84" s="15" t="str">
        <f t="shared" si="5"/>
        <v>No</v>
      </c>
      <c r="AI84" s="32">
        <v>0.3</v>
      </c>
      <c r="AJ84" s="16" t="s">
        <v>230</v>
      </c>
      <c r="AK84" s="15"/>
      <c r="AL84" s="15"/>
      <c r="AM84" s="15"/>
      <c r="AN84" s="9"/>
      <c r="AO84" s="9">
        <f t="shared" si="6"/>
        <v>27.7</v>
      </c>
      <c r="AP84" s="9">
        <f t="shared" si="7"/>
        <v>41.9</v>
      </c>
      <c r="AQ84" s="9" t="str">
        <f t="shared" si="8"/>
        <v/>
      </c>
      <c r="AR84" s="9" t="str">
        <f t="shared" si="9"/>
        <v/>
      </c>
      <c r="AS84" s="16" t="s">
        <v>302</v>
      </c>
      <c r="AT84" s="15"/>
      <c r="AU84" s="15"/>
    </row>
    <row r="85" ht="15.75" customHeight="1">
      <c r="A85" s="15">
        <f t="shared" si="1"/>
        <v>60</v>
      </c>
      <c r="B85" s="15" t="str">
        <f t="shared" si="2"/>
        <v>Tier 3</v>
      </c>
      <c r="C85" s="15"/>
      <c r="D85" s="16" t="s">
        <v>141</v>
      </c>
      <c r="E85" s="15"/>
      <c r="F85" s="12" t="s">
        <v>1572</v>
      </c>
      <c r="G85" s="11" t="s">
        <v>1573</v>
      </c>
      <c r="H85" s="12" t="s">
        <v>1203</v>
      </c>
      <c r="I85" s="13" t="s">
        <v>128</v>
      </c>
      <c r="J85" s="17" t="s">
        <v>715</v>
      </c>
      <c r="K85" s="18">
        <v>15.0</v>
      </c>
      <c r="L85" s="18">
        <v>25.0</v>
      </c>
      <c r="M85" s="18">
        <v>27.6</v>
      </c>
      <c r="N85" s="19">
        <v>0.81</v>
      </c>
      <c r="O85" s="20">
        <v>17.0</v>
      </c>
      <c r="P85" s="21">
        <v>0.0</v>
      </c>
      <c r="Q85" s="5">
        <v>0.0</v>
      </c>
      <c r="R85" s="22">
        <v>29737.0</v>
      </c>
      <c r="S85" s="5">
        <v>38.21644894</v>
      </c>
      <c r="T85" s="5">
        <v>-81.44113834</v>
      </c>
      <c r="U85" s="1">
        <v>2.0</v>
      </c>
      <c r="V85" s="5" t="s">
        <v>180</v>
      </c>
      <c r="W85" s="5">
        <v>0.0</v>
      </c>
      <c r="X85" s="5">
        <v>0.0</v>
      </c>
      <c r="Y85" s="5" t="s">
        <v>116</v>
      </c>
      <c r="Z85" s="24">
        <v>0.0</v>
      </c>
      <c r="AA85" s="25">
        <v>0.0</v>
      </c>
      <c r="AB85" s="25">
        <v>0.0</v>
      </c>
      <c r="AC85" s="16" t="s">
        <v>1071</v>
      </c>
      <c r="AD85" s="26">
        <v>3.84</v>
      </c>
      <c r="AE85" s="26">
        <v>0.3</v>
      </c>
      <c r="AF85" s="26">
        <f t="shared" si="3"/>
        <v>3.54</v>
      </c>
      <c r="AG85" s="16" t="str">
        <f t="shared" si="4"/>
        <v>No</v>
      </c>
      <c r="AH85" s="15" t="str">
        <f t="shared" si="5"/>
        <v>Yes</v>
      </c>
      <c r="AI85" s="32">
        <v>0.9</v>
      </c>
      <c r="AJ85" s="16" t="s">
        <v>230</v>
      </c>
      <c r="AK85" s="15"/>
      <c r="AL85" s="15"/>
      <c r="AM85" s="15"/>
      <c r="AN85" s="9"/>
      <c r="AO85" s="9">
        <f t="shared" si="6"/>
        <v>2.9</v>
      </c>
      <c r="AP85" s="9">
        <f t="shared" si="7"/>
        <v>51.5</v>
      </c>
      <c r="AQ85" s="9">
        <f t="shared" si="8"/>
        <v>12.7</v>
      </c>
      <c r="AR85" s="9">
        <f t="shared" si="9"/>
        <v>26.7</v>
      </c>
      <c r="AS85" s="16" t="s">
        <v>556</v>
      </c>
      <c r="AT85" s="15"/>
      <c r="AU85" s="15"/>
    </row>
    <row r="86" ht="15.75" customHeight="1">
      <c r="A86" s="15" t="str">
        <f t="shared" si="1"/>
        <v/>
      </c>
      <c r="B86" s="15" t="str">
        <f t="shared" si="2"/>
        <v/>
      </c>
      <c r="C86" s="15"/>
      <c r="D86" s="16" t="s">
        <v>141</v>
      </c>
      <c r="E86" s="15"/>
      <c r="F86" s="12" t="s">
        <v>1576</v>
      </c>
      <c r="G86" s="11" t="s">
        <v>1577</v>
      </c>
      <c r="H86" s="12">
        <v>25070.0</v>
      </c>
      <c r="I86" s="13" t="s">
        <v>218</v>
      </c>
      <c r="J86" s="17" t="s">
        <v>715</v>
      </c>
      <c r="K86" s="18">
        <v>15.0</v>
      </c>
      <c r="L86" s="18">
        <v>21.0</v>
      </c>
      <c r="M86" s="18">
        <v>32.2</v>
      </c>
      <c r="N86" s="19">
        <v>1.99</v>
      </c>
      <c r="O86" s="20">
        <v>63.0</v>
      </c>
      <c r="P86" s="21">
        <v>0.0</v>
      </c>
      <c r="Q86" s="5">
        <v>7.8</v>
      </c>
      <c r="R86" s="22">
        <v>29224.0</v>
      </c>
      <c r="S86" s="5">
        <v>38.53393543</v>
      </c>
      <c r="T86" s="5">
        <v>-81.92276989</v>
      </c>
      <c r="U86" s="1">
        <v>2.0</v>
      </c>
      <c r="V86" s="5" t="s">
        <v>180</v>
      </c>
      <c r="W86" s="5">
        <v>0.0</v>
      </c>
      <c r="X86" s="5">
        <v>0.0</v>
      </c>
      <c r="Y86" s="5" t="s">
        <v>116</v>
      </c>
      <c r="Z86" s="24">
        <v>0.0</v>
      </c>
      <c r="AA86" s="37"/>
      <c r="AB86" s="37"/>
      <c r="AC86" s="16" t="s">
        <v>1581</v>
      </c>
      <c r="AD86" s="26">
        <v>5.74</v>
      </c>
      <c r="AE86" s="26">
        <v>1.0</v>
      </c>
      <c r="AF86" s="26">
        <f t="shared" si="3"/>
        <v>4.74</v>
      </c>
      <c r="AG86" s="16" t="str">
        <f t="shared" si="4"/>
        <v>No</v>
      </c>
      <c r="AH86" s="15" t="str">
        <f t="shared" si="5"/>
        <v>Verify</v>
      </c>
      <c r="AI86" s="32">
        <v>0.2</v>
      </c>
      <c r="AJ86" s="16" t="s">
        <v>230</v>
      </c>
      <c r="AK86" s="15"/>
      <c r="AL86" s="15"/>
      <c r="AM86" s="15"/>
      <c r="AN86" s="9"/>
      <c r="AO86" s="9">
        <f t="shared" si="6"/>
        <v>2.9</v>
      </c>
      <c r="AP86" s="9" t="str">
        <f t="shared" si="7"/>
        <v/>
      </c>
      <c r="AQ86" s="9">
        <f t="shared" si="8"/>
        <v>14.5</v>
      </c>
      <c r="AR86" s="9" t="str">
        <f t="shared" si="9"/>
        <v/>
      </c>
      <c r="AS86" s="16" t="s">
        <v>302</v>
      </c>
      <c r="AT86" s="15"/>
      <c r="AU86" s="15"/>
    </row>
    <row r="87" ht="15.75" customHeight="1">
      <c r="A87" s="15" t="str">
        <f t="shared" si="1"/>
        <v/>
      </c>
      <c r="B87" s="15" t="str">
        <f t="shared" si="2"/>
        <v/>
      </c>
      <c r="C87" s="15"/>
      <c r="D87" s="16" t="s">
        <v>141</v>
      </c>
      <c r="E87" s="15"/>
      <c r="F87" s="12" t="s">
        <v>1584</v>
      </c>
      <c r="G87" s="11" t="s">
        <v>1585</v>
      </c>
      <c r="H87" s="12" t="s">
        <v>1210</v>
      </c>
      <c r="I87" s="13" t="s">
        <v>1043</v>
      </c>
      <c r="J87" s="17" t="s">
        <v>439</v>
      </c>
      <c r="K87" s="18">
        <v>71.0</v>
      </c>
      <c r="L87" s="18">
        <v>111.0</v>
      </c>
      <c r="M87" s="18">
        <v>71.9</v>
      </c>
      <c r="N87" s="19">
        <v>2.0</v>
      </c>
      <c r="O87" s="20">
        <v>28.0</v>
      </c>
      <c r="P87" s="21">
        <v>0.0</v>
      </c>
      <c r="Q87" s="5">
        <v>0.0</v>
      </c>
      <c r="R87" s="22">
        <v>24467.0</v>
      </c>
      <c r="S87" s="5">
        <v>39.05745947</v>
      </c>
      <c r="T87" s="5">
        <v>-81.39682099</v>
      </c>
      <c r="U87" s="1">
        <v>2.0</v>
      </c>
      <c r="V87" s="5" t="s">
        <v>180</v>
      </c>
      <c r="W87" s="5">
        <v>0.0</v>
      </c>
      <c r="X87" s="5">
        <v>0.0</v>
      </c>
      <c r="Y87" s="5" t="s">
        <v>116</v>
      </c>
      <c r="Z87" s="24">
        <v>0.0</v>
      </c>
      <c r="AA87" s="25">
        <v>2.0</v>
      </c>
      <c r="AB87" s="25">
        <v>4.0</v>
      </c>
      <c r="AC87" s="15"/>
      <c r="AD87" s="38"/>
      <c r="AE87" s="26">
        <v>1.3</v>
      </c>
      <c r="AF87" s="26" t="str">
        <f t="shared" si="3"/>
        <v/>
      </c>
      <c r="AG87" s="16" t="str">
        <f t="shared" si="4"/>
        <v>Verify</v>
      </c>
      <c r="AH87" s="15" t="str">
        <f t="shared" si="5"/>
        <v>No</v>
      </c>
      <c r="AI87" s="32">
        <v>0.7</v>
      </c>
      <c r="AJ87" s="16" t="s">
        <v>230</v>
      </c>
      <c r="AK87" s="15"/>
      <c r="AL87" s="15"/>
      <c r="AM87" s="15"/>
      <c r="AN87" s="9"/>
      <c r="AO87" s="9">
        <f t="shared" si="6"/>
        <v>13.7</v>
      </c>
      <c r="AP87" s="9" t="str">
        <f t="shared" si="7"/>
        <v/>
      </c>
      <c r="AQ87" s="9">
        <f t="shared" si="8"/>
        <v>13.5</v>
      </c>
      <c r="AR87" s="9" t="str">
        <f t="shared" si="9"/>
        <v/>
      </c>
      <c r="AS87" s="16" t="s">
        <v>302</v>
      </c>
      <c r="AT87" s="15"/>
      <c r="AU87" s="15"/>
    </row>
    <row r="88" ht="15.75" customHeight="1">
      <c r="A88" s="15">
        <f t="shared" si="1"/>
        <v>62</v>
      </c>
      <c r="B88" s="15" t="str">
        <f t="shared" si="2"/>
        <v>Tier 3</v>
      </c>
      <c r="C88" s="15"/>
      <c r="D88" s="16" t="s">
        <v>141</v>
      </c>
      <c r="E88" s="15"/>
      <c r="F88" s="12" t="s">
        <v>1594</v>
      </c>
      <c r="G88" s="11" t="s">
        <v>1595</v>
      </c>
      <c r="H88" s="12" t="s">
        <v>1214</v>
      </c>
      <c r="I88" s="13" t="s">
        <v>236</v>
      </c>
      <c r="J88" s="17" t="s">
        <v>663</v>
      </c>
      <c r="K88" s="18">
        <v>193.0</v>
      </c>
      <c r="L88" s="18">
        <v>281.0</v>
      </c>
      <c r="M88" s="18">
        <v>215.0</v>
      </c>
      <c r="N88" s="19">
        <v>0.97</v>
      </c>
      <c r="O88" s="20">
        <v>85.0</v>
      </c>
      <c r="P88" s="21">
        <v>0.0</v>
      </c>
      <c r="Q88" s="5">
        <v>10.7</v>
      </c>
      <c r="R88" s="22">
        <v>41200.0</v>
      </c>
      <c r="S88" s="5">
        <v>38.93111861</v>
      </c>
      <c r="T88" s="5">
        <v>-79.86280306</v>
      </c>
      <c r="U88" s="1">
        <v>4.0</v>
      </c>
      <c r="V88" s="5" t="s">
        <v>540</v>
      </c>
      <c r="W88" s="5">
        <v>1.0</v>
      </c>
      <c r="X88" s="5">
        <v>2.0</v>
      </c>
      <c r="Y88" s="5" t="s">
        <v>619</v>
      </c>
      <c r="Z88" s="24">
        <v>2.0</v>
      </c>
      <c r="AA88" s="25">
        <v>2.0</v>
      </c>
      <c r="AB88" s="25">
        <v>4.0</v>
      </c>
      <c r="AC88" s="16" t="s">
        <v>1598</v>
      </c>
      <c r="AD88" s="26">
        <v>0.31</v>
      </c>
      <c r="AE88" s="26">
        <v>3.9</v>
      </c>
      <c r="AF88" s="26">
        <f t="shared" si="3"/>
        <v>0</v>
      </c>
      <c r="AG88" s="16" t="str">
        <f t="shared" si="4"/>
        <v>No</v>
      </c>
      <c r="AH88" s="15" t="str">
        <f t="shared" si="5"/>
        <v>No</v>
      </c>
      <c r="AI88" s="32">
        <v>0.4</v>
      </c>
      <c r="AJ88" s="16" t="s">
        <v>230</v>
      </c>
      <c r="AK88" s="15"/>
      <c r="AL88" s="15"/>
      <c r="AM88" s="15"/>
      <c r="AN88" s="9"/>
      <c r="AO88" s="9">
        <f t="shared" si="6"/>
        <v>37.2</v>
      </c>
      <c r="AP88" s="9">
        <f t="shared" si="7"/>
        <v>24.9</v>
      </c>
      <c r="AQ88" s="9">
        <f t="shared" si="8"/>
        <v>13.5</v>
      </c>
      <c r="AR88" s="9">
        <f t="shared" si="9"/>
        <v>26.5</v>
      </c>
      <c r="AS88" s="16" t="s">
        <v>556</v>
      </c>
      <c r="AT88" s="15"/>
      <c r="AU88" s="15"/>
    </row>
    <row r="89" ht="15.75" customHeight="1">
      <c r="A89" s="15">
        <f t="shared" si="1"/>
        <v>47</v>
      </c>
      <c r="B89" s="15" t="str">
        <f t="shared" si="2"/>
        <v>Tier 2</v>
      </c>
      <c r="C89" s="15"/>
      <c r="D89" s="16" t="s">
        <v>141</v>
      </c>
      <c r="E89" s="15"/>
      <c r="F89" s="12" t="s">
        <v>1604</v>
      </c>
      <c r="G89" s="11" t="s">
        <v>1605</v>
      </c>
      <c r="H89" s="12" t="s">
        <v>1216</v>
      </c>
      <c r="I89" s="13" t="s">
        <v>236</v>
      </c>
      <c r="J89" s="17" t="s">
        <v>663</v>
      </c>
      <c r="K89" s="18">
        <v>193.0</v>
      </c>
      <c r="L89" s="18">
        <v>281.0</v>
      </c>
      <c r="M89" s="18">
        <v>215.0</v>
      </c>
      <c r="N89" s="19">
        <v>0.73</v>
      </c>
      <c r="O89" s="20">
        <v>85.0</v>
      </c>
      <c r="P89" s="21">
        <v>0.0</v>
      </c>
      <c r="Q89" s="5">
        <v>10.7</v>
      </c>
      <c r="R89" s="22">
        <v>41200.0</v>
      </c>
      <c r="S89" s="5">
        <v>38.92525661</v>
      </c>
      <c r="T89" s="5">
        <v>-79.84964839</v>
      </c>
      <c r="U89" s="1">
        <v>4.0</v>
      </c>
      <c r="V89" s="5" t="s">
        <v>540</v>
      </c>
      <c r="W89" s="5">
        <v>1.0</v>
      </c>
      <c r="X89" s="5">
        <v>2.0</v>
      </c>
      <c r="Y89" s="5" t="s">
        <v>619</v>
      </c>
      <c r="Z89" s="24">
        <v>2.0</v>
      </c>
      <c r="AA89" s="25">
        <v>1.0</v>
      </c>
      <c r="AB89" s="25">
        <v>2.0</v>
      </c>
      <c r="AC89" s="16" t="s">
        <v>1175</v>
      </c>
      <c r="AD89" s="26">
        <v>0.97</v>
      </c>
      <c r="AE89" s="26">
        <v>3.1</v>
      </c>
      <c r="AF89" s="26">
        <f t="shared" si="3"/>
        <v>0</v>
      </c>
      <c r="AG89" s="16" t="str">
        <f t="shared" si="4"/>
        <v>No</v>
      </c>
      <c r="AH89" s="15" t="str">
        <f t="shared" si="5"/>
        <v>No</v>
      </c>
      <c r="AI89" s="32">
        <v>0.1</v>
      </c>
      <c r="AJ89" s="16" t="s">
        <v>230</v>
      </c>
      <c r="AK89" s="15"/>
      <c r="AL89" s="15"/>
      <c r="AM89" s="15"/>
      <c r="AN89" s="9"/>
      <c r="AO89" s="9">
        <f t="shared" si="6"/>
        <v>37.2</v>
      </c>
      <c r="AP89" s="9">
        <f t="shared" si="7"/>
        <v>34.9</v>
      </c>
      <c r="AQ89" s="9">
        <f t="shared" si="8"/>
        <v>13.5</v>
      </c>
      <c r="AR89" s="9">
        <f t="shared" si="9"/>
        <v>30.9</v>
      </c>
      <c r="AS89" s="16" t="s">
        <v>302</v>
      </c>
      <c r="AT89" s="15"/>
      <c r="AU89" s="15"/>
    </row>
    <row r="90" ht="15.75" customHeight="1">
      <c r="A90" s="15" t="str">
        <f t="shared" si="1"/>
        <v/>
      </c>
      <c r="B90" s="15" t="str">
        <f t="shared" si="2"/>
        <v/>
      </c>
      <c r="C90" s="15"/>
      <c r="D90" s="16" t="s">
        <v>141</v>
      </c>
      <c r="E90" s="15"/>
      <c r="F90" s="12" t="s">
        <v>1611</v>
      </c>
      <c r="G90" s="11" t="s">
        <v>1612</v>
      </c>
      <c r="H90" s="12" t="s">
        <v>1220</v>
      </c>
      <c r="I90" s="13" t="s">
        <v>128</v>
      </c>
      <c r="J90" s="17" t="s">
        <v>715</v>
      </c>
      <c r="K90" s="18">
        <v>121.0</v>
      </c>
      <c r="L90" s="18">
        <v>182.0</v>
      </c>
      <c r="M90" s="18">
        <v>206.5</v>
      </c>
      <c r="N90" s="19">
        <v>1.5</v>
      </c>
      <c r="O90" s="20">
        <v>76.0</v>
      </c>
      <c r="P90" s="21">
        <v>85.0</v>
      </c>
      <c r="Q90" s="5">
        <v>0.0</v>
      </c>
      <c r="R90" s="22">
        <v>19250.0</v>
      </c>
      <c r="S90" s="5">
        <v>38.4090594</v>
      </c>
      <c r="T90" s="5">
        <v>-81.51493288</v>
      </c>
      <c r="U90" s="1">
        <v>1.0</v>
      </c>
      <c r="V90" s="5" t="s">
        <v>180</v>
      </c>
      <c r="W90" s="5">
        <v>0.0</v>
      </c>
      <c r="X90" s="5">
        <v>0.0</v>
      </c>
      <c r="Y90" s="5" t="s">
        <v>116</v>
      </c>
      <c r="Z90" s="24">
        <v>0.0</v>
      </c>
      <c r="AA90" s="37"/>
      <c r="AB90" s="37"/>
      <c r="AC90" s="16" t="s">
        <v>1484</v>
      </c>
      <c r="AD90" s="26">
        <v>1.29</v>
      </c>
      <c r="AE90" s="26">
        <v>5.4</v>
      </c>
      <c r="AF90" s="26">
        <f t="shared" si="3"/>
        <v>0</v>
      </c>
      <c r="AG90" s="16" t="str">
        <f t="shared" si="4"/>
        <v>No</v>
      </c>
      <c r="AH90" s="15" t="str">
        <f t="shared" si="5"/>
        <v>Verify</v>
      </c>
      <c r="AI90" s="32">
        <v>1.4</v>
      </c>
      <c r="AJ90" s="16" t="s">
        <v>230</v>
      </c>
      <c r="AK90" s="15"/>
      <c r="AL90" s="15"/>
      <c r="AM90" s="15"/>
      <c r="AN90" s="9"/>
      <c r="AO90" s="9">
        <f t="shared" si="6"/>
        <v>23.3</v>
      </c>
      <c r="AP90" s="9" t="str">
        <f t="shared" si="7"/>
        <v/>
      </c>
      <c r="AQ90" s="9">
        <f t="shared" si="8"/>
        <v>17.6</v>
      </c>
      <c r="AR90" s="9" t="str">
        <f t="shared" si="9"/>
        <v/>
      </c>
      <c r="AS90" s="16" t="s">
        <v>302</v>
      </c>
      <c r="AT90" s="15"/>
      <c r="AU90" s="15"/>
    </row>
    <row r="91" ht="15.75" customHeight="1">
      <c r="A91" s="15" t="str">
        <f t="shared" si="1"/>
        <v/>
      </c>
      <c r="B91" s="15" t="str">
        <f t="shared" si="2"/>
        <v/>
      </c>
      <c r="C91" s="15"/>
      <c r="D91" s="16" t="s">
        <v>141</v>
      </c>
      <c r="E91" s="15"/>
      <c r="F91" s="12" t="s">
        <v>1618</v>
      </c>
      <c r="G91" s="11" t="s">
        <v>1619</v>
      </c>
      <c r="H91" s="12">
        <v>25071.0</v>
      </c>
      <c r="I91" s="13" t="s">
        <v>128</v>
      </c>
      <c r="J91" s="17" t="s">
        <v>715</v>
      </c>
      <c r="K91" s="18">
        <v>121.0</v>
      </c>
      <c r="L91" s="18">
        <v>182.0</v>
      </c>
      <c r="M91" s="18">
        <v>206.5</v>
      </c>
      <c r="N91" s="19">
        <v>0.76</v>
      </c>
      <c r="O91" s="20">
        <v>76.0</v>
      </c>
      <c r="P91" s="21">
        <v>47.0</v>
      </c>
      <c r="Q91" s="5">
        <v>0.0</v>
      </c>
      <c r="R91" s="22">
        <v>19250.0</v>
      </c>
      <c r="S91" s="5">
        <v>38.40150206</v>
      </c>
      <c r="T91" s="5">
        <v>-81.48289048</v>
      </c>
      <c r="U91" s="1">
        <v>1.0</v>
      </c>
      <c r="V91" s="5" t="s">
        <v>180</v>
      </c>
      <c r="W91" s="5">
        <v>0.0</v>
      </c>
      <c r="X91" s="5">
        <v>0.0</v>
      </c>
      <c r="Y91" s="5" t="s">
        <v>116</v>
      </c>
      <c r="Z91" s="24">
        <v>0.0</v>
      </c>
      <c r="AA91" s="25">
        <v>1.0</v>
      </c>
      <c r="AB91" s="25">
        <v>2.0</v>
      </c>
      <c r="AC91" s="15"/>
      <c r="AD91" s="38"/>
      <c r="AE91" s="26">
        <v>5.3</v>
      </c>
      <c r="AF91" s="26" t="str">
        <f t="shared" si="3"/>
        <v/>
      </c>
      <c r="AG91" s="16" t="str">
        <f t="shared" si="4"/>
        <v>Verify</v>
      </c>
      <c r="AH91" s="15" t="str">
        <f t="shared" si="5"/>
        <v>No</v>
      </c>
      <c r="AI91" s="32">
        <v>2.7</v>
      </c>
      <c r="AJ91" s="16" t="s">
        <v>230</v>
      </c>
      <c r="AK91" s="15"/>
      <c r="AL91" s="15"/>
      <c r="AM91" s="15"/>
      <c r="AN91" s="9"/>
      <c r="AO91" s="9">
        <f t="shared" si="6"/>
        <v>23.3</v>
      </c>
      <c r="AP91" s="9" t="str">
        <f t="shared" si="7"/>
        <v/>
      </c>
      <c r="AQ91" s="9">
        <f t="shared" si="8"/>
        <v>16.4</v>
      </c>
      <c r="AR91" s="9" t="str">
        <f t="shared" si="9"/>
        <v/>
      </c>
      <c r="AS91" s="16" t="s">
        <v>302</v>
      </c>
      <c r="AT91" s="15"/>
      <c r="AU91" s="15"/>
    </row>
    <row r="92" ht="15.75" customHeight="1">
      <c r="A92" s="15">
        <f t="shared" si="1"/>
        <v>96</v>
      </c>
      <c r="B92" s="15" t="str">
        <f t="shared" si="2"/>
        <v>Tier 3</v>
      </c>
      <c r="C92" s="15"/>
      <c r="D92" s="16" t="s">
        <v>141</v>
      </c>
      <c r="E92" s="15"/>
      <c r="F92" s="12" t="s">
        <v>1623</v>
      </c>
      <c r="G92" s="11" t="s">
        <v>1624</v>
      </c>
      <c r="H92" s="12">
        <v>26568.0</v>
      </c>
      <c r="I92" s="13" t="s">
        <v>101</v>
      </c>
      <c r="J92" s="17" t="s">
        <v>169</v>
      </c>
      <c r="K92" s="18">
        <v>6.0</v>
      </c>
      <c r="L92" s="18">
        <v>11.0</v>
      </c>
      <c r="M92" s="18">
        <v>9.0</v>
      </c>
      <c r="N92" s="19">
        <v>0.76</v>
      </c>
      <c r="O92" s="20">
        <v>77.0</v>
      </c>
      <c r="P92" s="21">
        <v>0.0</v>
      </c>
      <c r="Q92" s="5">
        <v>0.0</v>
      </c>
      <c r="R92" s="22">
        <v>67885.0</v>
      </c>
      <c r="S92" s="5">
        <v>39.42485</v>
      </c>
      <c r="T92" s="5">
        <v>-80.27789284</v>
      </c>
      <c r="U92" s="1">
        <v>8.0</v>
      </c>
      <c r="V92" s="5" t="s">
        <v>1254</v>
      </c>
      <c r="W92" s="5">
        <v>2.0</v>
      </c>
      <c r="X92" s="5">
        <v>0.0</v>
      </c>
      <c r="Y92" s="5" t="s">
        <v>116</v>
      </c>
      <c r="Z92" s="24">
        <v>0.0</v>
      </c>
      <c r="AA92" s="25">
        <v>4.0</v>
      </c>
      <c r="AB92" s="25">
        <v>6.0</v>
      </c>
      <c r="AC92" s="16" t="s">
        <v>1627</v>
      </c>
      <c r="AD92" s="26">
        <v>2.26</v>
      </c>
      <c r="AE92" s="26">
        <v>0.2</v>
      </c>
      <c r="AF92" s="26">
        <f t="shared" si="3"/>
        <v>2.06</v>
      </c>
      <c r="AG92" s="16" t="str">
        <f t="shared" si="4"/>
        <v>No</v>
      </c>
      <c r="AH92" s="15" t="str">
        <f t="shared" si="5"/>
        <v>No</v>
      </c>
      <c r="AI92" s="32">
        <v>2.8</v>
      </c>
      <c r="AJ92" s="16" t="s">
        <v>230</v>
      </c>
      <c r="AK92" s="15"/>
      <c r="AL92" s="15"/>
      <c r="AM92" s="15"/>
      <c r="AN92" s="9"/>
      <c r="AO92" s="9">
        <f t="shared" si="6"/>
        <v>1.2</v>
      </c>
      <c r="AP92" s="9">
        <f t="shared" si="7"/>
        <v>17.8</v>
      </c>
      <c r="AQ92" s="9">
        <f t="shared" si="8"/>
        <v>8.3</v>
      </c>
      <c r="AR92" s="9">
        <f t="shared" si="9"/>
        <v>10.2</v>
      </c>
      <c r="AS92" s="16" t="s">
        <v>556</v>
      </c>
      <c r="AT92" s="15"/>
      <c r="AU92" s="15"/>
    </row>
    <row r="93" ht="15.75" customHeight="1">
      <c r="A93" s="15" t="str">
        <f t="shared" si="1"/>
        <v/>
      </c>
      <c r="B93" s="15" t="str">
        <f t="shared" si="2"/>
        <v/>
      </c>
      <c r="C93" s="15"/>
      <c r="D93" s="16" t="s">
        <v>141</v>
      </c>
      <c r="E93" s="15"/>
      <c r="F93" s="12" t="s">
        <v>1631</v>
      </c>
      <c r="G93" s="11" t="s">
        <v>1632</v>
      </c>
      <c r="H93" s="12" t="s">
        <v>1227</v>
      </c>
      <c r="I93" s="13" t="s">
        <v>159</v>
      </c>
      <c r="J93" s="17" t="s">
        <v>169</v>
      </c>
      <c r="K93" s="18">
        <v>488.0</v>
      </c>
      <c r="L93" s="18">
        <v>724.0</v>
      </c>
      <c r="M93" s="18">
        <v>956.1</v>
      </c>
      <c r="N93" s="19">
        <v>0.73</v>
      </c>
      <c r="O93" s="20">
        <v>0.0</v>
      </c>
      <c r="P93" s="21">
        <v>0.0</v>
      </c>
      <c r="Q93" s="5">
        <v>0.0</v>
      </c>
      <c r="R93" s="35"/>
      <c r="S93" s="5">
        <v>39.47828073</v>
      </c>
      <c r="T93" s="5">
        <v>-80.1204214</v>
      </c>
      <c r="U93" s="1">
        <v>4.0</v>
      </c>
      <c r="V93" s="5" t="s">
        <v>540</v>
      </c>
      <c r="W93" s="5">
        <v>1.0</v>
      </c>
      <c r="X93" s="5">
        <v>0.0</v>
      </c>
      <c r="Y93" s="5" t="s">
        <v>116</v>
      </c>
      <c r="Z93" s="24">
        <v>0.0</v>
      </c>
      <c r="AA93" s="25">
        <v>4.0</v>
      </c>
      <c r="AB93" s="25">
        <v>6.0</v>
      </c>
      <c r="AC93" s="16" t="s">
        <v>1635</v>
      </c>
      <c r="AD93" s="26">
        <v>0.02</v>
      </c>
      <c r="AE93" s="26">
        <v>1.1</v>
      </c>
      <c r="AF93" s="26">
        <f t="shared" si="3"/>
        <v>0</v>
      </c>
      <c r="AG93" s="16" t="str">
        <f t="shared" si="4"/>
        <v>No</v>
      </c>
      <c r="AH93" s="15" t="str">
        <f t="shared" si="5"/>
        <v>No</v>
      </c>
      <c r="AI93" s="32">
        <v>0.0</v>
      </c>
      <c r="AJ93" s="16" t="s">
        <v>230</v>
      </c>
      <c r="AK93" s="15"/>
      <c r="AL93" s="15"/>
      <c r="AM93" s="15"/>
      <c r="AN93" s="9"/>
      <c r="AO93" s="9">
        <f t="shared" si="6"/>
        <v>94</v>
      </c>
      <c r="AP93" s="9">
        <f t="shared" si="7"/>
        <v>11.1</v>
      </c>
      <c r="AQ93" s="9" t="str">
        <f t="shared" si="8"/>
        <v/>
      </c>
      <c r="AR93" s="9" t="str">
        <f t="shared" si="9"/>
        <v/>
      </c>
      <c r="AS93" s="16" t="s">
        <v>302</v>
      </c>
      <c r="AT93" s="15"/>
      <c r="AU93" s="15"/>
    </row>
    <row r="94" ht="15.75" customHeight="1">
      <c r="A94" s="15" t="str">
        <f t="shared" si="1"/>
        <v/>
      </c>
      <c r="B94" s="15" t="str">
        <f t="shared" si="2"/>
        <v/>
      </c>
      <c r="C94" s="15"/>
      <c r="D94" s="16" t="s">
        <v>141</v>
      </c>
      <c r="E94" s="15"/>
      <c r="F94" s="12" t="s">
        <v>1638</v>
      </c>
      <c r="G94" s="11" t="s">
        <v>1639</v>
      </c>
      <c r="H94" s="12" t="s">
        <v>1229</v>
      </c>
      <c r="I94" s="13" t="s">
        <v>159</v>
      </c>
      <c r="J94" s="17" t="s">
        <v>169</v>
      </c>
      <c r="K94" s="18">
        <v>488.0</v>
      </c>
      <c r="L94" s="18">
        <v>724.0</v>
      </c>
      <c r="M94" s="18">
        <v>956.1</v>
      </c>
      <c r="N94" s="19">
        <v>0.73</v>
      </c>
      <c r="O94" s="20">
        <v>0.0</v>
      </c>
      <c r="P94" s="21">
        <v>0.0</v>
      </c>
      <c r="Q94" s="5">
        <v>0.0</v>
      </c>
      <c r="R94" s="35"/>
      <c r="S94" s="5">
        <v>39.47149474</v>
      </c>
      <c r="T94" s="5">
        <v>-80.17066753</v>
      </c>
      <c r="U94" s="1">
        <v>4.0</v>
      </c>
      <c r="V94" s="5" t="s">
        <v>540</v>
      </c>
      <c r="W94" s="5">
        <v>1.0</v>
      </c>
      <c r="X94" s="5">
        <v>0.0</v>
      </c>
      <c r="Y94" s="5" t="s">
        <v>116</v>
      </c>
      <c r="Z94" s="24">
        <v>0.0</v>
      </c>
      <c r="AA94" s="25">
        <v>4.0</v>
      </c>
      <c r="AB94" s="25">
        <v>6.0</v>
      </c>
      <c r="AC94" s="16" t="s">
        <v>1642</v>
      </c>
      <c r="AD94" s="26">
        <v>0.82</v>
      </c>
      <c r="AE94" s="26">
        <v>3.3</v>
      </c>
      <c r="AF94" s="26">
        <f t="shared" si="3"/>
        <v>0</v>
      </c>
      <c r="AG94" s="16" t="str">
        <f t="shared" si="4"/>
        <v>No</v>
      </c>
      <c r="AH94" s="15" t="str">
        <f t="shared" si="5"/>
        <v>No</v>
      </c>
      <c r="AI94" s="32">
        <v>0.3</v>
      </c>
      <c r="AJ94" s="16" t="s">
        <v>230</v>
      </c>
      <c r="AK94" s="15"/>
      <c r="AL94" s="15"/>
      <c r="AM94" s="15"/>
      <c r="AN94" s="9"/>
      <c r="AO94" s="9">
        <f t="shared" si="6"/>
        <v>94</v>
      </c>
      <c r="AP94" s="9">
        <f t="shared" si="7"/>
        <v>13.5</v>
      </c>
      <c r="AQ94" s="9" t="str">
        <f t="shared" si="8"/>
        <v/>
      </c>
      <c r="AR94" s="9" t="str">
        <f t="shared" si="9"/>
        <v/>
      </c>
      <c r="AS94" s="16" t="s">
        <v>302</v>
      </c>
      <c r="AT94" s="15"/>
      <c r="AU94" s="15"/>
    </row>
    <row r="95" ht="15.75" customHeight="1">
      <c r="A95" s="15" t="str">
        <f t="shared" si="1"/>
        <v/>
      </c>
      <c r="B95" s="15" t="str">
        <f t="shared" si="2"/>
        <v/>
      </c>
      <c r="C95" s="15"/>
      <c r="D95" s="16" t="s">
        <v>141</v>
      </c>
      <c r="E95" s="15"/>
      <c r="F95" s="12" t="s">
        <v>1645</v>
      </c>
      <c r="G95" s="11" t="s">
        <v>1646</v>
      </c>
      <c r="H95" s="12" t="s">
        <v>1233</v>
      </c>
      <c r="I95" s="13" t="s">
        <v>159</v>
      </c>
      <c r="J95" s="17" t="s">
        <v>169</v>
      </c>
      <c r="K95" s="18">
        <v>488.0</v>
      </c>
      <c r="L95" s="18">
        <v>724.0</v>
      </c>
      <c r="M95" s="18">
        <v>956.1</v>
      </c>
      <c r="N95" s="19">
        <v>2.37</v>
      </c>
      <c r="O95" s="20">
        <v>0.0</v>
      </c>
      <c r="P95" s="21">
        <v>23.0</v>
      </c>
      <c r="Q95" s="5">
        <v>0.0</v>
      </c>
      <c r="R95" s="35"/>
      <c r="S95" s="5">
        <v>39.4844261</v>
      </c>
      <c r="T95" s="5">
        <v>-80.14360507</v>
      </c>
      <c r="U95" s="1">
        <v>4.0</v>
      </c>
      <c r="V95" s="5" t="s">
        <v>540</v>
      </c>
      <c r="W95" s="5">
        <v>1.0</v>
      </c>
      <c r="X95" s="5">
        <v>0.0</v>
      </c>
      <c r="Y95" s="5" t="s">
        <v>116</v>
      </c>
      <c r="Z95" s="24">
        <v>0.0</v>
      </c>
      <c r="AA95" s="37"/>
      <c r="AB95" s="37"/>
      <c r="AC95" s="16" t="s">
        <v>1307</v>
      </c>
      <c r="AD95" s="26">
        <v>0.83</v>
      </c>
      <c r="AE95" s="26">
        <v>2.2</v>
      </c>
      <c r="AF95" s="26">
        <f t="shared" si="3"/>
        <v>0</v>
      </c>
      <c r="AG95" s="16" t="str">
        <f t="shared" si="4"/>
        <v>No</v>
      </c>
      <c r="AH95" s="15" t="str">
        <f t="shared" si="5"/>
        <v>Verify</v>
      </c>
      <c r="AI95" s="32">
        <v>1.0</v>
      </c>
      <c r="AJ95" s="16" t="s">
        <v>230</v>
      </c>
      <c r="AK95" s="15"/>
      <c r="AL95" s="15"/>
      <c r="AM95" s="15"/>
      <c r="AN95" s="9"/>
      <c r="AO95" s="9">
        <f t="shared" si="6"/>
        <v>94</v>
      </c>
      <c r="AP95" s="9" t="str">
        <f t="shared" si="7"/>
        <v/>
      </c>
      <c r="AQ95" s="9" t="str">
        <f t="shared" si="8"/>
        <v/>
      </c>
      <c r="AR95" s="9" t="str">
        <f t="shared" si="9"/>
        <v/>
      </c>
      <c r="AS95" s="16" t="s">
        <v>302</v>
      </c>
      <c r="AT95" s="15"/>
      <c r="AU95" s="15"/>
    </row>
    <row r="96" ht="15.75" customHeight="1">
      <c r="A96" s="15" t="str">
        <f t="shared" si="1"/>
        <v/>
      </c>
      <c r="B96" s="15" t="str">
        <f t="shared" si="2"/>
        <v/>
      </c>
      <c r="C96" s="15"/>
      <c r="D96" s="16" t="s">
        <v>141</v>
      </c>
      <c r="E96" s="15"/>
      <c r="F96" s="12" t="s">
        <v>1653</v>
      </c>
      <c r="G96" s="11" t="s">
        <v>1654</v>
      </c>
      <c r="H96" s="12">
        <v>25419.0</v>
      </c>
      <c r="I96" s="13" t="s">
        <v>28</v>
      </c>
      <c r="J96" s="17" t="s">
        <v>576</v>
      </c>
      <c r="K96" s="18">
        <v>109.0</v>
      </c>
      <c r="L96" s="18">
        <v>161.0</v>
      </c>
      <c r="M96" s="18">
        <v>191.8</v>
      </c>
      <c r="N96" s="19">
        <v>1.02</v>
      </c>
      <c r="O96" s="20">
        <v>11.0</v>
      </c>
      <c r="P96" s="21">
        <v>0.0</v>
      </c>
      <c r="Q96" s="5">
        <v>0.0</v>
      </c>
      <c r="R96" s="22">
        <v>38674.0</v>
      </c>
      <c r="S96" s="5">
        <v>39.57589098</v>
      </c>
      <c r="T96" s="5">
        <v>-77.87925457</v>
      </c>
      <c r="U96" s="1">
        <v>1.0</v>
      </c>
      <c r="V96" s="5" t="s">
        <v>180</v>
      </c>
      <c r="W96" s="5">
        <v>0.0</v>
      </c>
      <c r="X96" s="5">
        <v>0.0</v>
      </c>
      <c r="Y96" s="5" t="s">
        <v>116</v>
      </c>
      <c r="Z96" s="24">
        <v>0.0</v>
      </c>
      <c r="AA96" s="25">
        <v>0.0</v>
      </c>
      <c r="AB96" s="25">
        <v>0.0</v>
      </c>
      <c r="AC96" s="15"/>
      <c r="AD96" s="38"/>
      <c r="AE96" s="26">
        <v>0.6</v>
      </c>
      <c r="AF96" s="26" t="str">
        <f t="shared" si="3"/>
        <v/>
      </c>
      <c r="AG96" s="16" t="str">
        <f t="shared" si="4"/>
        <v>Verify</v>
      </c>
      <c r="AH96" s="15" t="str">
        <f t="shared" si="5"/>
        <v>Yes</v>
      </c>
      <c r="AI96" s="32">
        <v>0.2</v>
      </c>
      <c r="AJ96" s="16" t="s">
        <v>230</v>
      </c>
      <c r="AK96" s="15"/>
      <c r="AL96" s="15"/>
      <c r="AM96" s="15"/>
      <c r="AN96" s="9"/>
      <c r="AO96" s="9">
        <f t="shared" si="6"/>
        <v>21</v>
      </c>
      <c r="AP96" s="9" t="str">
        <f t="shared" si="7"/>
        <v/>
      </c>
      <c r="AQ96" s="9">
        <f t="shared" si="8"/>
        <v>11.3</v>
      </c>
      <c r="AR96" s="9" t="str">
        <f t="shared" si="9"/>
        <v/>
      </c>
      <c r="AS96" s="16" t="s">
        <v>302</v>
      </c>
      <c r="AT96" s="15"/>
      <c r="AU96" s="15"/>
    </row>
    <row r="97" ht="15.75" customHeight="1">
      <c r="A97" s="15">
        <f t="shared" si="1"/>
        <v>33</v>
      </c>
      <c r="B97" s="15" t="str">
        <f t="shared" si="2"/>
        <v>Tier 2</v>
      </c>
      <c r="C97" s="15"/>
      <c r="D97" s="16" t="s">
        <v>141</v>
      </c>
      <c r="E97" s="15"/>
      <c r="F97" s="12" t="s">
        <v>1661</v>
      </c>
      <c r="G97" s="11" t="s">
        <v>1662</v>
      </c>
      <c r="H97" s="12">
        <v>25840.0</v>
      </c>
      <c r="I97" s="13" t="s">
        <v>74</v>
      </c>
      <c r="J97" s="17" t="s">
        <v>392</v>
      </c>
      <c r="K97" s="18">
        <v>63.0</v>
      </c>
      <c r="L97" s="18">
        <v>94.0</v>
      </c>
      <c r="M97" s="18">
        <v>226.4</v>
      </c>
      <c r="N97" s="19">
        <v>0.57</v>
      </c>
      <c r="O97" s="20">
        <v>323.0</v>
      </c>
      <c r="P97" s="21">
        <v>0.0</v>
      </c>
      <c r="Q97" s="5">
        <v>44.8</v>
      </c>
      <c r="R97" s="22">
        <v>38954.0</v>
      </c>
      <c r="S97" s="5">
        <v>38.05242444</v>
      </c>
      <c r="T97" s="5">
        <v>-81.10940125</v>
      </c>
      <c r="U97" s="1">
        <v>1.0</v>
      </c>
      <c r="V97" s="5" t="s">
        <v>180</v>
      </c>
      <c r="W97" s="5">
        <v>0.0</v>
      </c>
      <c r="X97" s="5">
        <v>0.0</v>
      </c>
      <c r="Y97" s="5" t="s">
        <v>116</v>
      </c>
      <c r="Z97" s="24">
        <v>0.0</v>
      </c>
      <c r="AA97" s="25">
        <v>0.0</v>
      </c>
      <c r="AB97" s="25">
        <v>0.0</v>
      </c>
      <c r="AC97" s="16" t="s">
        <v>401</v>
      </c>
      <c r="AD97" s="26">
        <v>5.76</v>
      </c>
      <c r="AE97" s="26">
        <v>1.0</v>
      </c>
      <c r="AF97" s="26">
        <f t="shared" si="3"/>
        <v>4.76</v>
      </c>
      <c r="AG97" s="16" t="str">
        <f t="shared" si="4"/>
        <v>No</v>
      </c>
      <c r="AH97" s="15" t="str">
        <f t="shared" si="5"/>
        <v>Yes</v>
      </c>
      <c r="AI97" s="32">
        <v>1.4</v>
      </c>
      <c r="AJ97" s="16" t="s">
        <v>230</v>
      </c>
      <c r="AK97" s="15"/>
      <c r="AL97" s="15"/>
      <c r="AM97" s="15"/>
      <c r="AN97" s="9"/>
      <c r="AO97" s="9">
        <f t="shared" si="6"/>
        <v>12.1</v>
      </c>
      <c r="AP97" s="9">
        <f t="shared" si="7"/>
        <v>57.3</v>
      </c>
      <c r="AQ97" s="9">
        <f t="shared" si="8"/>
        <v>21.9</v>
      </c>
      <c r="AR97" s="9">
        <f t="shared" si="9"/>
        <v>34.4</v>
      </c>
      <c r="AS97" s="16" t="s">
        <v>302</v>
      </c>
      <c r="AT97" s="15"/>
      <c r="AU97" s="15"/>
    </row>
    <row r="98" ht="15.75" customHeight="1">
      <c r="A98" s="15" t="str">
        <f t="shared" si="1"/>
        <v/>
      </c>
      <c r="B98" s="15" t="str">
        <f t="shared" si="2"/>
        <v/>
      </c>
      <c r="C98" s="15"/>
      <c r="D98" s="16" t="s">
        <v>141</v>
      </c>
      <c r="E98" s="15"/>
      <c r="F98" s="12" t="s">
        <v>1667</v>
      </c>
      <c r="G98" s="11" t="s">
        <v>1668</v>
      </c>
      <c r="H98" s="12" t="s">
        <v>1240</v>
      </c>
      <c r="I98" s="13" t="s">
        <v>247</v>
      </c>
      <c r="J98" s="17" t="s">
        <v>169</v>
      </c>
      <c r="K98" s="18">
        <v>22.0</v>
      </c>
      <c r="L98" s="18">
        <v>35.0</v>
      </c>
      <c r="M98" s="18">
        <v>98.1</v>
      </c>
      <c r="N98" s="19">
        <v>0.92</v>
      </c>
      <c r="O98" s="20">
        <v>163.0</v>
      </c>
      <c r="P98" s="21">
        <v>0.0</v>
      </c>
      <c r="Q98" s="5">
        <v>6.1</v>
      </c>
      <c r="R98" s="22">
        <v>81106.0</v>
      </c>
      <c r="S98" s="5">
        <v>39.26827143</v>
      </c>
      <c r="T98" s="5">
        <v>-80.14148094</v>
      </c>
      <c r="U98" s="1">
        <v>3.0</v>
      </c>
      <c r="V98" s="5" t="s">
        <v>180</v>
      </c>
      <c r="W98" s="5">
        <v>0.0</v>
      </c>
      <c r="X98" s="5">
        <v>0.0</v>
      </c>
      <c r="Y98" s="5" t="s">
        <v>116</v>
      </c>
      <c r="Z98" s="24">
        <v>0.0</v>
      </c>
      <c r="AA98" s="37"/>
      <c r="AB98" s="37"/>
      <c r="AC98" s="16" t="s">
        <v>1247</v>
      </c>
      <c r="AD98" s="26">
        <v>5.66</v>
      </c>
      <c r="AE98" s="26">
        <v>0.9</v>
      </c>
      <c r="AF98" s="26">
        <f t="shared" si="3"/>
        <v>4.76</v>
      </c>
      <c r="AG98" s="16" t="str">
        <f t="shared" si="4"/>
        <v>No</v>
      </c>
      <c r="AH98" s="15" t="str">
        <f t="shared" si="5"/>
        <v>Verify</v>
      </c>
      <c r="AI98" s="32">
        <v>5.6</v>
      </c>
      <c r="AJ98" s="16" t="s">
        <v>230</v>
      </c>
      <c r="AK98" s="15"/>
      <c r="AL98" s="15"/>
      <c r="AM98" s="15"/>
      <c r="AN98" s="9"/>
      <c r="AO98" s="9">
        <f t="shared" si="6"/>
        <v>4.2</v>
      </c>
      <c r="AP98" s="9" t="str">
        <f t="shared" si="7"/>
        <v/>
      </c>
      <c r="AQ98" s="9">
        <f t="shared" si="8"/>
        <v>8.6</v>
      </c>
      <c r="AR98" s="9" t="str">
        <f t="shared" si="9"/>
        <v/>
      </c>
      <c r="AS98" s="16" t="s">
        <v>302</v>
      </c>
      <c r="AT98" s="15"/>
      <c r="AU98" s="15"/>
    </row>
    <row r="99" ht="15.75" customHeight="1">
      <c r="A99" s="15" t="str">
        <f t="shared" si="1"/>
        <v/>
      </c>
      <c r="B99" s="15" t="str">
        <f t="shared" si="2"/>
        <v/>
      </c>
      <c r="C99" s="15"/>
      <c r="D99" s="16" t="s">
        <v>141</v>
      </c>
      <c r="E99" s="15"/>
      <c r="F99" s="12" t="s">
        <v>1672</v>
      </c>
      <c r="G99" s="11" t="s">
        <v>1673</v>
      </c>
      <c r="H99" s="12" t="s">
        <v>1244</v>
      </c>
      <c r="I99" s="13" t="s">
        <v>181</v>
      </c>
      <c r="J99" s="17" t="s">
        <v>576</v>
      </c>
      <c r="K99" s="18">
        <v>16.0</v>
      </c>
      <c r="L99" s="18">
        <v>22.0</v>
      </c>
      <c r="M99" s="18">
        <v>13.2</v>
      </c>
      <c r="N99" s="19">
        <v>0.57</v>
      </c>
      <c r="O99" s="20">
        <v>22.0</v>
      </c>
      <c r="P99" s="21">
        <v>0.0</v>
      </c>
      <c r="Q99" s="5">
        <v>0.0</v>
      </c>
      <c r="R99" s="22">
        <v>53646.0</v>
      </c>
      <c r="S99" s="5">
        <v>39.50878705</v>
      </c>
      <c r="T99" s="5">
        <v>-78.77245101</v>
      </c>
      <c r="U99" s="1">
        <v>5.0</v>
      </c>
      <c r="V99" s="5" t="s">
        <v>540</v>
      </c>
      <c r="W99" s="5">
        <v>1.0</v>
      </c>
      <c r="X99" s="5">
        <v>1.0</v>
      </c>
      <c r="Y99" s="5" t="s">
        <v>471</v>
      </c>
      <c r="Z99" s="24">
        <v>1.0</v>
      </c>
      <c r="AA99" s="25">
        <v>0.0</v>
      </c>
      <c r="AB99" s="25">
        <v>0.0</v>
      </c>
      <c r="AC99" s="15"/>
      <c r="AD99" s="38"/>
      <c r="AE99" s="26">
        <v>0.8</v>
      </c>
      <c r="AF99" s="26" t="str">
        <f t="shared" si="3"/>
        <v/>
      </c>
      <c r="AG99" s="16" t="str">
        <f t="shared" si="4"/>
        <v>Verify</v>
      </c>
      <c r="AH99" s="15" t="str">
        <f t="shared" si="5"/>
        <v>Yes</v>
      </c>
      <c r="AI99" s="32">
        <v>8.5</v>
      </c>
      <c r="AJ99" s="16" t="s">
        <v>230</v>
      </c>
      <c r="AK99" s="15"/>
      <c r="AL99" s="15"/>
      <c r="AM99" s="15"/>
      <c r="AN99" s="9"/>
      <c r="AO99" s="9">
        <f t="shared" si="6"/>
        <v>3.1</v>
      </c>
      <c r="AP99" s="9" t="str">
        <f t="shared" si="7"/>
        <v/>
      </c>
      <c r="AQ99" s="9">
        <f t="shared" si="8"/>
        <v>9.5</v>
      </c>
      <c r="AR99" s="9" t="str">
        <f t="shared" si="9"/>
        <v/>
      </c>
      <c r="AS99" s="16" t="s">
        <v>302</v>
      </c>
      <c r="AT99" s="15"/>
      <c r="AU99" s="15"/>
    </row>
    <row r="100" ht="15.75" customHeight="1">
      <c r="A100" s="15" t="str">
        <f t="shared" si="1"/>
        <v/>
      </c>
      <c r="B100" s="15" t="str">
        <f t="shared" si="2"/>
        <v/>
      </c>
      <c r="C100" s="15"/>
      <c r="D100" s="16" t="s">
        <v>141</v>
      </c>
      <c r="E100" s="15"/>
      <c r="F100" s="12" t="s">
        <v>1679</v>
      </c>
      <c r="G100" s="11" t="s">
        <v>1680</v>
      </c>
      <c r="H100" s="12" t="s">
        <v>1246</v>
      </c>
      <c r="I100" s="13" t="s">
        <v>256</v>
      </c>
      <c r="J100" s="17" t="s">
        <v>715</v>
      </c>
      <c r="K100" s="18">
        <v>70.0</v>
      </c>
      <c r="L100" s="18">
        <v>107.0</v>
      </c>
      <c r="M100" s="18">
        <v>52.2</v>
      </c>
      <c r="N100" s="19">
        <v>0.57</v>
      </c>
      <c r="O100" s="20">
        <v>0.0</v>
      </c>
      <c r="P100" s="21">
        <v>0.0</v>
      </c>
      <c r="Q100" s="5">
        <v>0.0</v>
      </c>
      <c r="R100" s="35"/>
      <c r="S100" s="5">
        <v>38.11891626</v>
      </c>
      <c r="T100" s="5">
        <v>-82.58876562</v>
      </c>
      <c r="U100" s="1">
        <v>9.0</v>
      </c>
      <c r="V100" s="5" t="s">
        <v>1254</v>
      </c>
      <c r="W100" s="5">
        <v>2.0</v>
      </c>
      <c r="X100" s="5">
        <v>0.0</v>
      </c>
      <c r="Y100" s="5" t="s">
        <v>116</v>
      </c>
      <c r="Z100" s="24">
        <v>0.0</v>
      </c>
      <c r="AA100" s="25">
        <v>0.0</v>
      </c>
      <c r="AB100" s="25">
        <v>0.0</v>
      </c>
      <c r="AC100" s="16" t="s">
        <v>1682</v>
      </c>
      <c r="AD100" s="26">
        <v>8.77</v>
      </c>
      <c r="AE100" s="26">
        <v>4.5</v>
      </c>
      <c r="AF100" s="26">
        <f t="shared" si="3"/>
        <v>4.27</v>
      </c>
      <c r="AG100" s="16" t="str">
        <f t="shared" si="4"/>
        <v>No</v>
      </c>
      <c r="AH100" s="15" t="str">
        <f t="shared" si="5"/>
        <v>Yes</v>
      </c>
      <c r="AI100" s="32">
        <v>2.2</v>
      </c>
      <c r="AJ100" s="16" t="s">
        <v>230</v>
      </c>
      <c r="AK100" s="15"/>
      <c r="AL100" s="15"/>
      <c r="AM100" s="15"/>
      <c r="AN100" s="9"/>
      <c r="AO100" s="9">
        <f t="shared" si="6"/>
        <v>13.5</v>
      </c>
      <c r="AP100" s="9">
        <f t="shared" si="7"/>
        <v>66.3</v>
      </c>
      <c r="AQ100" s="9" t="str">
        <f t="shared" si="8"/>
        <v/>
      </c>
      <c r="AR100" s="9" t="str">
        <f t="shared" si="9"/>
        <v/>
      </c>
      <c r="AS100" s="16" t="s">
        <v>302</v>
      </c>
      <c r="AT100" s="15"/>
      <c r="AU100" s="15"/>
    </row>
    <row r="101" ht="15.75" customHeight="1">
      <c r="A101" s="15">
        <f t="shared" si="1"/>
        <v>21</v>
      </c>
      <c r="B101" s="15" t="str">
        <f t="shared" si="2"/>
        <v>Tier 1</v>
      </c>
      <c r="C101" s="15"/>
      <c r="D101" s="16" t="s">
        <v>141</v>
      </c>
      <c r="E101" s="15"/>
      <c r="F101" s="12" t="s">
        <v>1684</v>
      </c>
      <c r="G101" s="11" t="s">
        <v>1685</v>
      </c>
      <c r="H101" s="12">
        <v>25081.0</v>
      </c>
      <c r="I101" s="13" t="s">
        <v>288</v>
      </c>
      <c r="J101" s="17" t="s">
        <v>715</v>
      </c>
      <c r="K101" s="18">
        <v>16.0</v>
      </c>
      <c r="L101" s="18">
        <v>24.0</v>
      </c>
      <c r="M101" s="18">
        <v>3.2</v>
      </c>
      <c r="N101" s="19">
        <v>0.92</v>
      </c>
      <c r="O101" s="20">
        <v>0.0</v>
      </c>
      <c r="P101" s="21">
        <v>259.0</v>
      </c>
      <c r="Q101" s="5">
        <v>0.0</v>
      </c>
      <c r="R101" s="22">
        <v>36154.0</v>
      </c>
      <c r="S101" s="5">
        <v>38.09963333</v>
      </c>
      <c r="T101" s="5">
        <v>-81.830931</v>
      </c>
      <c r="U101" s="1">
        <v>2.0</v>
      </c>
      <c r="V101" s="5" t="s">
        <v>180</v>
      </c>
      <c r="W101" s="5">
        <v>0.0</v>
      </c>
      <c r="X101" s="5">
        <v>0.0</v>
      </c>
      <c r="Y101" s="5" t="s">
        <v>116</v>
      </c>
      <c r="Z101" s="24">
        <v>0.0</v>
      </c>
      <c r="AA101" s="25">
        <v>0.0</v>
      </c>
      <c r="AB101" s="25">
        <v>0.0</v>
      </c>
      <c r="AC101" s="16" t="s">
        <v>1687</v>
      </c>
      <c r="AD101" s="26">
        <v>10.84</v>
      </c>
      <c r="AE101" s="26">
        <v>3.7</v>
      </c>
      <c r="AF101" s="26">
        <f t="shared" si="3"/>
        <v>7.14</v>
      </c>
      <c r="AG101" s="16" t="str">
        <f t="shared" si="4"/>
        <v>Yes</v>
      </c>
      <c r="AH101" s="15" t="str">
        <f t="shared" si="5"/>
        <v>Yes</v>
      </c>
      <c r="AI101" s="32">
        <v>0.9</v>
      </c>
      <c r="AJ101" s="16" t="s">
        <v>230</v>
      </c>
      <c r="AK101" s="15"/>
      <c r="AL101" s="15"/>
      <c r="AM101" s="15"/>
      <c r="AN101" s="9"/>
      <c r="AO101" s="9">
        <f t="shared" si="6"/>
        <v>3.1</v>
      </c>
      <c r="AP101" s="9">
        <f t="shared" si="7"/>
        <v>72.5</v>
      </c>
      <c r="AQ101" s="9">
        <f t="shared" si="8"/>
        <v>19.7</v>
      </c>
      <c r="AR101" s="9">
        <f t="shared" si="9"/>
        <v>37.6</v>
      </c>
      <c r="AS101" s="16" t="s">
        <v>230</v>
      </c>
      <c r="AT101" s="15"/>
      <c r="AU101" s="15"/>
    </row>
    <row r="102" ht="15.75" customHeight="1">
      <c r="A102" s="15" t="str">
        <f t="shared" si="1"/>
        <v/>
      </c>
      <c r="B102" s="15" t="str">
        <f t="shared" si="2"/>
        <v/>
      </c>
      <c r="C102" s="15"/>
      <c r="D102" s="16" t="s">
        <v>141</v>
      </c>
      <c r="E102" s="15"/>
      <c r="F102" s="12" t="s">
        <v>1690</v>
      </c>
      <c r="G102" s="11" t="s">
        <v>1691</v>
      </c>
      <c r="H102" s="12">
        <v>24938.0</v>
      </c>
      <c r="I102" s="13" t="s">
        <v>82</v>
      </c>
      <c r="J102" s="17" t="s">
        <v>331</v>
      </c>
      <c r="K102" s="18">
        <v>28.0</v>
      </c>
      <c r="L102" s="18">
        <v>48.0</v>
      </c>
      <c r="M102" s="18">
        <v>21.8</v>
      </c>
      <c r="N102" s="19">
        <v>0.92</v>
      </c>
      <c r="O102" s="20">
        <v>33.0</v>
      </c>
      <c r="P102" s="21">
        <v>52.0</v>
      </c>
      <c r="Q102" s="5">
        <v>11.2</v>
      </c>
      <c r="R102" s="35"/>
      <c r="S102" s="5">
        <v>37.92858621</v>
      </c>
      <c r="T102" s="5">
        <v>-80.38479417</v>
      </c>
      <c r="U102" s="1">
        <v>8.0</v>
      </c>
      <c r="V102" s="5" t="s">
        <v>1254</v>
      </c>
      <c r="W102" s="5">
        <v>2.0</v>
      </c>
      <c r="X102" s="5">
        <v>0.0</v>
      </c>
      <c r="Y102" s="5" t="s">
        <v>116</v>
      </c>
      <c r="Z102" s="24">
        <v>0.0</v>
      </c>
      <c r="AA102" s="25">
        <v>0.0</v>
      </c>
      <c r="AB102" s="25">
        <v>0.0</v>
      </c>
      <c r="AC102" s="16" t="s">
        <v>1696</v>
      </c>
      <c r="AD102" s="26">
        <v>8.33</v>
      </c>
      <c r="AE102" s="26">
        <v>0.8</v>
      </c>
      <c r="AF102" s="26">
        <f t="shared" si="3"/>
        <v>7.53</v>
      </c>
      <c r="AG102" s="16" t="str">
        <f t="shared" si="4"/>
        <v>No</v>
      </c>
      <c r="AH102" s="15" t="str">
        <f t="shared" si="5"/>
        <v>Yes</v>
      </c>
      <c r="AI102" s="32">
        <v>8.4</v>
      </c>
      <c r="AJ102" s="16" t="s">
        <v>230</v>
      </c>
      <c r="AK102" s="15"/>
      <c r="AL102" s="15"/>
      <c r="AM102" s="15"/>
      <c r="AN102" s="9"/>
      <c r="AO102" s="9">
        <f t="shared" si="6"/>
        <v>5.4</v>
      </c>
      <c r="AP102" s="9">
        <f t="shared" si="7"/>
        <v>65</v>
      </c>
      <c r="AQ102" s="9" t="str">
        <f t="shared" si="8"/>
        <v/>
      </c>
      <c r="AR102" s="9" t="str">
        <f t="shared" si="9"/>
        <v/>
      </c>
      <c r="AS102" s="16" t="s">
        <v>302</v>
      </c>
      <c r="AT102" s="15"/>
      <c r="AU102" s="15"/>
    </row>
    <row r="103" ht="15.75" customHeight="1">
      <c r="A103" s="15" t="str">
        <f t="shared" si="1"/>
        <v/>
      </c>
      <c r="B103" s="15" t="str">
        <f t="shared" si="2"/>
        <v/>
      </c>
      <c r="C103" s="15"/>
      <c r="D103" s="16" t="s">
        <v>141</v>
      </c>
      <c r="E103" s="15"/>
      <c r="F103" s="12" t="s">
        <v>1702</v>
      </c>
      <c r="G103" s="11" t="s">
        <v>1703</v>
      </c>
      <c r="H103" s="12" t="s">
        <v>1253</v>
      </c>
      <c r="I103" s="13" t="s">
        <v>252</v>
      </c>
      <c r="J103" s="17" t="s">
        <v>663</v>
      </c>
      <c r="K103" s="18">
        <v>43.0</v>
      </c>
      <c r="L103" s="18">
        <v>63.0</v>
      </c>
      <c r="M103" s="18">
        <v>89.1</v>
      </c>
      <c r="N103" s="19">
        <v>0.57</v>
      </c>
      <c r="O103" s="20">
        <v>0.0</v>
      </c>
      <c r="P103" s="21">
        <v>0.0</v>
      </c>
      <c r="Q103" s="5">
        <v>0.0</v>
      </c>
      <c r="R103" s="35"/>
      <c r="S103" s="5">
        <v>38.8941901</v>
      </c>
      <c r="T103" s="5">
        <v>-80.28942689</v>
      </c>
      <c r="U103" s="1">
        <v>8.0</v>
      </c>
      <c r="V103" s="5" t="s">
        <v>1254</v>
      </c>
      <c r="W103" s="5">
        <v>2.0</v>
      </c>
      <c r="X103" s="5">
        <v>3.0</v>
      </c>
      <c r="Y103" s="5" t="s">
        <v>1255</v>
      </c>
      <c r="Z103" s="24">
        <v>3.0</v>
      </c>
      <c r="AA103" s="25">
        <v>0.0</v>
      </c>
      <c r="AB103" s="25">
        <v>0.0</v>
      </c>
      <c r="AC103" s="16" t="s">
        <v>1256</v>
      </c>
      <c r="AD103" s="26">
        <v>6.86</v>
      </c>
      <c r="AE103" s="26">
        <v>3.6</v>
      </c>
      <c r="AF103" s="26">
        <f t="shared" si="3"/>
        <v>3.26</v>
      </c>
      <c r="AG103" s="16" t="str">
        <f t="shared" si="4"/>
        <v>No</v>
      </c>
      <c r="AH103" s="15" t="str">
        <f t="shared" si="5"/>
        <v>Yes</v>
      </c>
      <c r="AI103" s="32">
        <v>4.6</v>
      </c>
      <c r="AJ103" s="16" t="s">
        <v>230</v>
      </c>
      <c r="AK103" s="15"/>
      <c r="AL103" s="15"/>
      <c r="AM103" s="15"/>
      <c r="AN103" s="9"/>
      <c r="AO103" s="9">
        <f t="shared" si="6"/>
        <v>8.3</v>
      </c>
      <c r="AP103" s="9">
        <f t="shared" si="7"/>
        <v>60.6</v>
      </c>
      <c r="AQ103" s="9" t="str">
        <f t="shared" si="8"/>
        <v/>
      </c>
      <c r="AR103" s="9" t="str">
        <f t="shared" si="9"/>
        <v/>
      </c>
      <c r="AS103" s="16" t="s">
        <v>302</v>
      </c>
      <c r="AT103" s="15"/>
      <c r="AU103" s="15"/>
    </row>
    <row r="104" ht="15.75" customHeight="1">
      <c r="A104" s="15" t="str">
        <f t="shared" si="1"/>
        <v/>
      </c>
      <c r="B104" s="15" t="str">
        <f t="shared" si="2"/>
        <v/>
      </c>
      <c r="C104" s="15"/>
      <c r="D104" s="16" t="s">
        <v>141</v>
      </c>
      <c r="E104" s="15"/>
      <c r="F104" s="12" t="s">
        <v>1710</v>
      </c>
      <c r="G104" s="11" t="s">
        <v>1711</v>
      </c>
      <c r="H104" s="12" t="s">
        <v>1258</v>
      </c>
      <c r="I104" s="13" t="s">
        <v>168</v>
      </c>
      <c r="J104" s="17" t="s">
        <v>439</v>
      </c>
      <c r="K104" s="18">
        <v>32.0</v>
      </c>
      <c r="L104" s="18">
        <v>47.0</v>
      </c>
      <c r="M104" s="18">
        <v>59.2</v>
      </c>
      <c r="N104" s="19">
        <v>1.44</v>
      </c>
      <c r="O104" s="20">
        <v>10.0</v>
      </c>
      <c r="P104" s="21">
        <v>225.0</v>
      </c>
      <c r="Q104" s="5">
        <v>0.0</v>
      </c>
      <c r="R104" s="22">
        <v>50270.0</v>
      </c>
      <c r="S104" s="5">
        <v>38.76984676</v>
      </c>
      <c r="T104" s="5">
        <v>-82.19832994</v>
      </c>
      <c r="U104" s="1">
        <v>6.0</v>
      </c>
      <c r="V104" s="5" t="s">
        <v>540</v>
      </c>
      <c r="W104" s="5">
        <v>1.0</v>
      </c>
      <c r="X104" s="5">
        <v>0.0</v>
      </c>
      <c r="Y104" s="5" t="s">
        <v>116</v>
      </c>
      <c r="Z104" s="24">
        <v>0.0</v>
      </c>
      <c r="AA104" s="37"/>
      <c r="AB104" s="37"/>
      <c r="AC104" s="16" t="s">
        <v>1720</v>
      </c>
      <c r="AD104" s="26">
        <v>5.91</v>
      </c>
      <c r="AE104" s="26">
        <v>2.9</v>
      </c>
      <c r="AF104" s="26">
        <f t="shared" si="3"/>
        <v>3.01</v>
      </c>
      <c r="AG104" s="16" t="str">
        <f t="shared" si="4"/>
        <v>No</v>
      </c>
      <c r="AH104" s="15" t="str">
        <f t="shared" si="5"/>
        <v>Verify</v>
      </c>
      <c r="AI104" s="32">
        <v>2.6</v>
      </c>
      <c r="AJ104" s="16" t="s">
        <v>230</v>
      </c>
      <c r="AK104" s="15"/>
      <c r="AL104" s="15"/>
      <c r="AM104" s="15"/>
      <c r="AN104" s="9"/>
      <c r="AO104" s="9">
        <f t="shared" si="6"/>
        <v>6.2</v>
      </c>
      <c r="AP104" s="9" t="str">
        <f t="shared" si="7"/>
        <v/>
      </c>
      <c r="AQ104" s="9">
        <f t="shared" si="8"/>
        <v>16.8</v>
      </c>
      <c r="AR104" s="9" t="str">
        <f t="shared" si="9"/>
        <v/>
      </c>
      <c r="AS104" s="16" t="s">
        <v>302</v>
      </c>
      <c r="AT104" s="15"/>
      <c r="AU104" s="15"/>
    </row>
    <row r="105" ht="15.75" customHeight="1">
      <c r="A105" s="15" t="str">
        <f t="shared" si="1"/>
        <v/>
      </c>
      <c r="B105" s="15" t="str">
        <f t="shared" si="2"/>
        <v/>
      </c>
      <c r="C105" s="15"/>
      <c r="D105" s="16" t="s">
        <v>141</v>
      </c>
      <c r="E105" s="15"/>
      <c r="F105" s="12" t="s">
        <v>1723</v>
      </c>
      <c r="G105" s="11" t="s">
        <v>1724</v>
      </c>
      <c r="H105" s="12" t="s">
        <v>1260</v>
      </c>
      <c r="I105" s="13" t="s">
        <v>48</v>
      </c>
      <c r="J105" s="17" t="s">
        <v>331</v>
      </c>
      <c r="K105" s="18">
        <v>45.0</v>
      </c>
      <c r="L105" s="18">
        <v>66.0</v>
      </c>
      <c r="M105" s="18">
        <v>30.5</v>
      </c>
      <c r="N105" s="19">
        <v>0.96</v>
      </c>
      <c r="O105" s="20">
        <v>14.0</v>
      </c>
      <c r="P105" s="21">
        <v>112.0</v>
      </c>
      <c r="Q105" s="5">
        <v>0.0</v>
      </c>
      <c r="R105" s="22">
        <v>60282.0</v>
      </c>
      <c r="S105" s="5">
        <v>38.67531441</v>
      </c>
      <c r="T105" s="5">
        <v>-80.76644429</v>
      </c>
      <c r="U105" s="1">
        <v>10.0</v>
      </c>
      <c r="V105" s="5" t="s">
        <v>342</v>
      </c>
      <c r="W105" s="5">
        <v>3.0</v>
      </c>
      <c r="X105" s="5">
        <v>0.0</v>
      </c>
      <c r="Y105" s="5" t="s">
        <v>116</v>
      </c>
      <c r="Z105" s="24">
        <v>0.0</v>
      </c>
      <c r="AA105" s="37"/>
      <c r="AB105" s="37"/>
      <c r="AC105" s="15"/>
      <c r="AD105" s="38"/>
      <c r="AE105" s="26">
        <v>4.2</v>
      </c>
      <c r="AF105" s="26" t="str">
        <f t="shared" si="3"/>
        <v/>
      </c>
      <c r="AG105" s="16" t="str">
        <f t="shared" si="4"/>
        <v>Verify</v>
      </c>
      <c r="AH105" s="15" t="str">
        <f t="shared" si="5"/>
        <v>Verify</v>
      </c>
      <c r="AI105" s="32">
        <v>1.5</v>
      </c>
      <c r="AJ105" s="16" t="s">
        <v>230</v>
      </c>
      <c r="AK105" s="15"/>
      <c r="AL105" s="15"/>
      <c r="AM105" s="15"/>
      <c r="AN105" s="9"/>
      <c r="AO105" s="9">
        <f t="shared" si="6"/>
        <v>8.7</v>
      </c>
      <c r="AP105" s="9" t="str">
        <f t="shared" si="7"/>
        <v/>
      </c>
      <c r="AQ105" s="9">
        <f t="shared" si="8"/>
        <v>12</v>
      </c>
      <c r="AR105" s="9" t="str">
        <f t="shared" si="9"/>
        <v/>
      </c>
      <c r="AS105" s="16" t="s">
        <v>302</v>
      </c>
      <c r="AT105" s="15"/>
      <c r="AU105" s="15"/>
    </row>
    <row r="106" ht="15.75" customHeight="1">
      <c r="A106" s="15" t="str">
        <f t="shared" si="1"/>
        <v/>
      </c>
      <c r="B106" s="15" t="str">
        <f t="shared" si="2"/>
        <v/>
      </c>
      <c r="C106" s="15"/>
      <c r="D106" s="16" t="s">
        <v>141</v>
      </c>
      <c r="E106" s="15"/>
      <c r="F106" s="12" t="s">
        <v>1729</v>
      </c>
      <c r="G106" s="11" t="s">
        <v>1730</v>
      </c>
      <c r="H106" s="12" t="s">
        <v>1263</v>
      </c>
      <c r="I106" s="13" t="s">
        <v>256</v>
      </c>
      <c r="J106" s="17" t="s">
        <v>715</v>
      </c>
      <c r="K106" s="18">
        <v>46.0</v>
      </c>
      <c r="L106" s="18">
        <v>70.0</v>
      </c>
      <c r="M106" s="18">
        <v>31.1</v>
      </c>
      <c r="N106" s="19">
        <v>1.76</v>
      </c>
      <c r="O106" s="20">
        <v>45.0</v>
      </c>
      <c r="P106" s="21">
        <v>112.0</v>
      </c>
      <c r="Q106" s="5">
        <v>0.0</v>
      </c>
      <c r="R106" s="22">
        <v>72857.0</v>
      </c>
      <c r="S106" s="5">
        <v>38.07961733</v>
      </c>
      <c r="T106" s="5">
        <v>-82.45581302</v>
      </c>
      <c r="U106" s="1">
        <v>9.0</v>
      </c>
      <c r="V106" s="5" t="s">
        <v>1254</v>
      </c>
      <c r="W106" s="5">
        <v>2.0</v>
      </c>
      <c r="X106" s="5">
        <v>0.0</v>
      </c>
      <c r="Y106" s="5" t="s">
        <v>116</v>
      </c>
      <c r="Z106" s="24">
        <v>0.0</v>
      </c>
      <c r="AA106" s="37"/>
      <c r="AB106" s="37"/>
      <c r="AC106" s="15"/>
      <c r="AD106" s="38"/>
      <c r="AE106" s="26">
        <v>2.1</v>
      </c>
      <c r="AF106" s="26" t="str">
        <f t="shared" si="3"/>
        <v/>
      </c>
      <c r="AG106" s="16" t="str">
        <f t="shared" si="4"/>
        <v>Verify</v>
      </c>
      <c r="AH106" s="15" t="str">
        <f t="shared" si="5"/>
        <v>Verify</v>
      </c>
      <c r="AI106" s="32">
        <v>9.3</v>
      </c>
      <c r="AJ106" s="16" t="s">
        <v>230</v>
      </c>
      <c r="AK106" s="15"/>
      <c r="AL106" s="15"/>
      <c r="AM106" s="15"/>
      <c r="AN106" s="9"/>
      <c r="AO106" s="9">
        <f t="shared" si="6"/>
        <v>8.9</v>
      </c>
      <c r="AP106" s="9" t="str">
        <f t="shared" si="7"/>
        <v/>
      </c>
      <c r="AQ106" s="9">
        <f t="shared" si="8"/>
        <v>10.7</v>
      </c>
      <c r="AR106" s="9" t="str">
        <f t="shared" si="9"/>
        <v/>
      </c>
      <c r="AS106" s="16" t="s">
        <v>302</v>
      </c>
      <c r="AT106" s="15"/>
      <c r="AU106" s="15"/>
    </row>
    <row r="107" ht="15.75" customHeight="1">
      <c r="A107" s="15" t="str">
        <f t="shared" si="1"/>
        <v/>
      </c>
      <c r="B107" s="15" t="str">
        <f t="shared" si="2"/>
        <v/>
      </c>
      <c r="C107" s="15"/>
      <c r="D107" s="16" t="s">
        <v>420</v>
      </c>
      <c r="E107" s="16" t="s">
        <v>230</v>
      </c>
      <c r="F107" s="12" t="s">
        <v>1781</v>
      </c>
      <c r="G107" s="11" t="s">
        <v>1782</v>
      </c>
      <c r="H107" s="12">
        <v>25420.0</v>
      </c>
      <c r="I107" s="13" t="s">
        <v>28</v>
      </c>
      <c r="J107" s="17" t="s">
        <v>576</v>
      </c>
      <c r="K107" s="18">
        <v>38.0</v>
      </c>
      <c r="L107" s="18">
        <v>63.0</v>
      </c>
      <c r="M107" s="18">
        <v>61.5</v>
      </c>
      <c r="N107" s="39"/>
      <c r="O107" s="20">
        <v>0.0</v>
      </c>
      <c r="P107" s="21">
        <v>0.0</v>
      </c>
      <c r="Q107" s="5">
        <v>0.0</v>
      </c>
      <c r="R107" s="35"/>
      <c r="S107" s="5">
        <v>39.38294309</v>
      </c>
      <c r="T107" s="5">
        <v>-78.1529129</v>
      </c>
      <c r="U107" s="1">
        <v>2.0</v>
      </c>
      <c r="V107" s="5" t="s">
        <v>180</v>
      </c>
      <c r="W107" s="5">
        <v>0.0</v>
      </c>
      <c r="X107" s="5">
        <v>0.0</v>
      </c>
      <c r="Y107" s="5" t="s">
        <v>116</v>
      </c>
      <c r="Z107" s="24">
        <v>0.0</v>
      </c>
      <c r="AA107" s="25">
        <v>0.0</v>
      </c>
      <c r="AB107" s="25">
        <v>0.0</v>
      </c>
      <c r="AC107" s="15"/>
      <c r="AD107" s="38"/>
      <c r="AE107" s="26">
        <v>1.8</v>
      </c>
      <c r="AF107" s="26" t="str">
        <f t="shared" si="3"/>
        <v/>
      </c>
      <c r="AG107" s="16" t="str">
        <f t="shared" si="4"/>
        <v>Verify</v>
      </c>
      <c r="AH107" s="15" t="str">
        <f t="shared" si="5"/>
        <v>Yes</v>
      </c>
      <c r="AI107" s="32">
        <v>3.2</v>
      </c>
      <c r="AJ107" s="16" t="s">
        <v>230</v>
      </c>
      <c r="AK107" s="15"/>
      <c r="AL107" s="15"/>
      <c r="AM107" s="15"/>
      <c r="AN107" s="9"/>
      <c r="AO107" s="9">
        <f t="shared" si="6"/>
        <v>7.3</v>
      </c>
      <c r="AP107" s="9" t="str">
        <f t="shared" si="7"/>
        <v/>
      </c>
      <c r="AQ107" s="9" t="str">
        <f t="shared" si="8"/>
        <v/>
      </c>
      <c r="AR107" s="9" t="str">
        <f t="shared" si="9"/>
        <v/>
      </c>
      <c r="AS107" s="16" t="s">
        <v>302</v>
      </c>
      <c r="AT107" s="15"/>
      <c r="AU107" s="15"/>
    </row>
    <row r="108" ht="15.75" customHeight="1">
      <c r="A108" s="15" t="str">
        <f t="shared" si="1"/>
        <v/>
      </c>
      <c r="B108" s="15" t="str">
        <f t="shared" si="2"/>
        <v/>
      </c>
      <c r="C108" s="15"/>
      <c r="D108" s="16" t="s">
        <v>141</v>
      </c>
      <c r="E108" s="15"/>
      <c r="F108" s="12" t="s">
        <v>1806</v>
      </c>
      <c r="G108" s="11" t="s">
        <v>1807</v>
      </c>
      <c r="H108" s="12">
        <v>25843.0</v>
      </c>
      <c r="I108" s="13" t="s">
        <v>225</v>
      </c>
      <c r="J108" s="17" t="s">
        <v>392</v>
      </c>
      <c r="K108" s="18">
        <v>15.0</v>
      </c>
      <c r="L108" s="18">
        <v>25.0</v>
      </c>
      <c r="M108" s="18">
        <v>12.0</v>
      </c>
      <c r="N108" s="19">
        <v>1.22</v>
      </c>
      <c r="O108" s="20">
        <v>749.0</v>
      </c>
      <c r="P108" s="21">
        <v>67.0</v>
      </c>
      <c r="Q108" s="5">
        <v>101.4</v>
      </c>
      <c r="R108" s="22">
        <v>43039.0</v>
      </c>
      <c r="S108" s="5">
        <v>37.61707162</v>
      </c>
      <c r="T108" s="5">
        <v>-81.11473423</v>
      </c>
      <c r="U108" s="1">
        <v>2.0</v>
      </c>
      <c r="V108" s="5" t="s">
        <v>180</v>
      </c>
      <c r="W108" s="5">
        <v>0.0</v>
      </c>
      <c r="X108" s="5">
        <v>0.0</v>
      </c>
      <c r="Y108" s="5" t="s">
        <v>116</v>
      </c>
      <c r="Z108" s="24">
        <v>0.0</v>
      </c>
      <c r="AA108" s="37"/>
      <c r="AB108" s="37"/>
      <c r="AC108" s="16" t="s">
        <v>1497</v>
      </c>
      <c r="AD108" s="26">
        <v>7.7</v>
      </c>
      <c r="AE108" s="26">
        <v>1.0</v>
      </c>
      <c r="AF108" s="26">
        <f t="shared" si="3"/>
        <v>6.7</v>
      </c>
      <c r="AG108" s="16" t="str">
        <f t="shared" si="4"/>
        <v>No</v>
      </c>
      <c r="AH108" s="15" t="str">
        <f t="shared" si="5"/>
        <v>Verify</v>
      </c>
      <c r="AI108" s="32">
        <v>7.7</v>
      </c>
      <c r="AJ108" s="16" t="s">
        <v>230</v>
      </c>
      <c r="AK108" s="15"/>
      <c r="AL108" s="15"/>
      <c r="AM108" s="15"/>
      <c r="AN108" s="9"/>
      <c r="AO108" s="9">
        <f t="shared" si="6"/>
        <v>2.9</v>
      </c>
      <c r="AP108" s="9" t="str">
        <f t="shared" si="7"/>
        <v/>
      </c>
      <c r="AQ108" s="9">
        <f t="shared" si="8"/>
        <v>37.4</v>
      </c>
      <c r="AR108" s="9" t="str">
        <f t="shared" si="9"/>
        <v/>
      </c>
      <c r="AS108" s="16" t="s">
        <v>302</v>
      </c>
      <c r="AT108" s="15"/>
      <c r="AU108" s="15"/>
    </row>
    <row r="109" ht="15.75" customHeight="1">
      <c r="A109" s="15" t="str">
        <f t="shared" si="1"/>
        <v/>
      </c>
      <c r="B109" s="15" t="str">
        <f t="shared" si="2"/>
        <v/>
      </c>
      <c r="C109" s="15"/>
      <c r="D109" s="16" t="s">
        <v>141</v>
      </c>
      <c r="E109" s="15"/>
      <c r="F109" s="12" t="s">
        <v>1817</v>
      </c>
      <c r="G109" s="11" t="s">
        <v>1818</v>
      </c>
      <c r="H109" s="12" t="s">
        <v>1267</v>
      </c>
      <c r="I109" s="13" t="s">
        <v>978</v>
      </c>
      <c r="J109" s="17" t="s">
        <v>392</v>
      </c>
      <c r="K109" s="18">
        <v>22.0</v>
      </c>
      <c r="L109" s="18">
        <v>35.0</v>
      </c>
      <c r="M109" s="18">
        <v>29.1</v>
      </c>
      <c r="N109" s="19">
        <v>1.25</v>
      </c>
      <c r="O109" s="20">
        <v>433.0</v>
      </c>
      <c r="P109" s="21">
        <v>0.0</v>
      </c>
      <c r="Q109" s="5">
        <v>9.5</v>
      </c>
      <c r="R109" s="22">
        <v>77517.0</v>
      </c>
      <c r="S109" s="5">
        <v>37.59094824</v>
      </c>
      <c r="T109" s="5">
        <v>-81.84191635</v>
      </c>
      <c r="U109" s="1">
        <v>10.0</v>
      </c>
      <c r="V109" s="5" t="s">
        <v>342</v>
      </c>
      <c r="W109" s="5">
        <v>3.0</v>
      </c>
      <c r="X109" s="5">
        <v>4.0</v>
      </c>
      <c r="Y109" s="5" t="s">
        <v>1190</v>
      </c>
      <c r="Z109" s="24">
        <v>4.0</v>
      </c>
      <c r="AA109" s="37"/>
      <c r="AB109" s="37"/>
      <c r="AC109" s="15"/>
      <c r="AD109" s="38"/>
      <c r="AE109" s="26">
        <v>4.7</v>
      </c>
      <c r="AF109" s="26" t="str">
        <f t="shared" si="3"/>
        <v/>
      </c>
      <c r="AG109" s="16" t="str">
        <f t="shared" si="4"/>
        <v>Verify</v>
      </c>
      <c r="AH109" s="15" t="str">
        <f t="shared" si="5"/>
        <v>Verify</v>
      </c>
      <c r="AI109" s="32">
        <v>1.6</v>
      </c>
      <c r="AJ109" s="16" t="s">
        <v>230</v>
      </c>
      <c r="AK109" s="15"/>
      <c r="AL109" s="15"/>
      <c r="AM109" s="15"/>
      <c r="AN109" s="9"/>
      <c r="AO109" s="9">
        <f t="shared" si="6"/>
        <v>4.2</v>
      </c>
      <c r="AP109" s="9" t="str">
        <f t="shared" si="7"/>
        <v/>
      </c>
      <c r="AQ109" s="9">
        <f t="shared" si="8"/>
        <v>13.5</v>
      </c>
      <c r="AR109" s="9" t="str">
        <f t="shared" si="9"/>
        <v/>
      </c>
      <c r="AS109" s="16" t="s">
        <v>302</v>
      </c>
      <c r="AT109" s="15"/>
      <c r="AU109" s="15"/>
    </row>
    <row r="110" ht="15.75" customHeight="1">
      <c r="A110" s="15" t="str">
        <f t="shared" si="1"/>
        <v/>
      </c>
      <c r="B110" s="15" t="str">
        <f t="shared" si="2"/>
        <v/>
      </c>
      <c r="C110" s="15"/>
      <c r="D110" s="16" t="s">
        <v>141</v>
      </c>
      <c r="E110" s="15"/>
      <c r="F110" s="12" t="s">
        <v>1826</v>
      </c>
      <c r="G110" s="11" t="s">
        <v>1828</v>
      </c>
      <c r="H110" s="12">
        <v>25086.0</v>
      </c>
      <c r="I110" s="13" t="s">
        <v>128</v>
      </c>
      <c r="J110" s="17" t="s">
        <v>715</v>
      </c>
      <c r="K110" s="18">
        <v>14.0</v>
      </c>
      <c r="L110" s="18">
        <v>26.0</v>
      </c>
      <c r="M110" s="18">
        <v>6.3</v>
      </c>
      <c r="N110" s="19">
        <v>1.33</v>
      </c>
      <c r="O110" s="20">
        <v>0.0</v>
      </c>
      <c r="P110" s="21">
        <v>24.0</v>
      </c>
      <c r="Q110" s="5">
        <v>0.0</v>
      </c>
      <c r="R110" s="22">
        <v>74554.0</v>
      </c>
      <c r="S110" s="5">
        <v>38.21087554</v>
      </c>
      <c r="T110" s="5">
        <v>-81.42297136</v>
      </c>
      <c r="U110" s="1">
        <v>2.0</v>
      </c>
      <c r="V110" s="5" t="s">
        <v>180</v>
      </c>
      <c r="W110" s="5">
        <v>0.0</v>
      </c>
      <c r="X110" s="5">
        <v>0.0</v>
      </c>
      <c r="Y110" s="5" t="s">
        <v>116</v>
      </c>
      <c r="Z110" s="24">
        <v>0.0</v>
      </c>
      <c r="AA110" s="37"/>
      <c r="AB110" s="37"/>
      <c r="AC110" s="15"/>
      <c r="AD110" s="38"/>
      <c r="AE110" s="26">
        <v>0.7</v>
      </c>
      <c r="AF110" s="26" t="str">
        <f t="shared" si="3"/>
        <v/>
      </c>
      <c r="AG110" s="16" t="str">
        <f t="shared" si="4"/>
        <v>Verify</v>
      </c>
      <c r="AH110" s="15" t="str">
        <f t="shared" si="5"/>
        <v>Verify</v>
      </c>
      <c r="AI110" s="32">
        <v>0.4</v>
      </c>
      <c r="AJ110" s="16" t="s">
        <v>230</v>
      </c>
      <c r="AK110" s="15"/>
      <c r="AL110" s="15"/>
      <c r="AM110" s="15"/>
      <c r="AN110" s="9"/>
      <c r="AO110" s="9">
        <f t="shared" si="6"/>
        <v>2.7</v>
      </c>
      <c r="AP110" s="9" t="str">
        <f t="shared" si="7"/>
        <v/>
      </c>
      <c r="AQ110" s="9">
        <f t="shared" si="8"/>
        <v>7</v>
      </c>
      <c r="AR110" s="9" t="str">
        <f t="shared" si="9"/>
        <v/>
      </c>
      <c r="AS110" s="16" t="s">
        <v>302</v>
      </c>
      <c r="AT110" s="15"/>
      <c r="AU110" s="15"/>
    </row>
    <row r="111" ht="15.75" customHeight="1">
      <c r="A111" s="15" t="str">
        <f t="shared" si="1"/>
        <v/>
      </c>
      <c r="B111" s="15" t="str">
        <f t="shared" si="2"/>
        <v/>
      </c>
      <c r="C111" s="15"/>
      <c r="D111" s="16" t="s">
        <v>141</v>
      </c>
      <c r="E111" s="15"/>
      <c r="F111" s="12" t="s">
        <v>1836</v>
      </c>
      <c r="G111" s="11" t="s">
        <v>1837</v>
      </c>
      <c r="H111" s="12" t="s">
        <v>1270</v>
      </c>
      <c r="I111" s="13" t="s">
        <v>225</v>
      </c>
      <c r="J111" s="17" t="s">
        <v>392</v>
      </c>
      <c r="K111" s="18">
        <v>16.0</v>
      </c>
      <c r="L111" s="18">
        <v>30.0</v>
      </c>
      <c r="M111" s="18">
        <v>7.6</v>
      </c>
      <c r="N111" s="19">
        <v>0.96</v>
      </c>
      <c r="O111" s="20">
        <v>657.0</v>
      </c>
      <c r="P111" s="21">
        <v>0.0</v>
      </c>
      <c r="Q111" s="5">
        <v>47.5</v>
      </c>
      <c r="R111" s="22">
        <v>69324.0</v>
      </c>
      <c r="S111" s="5">
        <v>37.77845353</v>
      </c>
      <c r="T111" s="5">
        <v>-81.34128896</v>
      </c>
      <c r="U111" s="1">
        <v>2.0</v>
      </c>
      <c r="V111" s="5" t="s">
        <v>180</v>
      </c>
      <c r="W111" s="5">
        <v>0.0</v>
      </c>
      <c r="X111" s="5">
        <v>0.0</v>
      </c>
      <c r="Y111" s="5" t="s">
        <v>116</v>
      </c>
      <c r="Z111" s="24">
        <v>0.0</v>
      </c>
      <c r="AA111" s="37"/>
      <c r="AB111" s="37"/>
      <c r="AC111" s="15"/>
      <c r="AD111" s="38"/>
      <c r="AE111" s="26">
        <v>2.2</v>
      </c>
      <c r="AF111" s="26" t="str">
        <f t="shared" si="3"/>
        <v/>
      </c>
      <c r="AG111" s="16" t="str">
        <f t="shared" si="4"/>
        <v>Verify</v>
      </c>
      <c r="AH111" s="15" t="str">
        <f t="shared" si="5"/>
        <v>Verify</v>
      </c>
      <c r="AI111" s="32">
        <v>0.3</v>
      </c>
      <c r="AJ111" s="16" t="s">
        <v>230</v>
      </c>
      <c r="AK111" s="15"/>
      <c r="AL111" s="15"/>
      <c r="AM111" s="15"/>
      <c r="AN111" s="9"/>
      <c r="AO111" s="9">
        <f t="shared" si="6"/>
        <v>3.1</v>
      </c>
      <c r="AP111" s="9" t="str">
        <f t="shared" si="7"/>
        <v/>
      </c>
      <c r="AQ111" s="9">
        <f t="shared" si="8"/>
        <v>23</v>
      </c>
      <c r="AR111" s="9" t="str">
        <f t="shared" si="9"/>
        <v/>
      </c>
      <c r="AS111" s="16" t="s">
        <v>302</v>
      </c>
      <c r="AT111" s="15"/>
      <c r="AU111" s="15"/>
    </row>
    <row r="112" ht="15.75" customHeight="1">
      <c r="A112" s="15" t="str">
        <f t="shared" si="1"/>
        <v/>
      </c>
      <c r="B112" s="15" t="str">
        <f t="shared" si="2"/>
        <v/>
      </c>
      <c r="C112" s="15"/>
      <c r="D112" s="16" t="s">
        <v>141</v>
      </c>
      <c r="E112" s="15"/>
      <c r="F112" s="12" t="s">
        <v>1846</v>
      </c>
      <c r="G112" s="11" t="s">
        <v>1847</v>
      </c>
      <c r="H112" s="12">
        <v>25846.0</v>
      </c>
      <c r="I112" s="13" t="s">
        <v>74</v>
      </c>
      <c r="J112" s="17" t="s">
        <v>392</v>
      </c>
      <c r="K112" s="18">
        <v>4.0</v>
      </c>
      <c r="L112" s="18">
        <v>5.0</v>
      </c>
      <c r="M112" s="18">
        <v>0.0</v>
      </c>
      <c r="N112" s="19">
        <v>1.27</v>
      </c>
      <c r="O112" s="40"/>
      <c r="P112" s="21">
        <v>0.0</v>
      </c>
      <c r="Q112" s="41"/>
      <c r="R112" s="35"/>
      <c r="S112" s="5">
        <v>37.92370391</v>
      </c>
      <c r="T112" s="5">
        <v>-81.16079909</v>
      </c>
      <c r="U112" s="1">
        <v>1.0</v>
      </c>
      <c r="V112" s="5" t="s">
        <v>180</v>
      </c>
      <c r="W112" s="5">
        <v>0.0</v>
      </c>
      <c r="X112" s="5">
        <v>0.0</v>
      </c>
      <c r="Y112" s="5" t="s">
        <v>116</v>
      </c>
      <c r="Z112" s="24">
        <v>0.0</v>
      </c>
      <c r="AA112" s="37"/>
      <c r="AB112" s="37"/>
      <c r="AC112" s="15"/>
      <c r="AD112" s="38"/>
      <c r="AE112" s="26">
        <v>0.4</v>
      </c>
      <c r="AF112" s="26" t="str">
        <f t="shared" si="3"/>
        <v/>
      </c>
      <c r="AG112" s="16" t="str">
        <f t="shared" si="4"/>
        <v>Verify</v>
      </c>
      <c r="AH112" s="15" t="str">
        <f t="shared" si="5"/>
        <v>Verify</v>
      </c>
      <c r="AI112" s="32">
        <v>3.6</v>
      </c>
      <c r="AJ112" s="16" t="s">
        <v>230</v>
      </c>
      <c r="AK112" s="15"/>
      <c r="AL112" s="15"/>
      <c r="AM112" s="15"/>
      <c r="AN112" s="9"/>
      <c r="AO112" s="9">
        <f t="shared" si="6"/>
        <v>0.8</v>
      </c>
      <c r="AP112" s="9" t="str">
        <f t="shared" si="7"/>
        <v/>
      </c>
      <c r="AQ112" s="9" t="str">
        <f t="shared" si="8"/>
        <v/>
      </c>
      <c r="AR112" s="9" t="str">
        <f t="shared" si="9"/>
        <v/>
      </c>
      <c r="AS112" s="16" t="s">
        <v>302</v>
      </c>
      <c r="AT112" s="15"/>
      <c r="AU112" s="15"/>
    </row>
    <row r="113" ht="15.75" customHeight="1">
      <c r="A113" s="15" t="str">
        <f t="shared" si="1"/>
        <v/>
      </c>
      <c r="B113" s="15" t="str">
        <f t="shared" si="2"/>
        <v/>
      </c>
      <c r="C113" s="15"/>
      <c r="D113" s="16" t="s">
        <v>141</v>
      </c>
      <c r="E113" s="15"/>
      <c r="F113" s="12" t="s">
        <v>1851</v>
      </c>
      <c r="G113" s="11" t="s">
        <v>1852</v>
      </c>
      <c r="H113" s="43"/>
      <c r="I113" s="13" t="s">
        <v>710</v>
      </c>
      <c r="J113" s="17" t="s">
        <v>439</v>
      </c>
      <c r="K113" s="18">
        <v>52.0</v>
      </c>
      <c r="L113" s="18">
        <v>75.0</v>
      </c>
      <c r="M113" s="18">
        <v>69.1</v>
      </c>
      <c r="N113" s="19">
        <v>0.43</v>
      </c>
      <c r="O113" s="40"/>
      <c r="P113" s="21">
        <v>0.0</v>
      </c>
      <c r="Q113" s="5">
        <v>0.0</v>
      </c>
      <c r="R113" s="35"/>
      <c r="S113" s="5">
        <v>38.93615089</v>
      </c>
      <c r="T113" s="5">
        <v>-80.815117</v>
      </c>
      <c r="U113" s="1">
        <v>10.0</v>
      </c>
      <c r="V113" s="41"/>
      <c r="W113" s="5">
        <v>3.0</v>
      </c>
      <c r="X113" s="5">
        <v>4.0</v>
      </c>
      <c r="Y113" s="5" t="s">
        <v>1190</v>
      </c>
      <c r="Z113" s="24">
        <v>4.0</v>
      </c>
      <c r="AA113" s="25">
        <v>1.0</v>
      </c>
      <c r="AB113" s="25">
        <v>2.0</v>
      </c>
      <c r="AC113" s="15"/>
      <c r="AD113" s="38"/>
      <c r="AE113" s="26">
        <v>1.4</v>
      </c>
      <c r="AF113" s="26" t="str">
        <f t="shared" si="3"/>
        <v/>
      </c>
      <c r="AG113" s="16" t="str">
        <f t="shared" si="4"/>
        <v>Verify</v>
      </c>
      <c r="AH113" s="15" t="str">
        <f t="shared" si="5"/>
        <v>No</v>
      </c>
      <c r="AI113" s="32">
        <v>0.3</v>
      </c>
      <c r="AJ113" s="16" t="s">
        <v>230</v>
      </c>
      <c r="AK113" s="15"/>
      <c r="AL113" s="15"/>
      <c r="AM113" s="15"/>
      <c r="AN113" s="9"/>
      <c r="AO113" s="9">
        <f t="shared" si="6"/>
        <v>10</v>
      </c>
      <c r="AP113" s="9" t="str">
        <f t="shared" si="7"/>
        <v/>
      </c>
      <c r="AQ113" s="9" t="str">
        <f t="shared" si="8"/>
        <v/>
      </c>
      <c r="AR113" s="9" t="str">
        <f t="shared" si="9"/>
        <v/>
      </c>
      <c r="AS113" s="16" t="s">
        <v>302</v>
      </c>
      <c r="AT113" s="15"/>
      <c r="AU113" s="15"/>
    </row>
    <row r="114" ht="15.75" customHeight="1">
      <c r="A114" s="15">
        <f t="shared" si="1"/>
        <v>48</v>
      </c>
      <c r="B114" s="15" t="str">
        <f t="shared" si="2"/>
        <v>Tier 2</v>
      </c>
      <c r="C114" s="15"/>
      <c r="D114" s="16" t="s">
        <v>141</v>
      </c>
      <c r="E114" s="15"/>
      <c r="F114" s="12" t="s">
        <v>1860</v>
      </c>
      <c r="G114" s="11" t="s">
        <v>1861</v>
      </c>
      <c r="H114" s="12" t="s">
        <v>1277</v>
      </c>
      <c r="I114" s="13" t="s">
        <v>247</v>
      </c>
      <c r="J114" s="17" t="s">
        <v>169</v>
      </c>
      <c r="K114" s="18">
        <v>114.0</v>
      </c>
      <c r="L114" s="18">
        <v>195.0</v>
      </c>
      <c r="M114" s="18">
        <v>225.3</v>
      </c>
      <c r="N114" s="19">
        <v>1.44</v>
      </c>
      <c r="O114" s="20">
        <v>505.0</v>
      </c>
      <c r="P114" s="21">
        <v>0.0</v>
      </c>
      <c r="Q114" s="5">
        <v>36.2</v>
      </c>
      <c r="R114" s="22">
        <v>55578.0</v>
      </c>
      <c r="S114" s="5">
        <v>39.34533741</v>
      </c>
      <c r="T114" s="5">
        <v>-80.00336726</v>
      </c>
      <c r="U114" s="1">
        <v>7.0</v>
      </c>
      <c r="V114" s="5" t="s">
        <v>1254</v>
      </c>
      <c r="W114" s="5">
        <v>2.0</v>
      </c>
      <c r="X114" s="5">
        <v>0.0</v>
      </c>
      <c r="Y114" s="5" t="s">
        <v>116</v>
      </c>
      <c r="Z114" s="24">
        <v>0.0</v>
      </c>
      <c r="AA114" s="25">
        <v>1.0</v>
      </c>
      <c r="AB114" s="25">
        <v>2.0</v>
      </c>
      <c r="AC114" s="16" t="s">
        <v>1863</v>
      </c>
      <c r="AD114" s="26">
        <v>2.21</v>
      </c>
      <c r="AE114" s="26">
        <v>1.0</v>
      </c>
      <c r="AF114" s="26">
        <f t="shared" si="3"/>
        <v>1.21</v>
      </c>
      <c r="AG114" s="16" t="str">
        <f t="shared" si="4"/>
        <v>No</v>
      </c>
      <c r="AH114" s="15" t="str">
        <f t="shared" si="5"/>
        <v>No</v>
      </c>
      <c r="AI114" s="32">
        <v>1.0</v>
      </c>
      <c r="AJ114" s="16" t="s">
        <v>230</v>
      </c>
      <c r="AK114" s="15"/>
      <c r="AL114" s="15"/>
      <c r="AM114" s="15"/>
      <c r="AN114" s="9"/>
      <c r="AO114" s="9">
        <f t="shared" si="6"/>
        <v>22</v>
      </c>
      <c r="AP114" s="9">
        <f t="shared" si="7"/>
        <v>38.6</v>
      </c>
      <c r="AQ114" s="9">
        <f t="shared" si="8"/>
        <v>21.1</v>
      </c>
      <c r="AR114" s="9">
        <f t="shared" si="9"/>
        <v>29.2</v>
      </c>
      <c r="AS114" s="16" t="s">
        <v>302</v>
      </c>
      <c r="AT114" s="15"/>
      <c r="AU114" s="15"/>
    </row>
    <row r="115" ht="15.75" customHeight="1">
      <c r="A115" s="15">
        <f t="shared" si="1"/>
        <v>36</v>
      </c>
      <c r="B115" s="15" t="str">
        <f t="shared" si="2"/>
        <v>Tier 2</v>
      </c>
      <c r="C115" s="15"/>
      <c r="D115" s="16" t="s">
        <v>141</v>
      </c>
      <c r="E115" s="15"/>
      <c r="F115" s="12" t="s">
        <v>1864</v>
      </c>
      <c r="G115" s="11" t="s">
        <v>1865</v>
      </c>
      <c r="H115" s="12">
        <v>26354.0</v>
      </c>
      <c r="I115" s="13" t="s">
        <v>247</v>
      </c>
      <c r="J115" s="17" t="s">
        <v>169</v>
      </c>
      <c r="K115" s="18">
        <v>114.0</v>
      </c>
      <c r="L115" s="18">
        <v>195.0</v>
      </c>
      <c r="M115" s="18">
        <v>225.3</v>
      </c>
      <c r="N115" s="19">
        <v>0.53</v>
      </c>
      <c r="O115" s="20">
        <v>505.0</v>
      </c>
      <c r="P115" s="21">
        <v>43.0</v>
      </c>
      <c r="Q115" s="5">
        <v>36.2</v>
      </c>
      <c r="R115" s="22">
        <v>55578.0</v>
      </c>
      <c r="S115" s="5">
        <v>39.33431154</v>
      </c>
      <c r="T115" s="5">
        <v>-80.07659986</v>
      </c>
      <c r="U115" s="1">
        <v>7.0</v>
      </c>
      <c r="V115" s="5" t="s">
        <v>1254</v>
      </c>
      <c r="W115" s="5">
        <v>2.0</v>
      </c>
      <c r="X115" s="5">
        <v>0.0</v>
      </c>
      <c r="Y115" s="5" t="s">
        <v>116</v>
      </c>
      <c r="Z115" s="24">
        <v>0.0</v>
      </c>
      <c r="AA115" s="25">
        <v>0.0</v>
      </c>
      <c r="AB115" s="25">
        <v>0.0</v>
      </c>
      <c r="AC115" s="16" t="s">
        <v>1863</v>
      </c>
      <c r="AD115" s="26">
        <v>2.71</v>
      </c>
      <c r="AE115" s="26">
        <v>3.4</v>
      </c>
      <c r="AF115" s="26">
        <f t="shared" si="3"/>
        <v>0</v>
      </c>
      <c r="AG115" s="16" t="str">
        <f t="shared" si="4"/>
        <v>No</v>
      </c>
      <c r="AH115" s="15" t="str">
        <f t="shared" si="5"/>
        <v>Yes</v>
      </c>
      <c r="AI115" s="32">
        <v>2.8</v>
      </c>
      <c r="AJ115" s="16" t="s">
        <v>230</v>
      </c>
      <c r="AK115" s="15"/>
      <c r="AL115" s="15"/>
      <c r="AM115" s="15"/>
      <c r="AN115" s="9"/>
      <c r="AO115" s="9">
        <f t="shared" si="6"/>
        <v>22</v>
      </c>
      <c r="AP115" s="9">
        <f t="shared" si="7"/>
        <v>48.1</v>
      </c>
      <c r="AQ115" s="9">
        <f t="shared" si="8"/>
        <v>22.5</v>
      </c>
      <c r="AR115" s="9">
        <f t="shared" si="9"/>
        <v>33.7</v>
      </c>
      <c r="AS115" s="16" t="s">
        <v>302</v>
      </c>
      <c r="AT115" s="15"/>
      <c r="AU115" s="15"/>
    </row>
    <row r="116" ht="15.75" customHeight="1">
      <c r="A116" s="15" t="str">
        <f t="shared" si="1"/>
        <v/>
      </c>
      <c r="B116" s="15" t="str">
        <f t="shared" si="2"/>
        <v/>
      </c>
      <c r="C116" s="15"/>
      <c r="D116" s="16" t="s">
        <v>141</v>
      </c>
      <c r="E116" s="15"/>
      <c r="F116" s="12" t="s">
        <v>1866</v>
      </c>
      <c r="G116" s="11" t="s">
        <v>1867</v>
      </c>
      <c r="H116" s="12" t="s">
        <v>1281</v>
      </c>
      <c r="I116" s="13" t="s">
        <v>1002</v>
      </c>
      <c r="J116" s="17" t="s">
        <v>331</v>
      </c>
      <c r="K116" s="18">
        <v>4.0</v>
      </c>
      <c r="L116" s="18">
        <v>7.0</v>
      </c>
      <c r="M116" s="18">
        <v>12.7</v>
      </c>
      <c r="N116" s="19">
        <v>0.53</v>
      </c>
      <c r="O116" s="20">
        <v>0.0</v>
      </c>
      <c r="P116" s="21">
        <v>0.0</v>
      </c>
      <c r="Q116" s="5">
        <v>0.0</v>
      </c>
      <c r="R116" s="22">
        <v>28750.0</v>
      </c>
      <c r="S116" s="5">
        <v>38.41729988</v>
      </c>
      <c r="T116" s="5">
        <v>-79.83835485</v>
      </c>
      <c r="U116" s="1">
        <v>10.0</v>
      </c>
      <c r="V116" s="5" t="s">
        <v>342</v>
      </c>
      <c r="W116" s="5">
        <v>3.0</v>
      </c>
      <c r="X116" s="5">
        <v>4.0</v>
      </c>
      <c r="Y116" s="5" t="s">
        <v>1190</v>
      </c>
      <c r="Z116" s="24">
        <v>4.0</v>
      </c>
      <c r="AA116" s="37"/>
      <c r="AB116" s="37"/>
      <c r="AC116" s="16" t="s">
        <v>1868</v>
      </c>
      <c r="AD116" s="26">
        <v>12.92</v>
      </c>
      <c r="AE116" s="26">
        <v>4.4</v>
      </c>
      <c r="AF116" s="26">
        <f t="shared" si="3"/>
        <v>8.52</v>
      </c>
      <c r="AG116" s="16" t="str">
        <f t="shared" si="4"/>
        <v>Yes</v>
      </c>
      <c r="AH116" s="15" t="str">
        <f t="shared" si="5"/>
        <v>Verify</v>
      </c>
      <c r="AI116" s="32">
        <v>8.5</v>
      </c>
      <c r="AJ116" s="16" t="s">
        <v>230</v>
      </c>
      <c r="AK116" s="15"/>
      <c r="AL116" s="15"/>
      <c r="AM116" s="15"/>
      <c r="AN116" s="9"/>
      <c r="AO116" s="9">
        <f t="shared" si="6"/>
        <v>0.8</v>
      </c>
      <c r="AP116" s="9" t="str">
        <f t="shared" si="7"/>
        <v/>
      </c>
      <c r="AQ116" s="9">
        <f t="shared" si="8"/>
        <v>12.5</v>
      </c>
      <c r="AR116" s="9" t="str">
        <f t="shared" si="9"/>
        <v/>
      </c>
      <c r="AS116" s="16" t="s">
        <v>302</v>
      </c>
      <c r="AT116" s="15"/>
      <c r="AU116" s="15"/>
    </row>
    <row r="117" ht="15.75" customHeight="1">
      <c r="A117" s="15" t="str">
        <f t="shared" si="1"/>
        <v/>
      </c>
      <c r="B117" s="15" t="str">
        <f t="shared" si="2"/>
        <v/>
      </c>
      <c r="C117" s="15"/>
      <c r="D117" s="16" t="s">
        <v>141</v>
      </c>
      <c r="E117" s="15"/>
      <c r="F117" s="12" t="s">
        <v>1869</v>
      </c>
      <c r="G117" s="11" t="s">
        <v>1870</v>
      </c>
      <c r="H117" s="12" t="s">
        <v>1285</v>
      </c>
      <c r="I117" s="13" t="s">
        <v>585</v>
      </c>
      <c r="J117" s="17" t="s">
        <v>715</v>
      </c>
      <c r="K117" s="18">
        <v>36.0</v>
      </c>
      <c r="L117" s="18">
        <v>59.0</v>
      </c>
      <c r="M117" s="18">
        <v>98.3</v>
      </c>
      <c r="N117" s="19">
        <v>0.53</v>
      </c>
      <c r="O117" s="20">
        <v>109.0</v>
      </c>
      <c r="P117" s="21">
        <v>0.0</v>
      </c>
      <c r="Q117" s="5">
        <v>22.5</v>
      </c>
      <c r="R117" s="22">
        <v>49904.0</v>
      </c>
      <c r="S117" s="5">
        <v>38.2794375</v>
      </c>
      <c r="T117" s="5">
        <v>-82.1232253</v>
      </c>
      <c r="U117" s="1">
        <v>10.0</v>
      </c>
      <c r="V117" s="5" t="s">
        <v>342</v>
      </c>
      <c r="W117" s="5">
        <v>3.0</v>
      </c>
      <c r="X117" s="5">
        <v>0.0</v>
      </c>
      <c r="Y117" s="5" t="s">
        <v>116</v>
      </c>
      <c r="Z117" s="24">
        <v>0.0</v>
      </c>
      <c r="AA117" s="37"/>
      <c r="AB117" s="37"/>
      <c r="AC117" s="15"/>
      <c r="AD117" s="38"/>
      <c r="AE117" s="26">
        <v>3.1</v>
      </c>
      <c r="AF117" s="26" t="str">
        <f t="shared" si="3"/>
        <v/>
      </c>
      <c r="AG117" s="16" t="str">
        <f t="shared" si="4"/>
        <v>Verify</v>
      </c>
      <c r="AH117" s="15" t="str">
        <f t="shared" si="5"/>
        <v>Verify</v>
      </c>
      <c r="AI117" s="32">
        <v>0.1</v>
      </c>
      <c r="AJ117" s="16" t="s">
        <v>230</v>
      </c>
      <c r="AK117" s="15"/>
      <c r="AL117" s="15"/>
      <c r="AM117" s="15"/>
      <c r="AN117" s="9"/>
      <c r="AO117" s="9">
        <f t="shared" si="6"/>
        <v>6.9</v>
      </c>
      <c r="AP117" s="9" t="str">
        <f t="shared" si="7"/>
        <v/>
      </c>
      <c r="AQ117" s="9">
        <f t="shared" si="8"/>
        <v>14.3</v>
      </c>
      <c r="AR117" s="9" t="str">
        <f t="shared" si="9"/>
        <v/>
      </c>
      <c r="AS117" s="16" t="s">
        <v>302</v>
      </c>
      <c r="AT117" s="15"/>
      <c r="AU117" s="15"/>
    </row>
    <row r="118" ht="15.75" customHeight="1">
      <c r="A118" s="15" t="str">
        <f t="shared" si="1"/>
        <v/>
      </c>
      <c r="B118" s="15"/>
      <c r="C118" s="15"/>
      <c r="D118" s="16" t="s">
        <v>420</v>
      </c>
      <c r="E118" s="16" t="s">
        <v>230</v>
      </c>
      <c r="F118" s="12" t="s">
        <v>1871</v>
      </c>
      <c r="G118" s="11" t="s">
        <v>1872</v>
      </c>
      <c r="H118" s="12"/>
      <c r="I118" s="13"/>
      <c r="J118" s="17"/>
      <c r="K118" s="18"/>
      <c r="L118" s="18"/>
      <c r="M118" s="18"/>
      <c r="N118" s="19"/>
      <c r="O118" s="20"/>
      <c r="P118" s="21"/>
      <c r="Q118" s="5"/>
      <c r="R118" s="22"/>
      <c r="S118" s="5">
        <v>38.28020566</v>
      </c>
      <c r="T118" s="5">
        <v>-82.09337349</v>
      </c>
      <c r="U118" s="1">
        <v>10.0</v>
      </c>
      <c r="V118" s="5"/>
      <c r="W118" s="5">
        <v>3.0</v>
      </c>
      <c r="X118" s="5">
        <v>0.0</v>
      </c>
      <c r="Y118" s="5" t="s">
        <v>116</v>
      </c>
      <c r="Z118" s="24">
        <v>0.0</v>
      </c>
      <c r="AA118" s="37"/>
      <c r="AB118" s="37"/>
      <c r="AC118" s="15"/>
      <c r="AD118" s="38"/>
      <c r="AE118" s="26">
        <v>1.5</v>
      </c>
      <c r="AF118" s="26" t="str">
        <f t="shared" si="3"/>
        <v/>
      </c>
      <c r="AG118" s="16" t="str">
        <f t="shared" si="4"/>
        <v>Verify</v>
      </c>
      <c r="AH118" s="15" t="str">
        <f t="shared" si="5"/>
        <v>Verify</v>
      </c>
      <c r="AI118" s="32">
        <v>0.1</v>
      </c>
      <c r="AJ118" s="16"/>
      <c r="AK118" s="15"/>
      <c r="AL118" s="15"/>
      <c r="AM118" s="15"/>
      <c r="AN118" s="9"/>
      <c r="AO118" s="9"/>
      <c r="AP118" s="9"/>
      <c r="AQ118" s="9"/>
      <c r="AR118" s="9"/>
      <c r="AS118" s="16" t="s">
        <v>302</v>
      </c>
      <c r="AT118" s="15"/>
      <c r="AU118" s="15"/>
    </row>
    <row r="119" ht="15.75" customHeight="1">
      <c r="A119" s="15" t="str">
        <f t="shared" si="1"/>
        <v/>
      </c>
      <c r="B119" s="15" t="str">
        <f t="shared" ref="B119:B135" si="10">IF(A119="","",IF(A119&lt;=25,"Tier 1",IF(A119&lt;=50,"Tier 2",IF(A119&lt;=100,"Tier 3",""))))</f>
        <v/>
      </c>
      <c r="C119" s="15"/>
      <c r="D119" s="16" t="s">
        <v>141</v>
      </c>
      <c r="E119" s="15"/>
      <c r="F119" s="12" t="s">
        <v>1873</v>
      </c>
      <c r="G119" s="11" t="s">
        <v>1874</v>
      </c>
      <c r="H119" s="12">
        <v>26270.0</v>
      </c>
      <c r="I119" s="13" t="s">
        <v>236</v>
      </c>
      <c r="J119" s="17" t="s">
        <v>663</v>
      </c>
      <c r="K119" s="18">
        <v>6.0</v>
      </c>
      <c r="L119" s="18">
        <v>13.0</v>
      </c>
      <c r="M119" s="18">
        <v>0.0</v>
      </c>
      <c r="N119" s="19">
        <v>0.26</v>
      </c>
      <c r="O119" s="40"/>
      <c r="P119" s="21">
        <v>25.0</v>
      </c>
      <c r="Q119" s="41"/>
      <c r="R119" s="35"/>
      <c r="S119" s="5">
        <v>38.92051039</v>
      </c>
      <c r="T119" s="5">
        <v>-79.5230229</v>
      </c>
      <c r="U119" s="1">
        <v>5.0</v>
      </c>
      <c r="V119" s="5" t="s">
        <v>540</v>
      </c>
      <c r="W119" s="5">
        <v>1.0</v>
      </c>
      <c r="X119" s="5">
        <v>2.0</v>
      </c>
      <c r="Y119" s="5" t="s">
        <v>619</v>
      </c>
      <c r="Z119" s="24">
        <v>2.0</v>
      </c>
      <c r="AA119" s="37"/>
      <c r="AB119" s="37"/>
      <c r="AC119" s="15"/>
      <c r="AD119" s="38"/>
      <c r="AE119" s="26">
        <v>8.6</v>
      </c>
      <c r="AF119" s="26" t="str">
        <f t="shared" si="3"/>
        <v/>
      </c>
      <c r="AG119" s="16" t="str">
        <f t="shared" si="4"/>
        <v>Verify</v>
      </c>
      <c r="AH119" s="15" t="str">
        <f t="shared" si="5"/>
        <v>Verify</v>
      </c>
      <c r="AI119" s="32">
        <v>14.8</v>
      </c>
      <c r="AJ119" s="16" t="s">
        <v>230</v>
      </c>
      <c r="AK119" s="15"/>
      <c r="AL119" s="15"/>
      <c r="AM119" s="15"/>
      <c r="AN119" s="9"/>
      <c r="AO119" s="9">
        <f t="shared" ref="AO119:AO135" si="11">IF(K119="","",ROUND((K119/MAX($K$2:$K$319))*100,1))</f>
        <v>1.2</v>
      </c>
      <c r="AP119" s="9" t="str">
        <f t="shared" ref="AP119:AP135" si="12">IF(OR(AA119="",AB119="",AD119=""),"",ROUND(
(MIN(AD119,20)/20*100)*0.6+
(MAX(0,1-MIN(AA119,5)/5)*100)*0.25+
(MAX(0,1-MIN(AB119,10)/10)*100)*0.15
,1))</f>
        <v/>
      </c>
      <c r="AQ119" s="9" t="str">
        <f t="shared" ref="AQ119:AQ135" si="13">IF(OR(O119="",P119="",Q119="",R119=""),"",ROUND(
(MIN(Q119/MAX($Q$2:$Q$319),1)*100)*0.4+
(MIN(O119/MAX($O$2:$O$319),1)*100)*0.25+
(MIN(P119/MAX($P$2:$P$319),1)*100)*0.2+
((1-(R119-MIN($R$2:$R$319))/(MAX($R$2:$R$319)-MIN($R$2:$R$319)))*100)*0.15
,1))</f>
        <v/>
      </c>
      <c r="AR119" s="9" t="str">
        <f t="shared" ref="AR119:AR135" si="14">IF(OR(AO119="",AP119="",AQ119=""),"",ROUND((AO119*30+AP119*40+AQ119*20)/90,1))</f>
        <v/>
      </c>
      <c r="AS119" s="16" t="s">
        <v>302</v>
      </c>
      <c r="AT119" s="15"/>
      <c r="AU119" s="15"/>
    </row>
    <row r="120" ht="15.75" customHeight="1">
      <c r="A120" s="15" t="str">
        <f t="shared" si="1"/>
        <v/>
      </c>
      <c r="B120" s="15" t="str">
        <f t="shared" si="10"/>
        <v/>
      </c>
      <c r="C120" s="15"/>
      <c r="D120" s="16" t="s">
        <v>141</v>
      </c>
      <c r="E120" s="15"/>
      <c r="F120" s="12" t="s">
        <v>1965</v>
      </c>
      <c r="G120" s="11" t="s">
        <v>1967</v>
      </c>
      <c r="H120" s="12">
        <v>25425.0</v>
      </c>
      <c r="I120" s="13" t="s">
        <v>123</v>
      </c>
      <c r="J120" s="17" t="s">
        <v>576</v>
      </c>
      <c r="K120" s="18">
        <v>94.0</v>
      </c>
      <c r="L120" s="18">
        <v>141.0</v>
      </c>
      <c r="M120" s="18">
        <v>173.7</v>
      </c>
      <c r="N120" s="19">
        <v>0.91</v>
      </c>
      <c r="O120" s="20">
        <v>18.0</v>
      </c>
      <c r="P120" s="21">
        <v>17.0</v>
      </c>
      <c r="Q120" s="5">
        <v>0.0</v>
      </c>
      <c r="R120" s="22">
        <v>12216.0</v>
      </c>
      <c r="S120" s="5">
        <v>39.31671775</v>
      </c>
      <c r="T120" s="5">
        <v>-77.79951963</v>
      </c>
      <c r="U120" s="1">
        <v>2.0</v>
      </c>
      <c r="V120" s="5" t="s">
        <v>180</v>
      </c>
      <c r="W120" s="5">
        <v>0.0</v>
      </c>
      <c r="X120" s="5">
        <v>0.0</v>
      </c>
      <c r="Y120" s="5" t="s">
        <v>116</v>
      </c>
      <c r="Z120" s="24">
        <v>0.0</v>
      </c>
      <c r="AA120" s="25">
        <v>1.0</v>
      </c>
      <c r="AB120" s="25">
        <v>2.0</v>
      </c>
      <c r="AC120" s="15"/>
      <c r="AD120" s="38"/>
      <c r="AE120" s="26">
        <v>1.6</v>
      </c>
      <c r="AF120" s="26" t="str">
        <f t="shared" si="3"/>
        <v/>
      </c>
      <c r="AG120" s="16" t="str">
        <f t="shared" si="4"/>
        <v>Verify</v>
      </c>
      <c r="AH120" s="15" t="str">
        <f t="shared" si="5"/>
        <v>No</v>
      </c>
      <c r="AI120" s="32">
        <v>1.3</v>
      </c>
      <c r="AJ120" s="16" t="s">
        <v>230</v>
      </c>
      <c r="AK120" s="15"/>
      <c r="AL120" s="15"/>
      <c r="AM120" s="15"/>
      <c r="AN120" s="9"/>
      <c r="AO120" s="9">
        <f t="shared" si="11"/>
        <v>18.1</v>
      </c>
      <c r="AP120" s="9" t="str">
        <f t="shared" si="12"/>
        <v/>
      </c>
      <c r="AQ120" s="9">
        <f t="shared" si="13"/>
        <v>15.6</v>
      </c>
      <c r="AR120" s="9" t="str">
        <f t="shared" si="14"/>
        <v/>
      </c>
      <c r="AS120" s="16" t="s">
        <v>302</v>
      </c>
      <c r="AT120" s="15"/>
      <c r="AU120" s="15"/>
    </row>
    <row r="121" ht="15.75" customHeight="1">
      <c r="A121" s="15" t="str">
        <f t="shared" si="1"/>
        <v/>
      </c>
      <c r="B121" s="15" t="str">
        <f t="shared" si="10"/>
        <v/>
      </c>
      <c r="C121" s="15"/>
      <c r="D121" s="16" t="s">
        <v>141</v>
      </c>
      <c r="E121" s="15"/>
      <c r="F121" s="12" t="s">
        <v>1989</v>
      </c>
      <c r="G121" s="11" t="s">
        <v>1990</v>
      </c>
      <c r="H121" s="12" t="s">
        <v>1293</v>
      </c>
      <c r="I121" s="13" t="s">
        <v>826</v>
      </c>
      <c r="J121" s="17" t="s">
        <v>439</v>
      </c>
      <c r="K121" s="18">
        <v>47.0</v>
      </c>
      <c r="L121" s="18">
        <v>76.0</v>
      </c>
      <c r="M121" s="18">
        <v>38.0</v>
      </c>
      <c r="N121" s="19">
        <v>0.91</v>
      </c>
      <c r="O121" s="20">
        <v>152.0</v>
      </c>
      <c r="P121" s="21">
        <v>35.0</v>
      </c>
      <c r="Q121" s="5">
        <v>11.3</v>
      </c>
      <c r="R121" s="22">
        <v>71000.0</v>
      </c>
      <c r="S121" s="5">
        <v>39.21457428</v>
      </c>
      <c r="T121" s="5">
        <v>-81.04067076</v>
      </c>
      <c r="U121" s="1">
        <v>10.0</v>
      </c>
      <c r="V121" s="5" t="s">
        <v>342</v>
      </c>
      <c r="W121" s="5">
        <v>3.0</v>
      </c>
      <c r="X121" s="5">
        <v>0.0</v>
      </c>
      <c r="Y121" s="5" t="s">
        <v>116</v>
      </c>
      <c r="Z121" s="24">
        <v>0.0</v>
      </c>
      <c r="AA121" s="37"/>
      <c r="AB121" s="37"/>
      <c r="AC121" s="16" t="s">
        <v>1991</v>
      </c>
      <c r="AD121" s="26">
        <v>0.01</v>
      </c>
      <c r="AE121" s="26">
        <v>4.2</v>
      </c>
      <c r="AF121" s="26">
        <f t="shared" si="3"/>
        <v>0</v>
      </c>
      <c r="AG121" s="16" t="str">
        <f t="shared" si="4"/>
        <v>No</v>
      </c>
      <c r="AH121" s="15" t="str">
        <f t="shared" si="5"/>
        <v>Verify</v>
      </c>
      <c r="AI121" s="32">
        <v>0.1</v>
      </c>
      <c r="AJ121" s="16" t="s">
        <v>230</v>
      </c>
      <c r="AK121" s="15"/>
      <c r="AL121" s="15"/>
      <c r="AM121" s="15"/>
      <c r="AN121" s="9"/>
      <c r="AO121" s="9">
        <f t="shared" si="11"/>
        <v>9.1</v>
      </c>
      <c r="AP121" s="9" t="str">
        <f t="shared" si="12"/>
        <v/>
      </c>
      <c r="AQ121" s="9">
        <f t="shared" si="13"/>
        <v>11.6</v>
      </c>
      <c r="AR121" s="9" t="str">
        <f t="shared" si="14"/>
        <v/>
      </c>
      <c r="AS121" s="16" t="s">
        <v>302</v>
      </c>
      <c r="AT121" s="15"/>
      <c r="AU121" s="15"/>
    </row>
    <row r="122" ht="15.75" customHeight="1">
      <c r="A122" s="15" t="str">
        <f t="shared" si="1"/>
        <v/>
      </c>
      <c r="B122" s="15" t="str">
        <f t="shared" si="10"/>
        <v/>
      </c>
      <c r="C122" s="15"/>
      <c r="D122" s="16" t="s">
        <v>141</v>
      </c>
      <c r="E122" s="15"/>
      <c r="F122" s="12" t="s">
        <v>1992</v>
      </c>
      <c r="G122" s="11" t="s">
        <v>1993</v>
      </c>
      <c r="H122" s="12" t="s">
        <v>1297</v>
      </c>
      <c r="I122" s="13" t="s">
        <v>585</v>
      </c>
      <c r="J122" s="17" t="s">
        <v>715</v>
      </c>
      <c r="K122" s="18">
        <v>45.0</v>
      </c>
      <c r="L122" s="18">
        <v>68.0</v>
      </c>
      <c r="M122" s="18">
        <v>131.6</v>
      </c>
      <c r="N122" s="19">
        <v>0.91</v>
      </c>
      <c r="O122" s="20">
        <v>0.0</v>
      </c>
      <c r="P122" s="21">
        <v>17.0</v>
      </c>
      <c r="Q122" s="5">
        <v>0.0</v>
      </c>
      <c r="R122" s="22">
        <v>40833.0</v>
      </c>
      <c r="S122" s="5">
        <v>38.03060695</v>
      </c>
      <c r="T122" s="5">
        <v>-82.13063893</v>
      </c>
      <c r="U122" s="1">
        <v>10.0</v>
      </c>
      <c r="V122" s="5" t="s">
        <v>342</v>
      </c>
      <c r="W122" s="5">
        <v>3.0</v>
      </c>
      <c r="X122" s="5">
        <v>0.0</v>
      </c>
      <c r="Y122" s="5" t="s">
        <v>116</v>
      </c>
      <c r="Z122" s="24">
        <v>0.0</v>
      </c>
      <c r="AA122" s="25">
        <v>1.0</v>
      </c>
      <c r="AB122" s="25">
        <v>2.0</v>
      </c>
      <c r="AC122" s="15"/>
      <c r="AD122" s="38"/>
      <c r="AE122" s="26">
        <v>1.0</v>
      </c>
      <c r="AF122" s="26" t="str">
        <f t="shared" si="3"/>
        <v/>
      </c>
      <c r="AG122" s="16" t="str">
        <f t="shared" si="4"/>
        <v>Verify</v>
      </c>
      <c r="AH122" s="15" t="str">
        <f t="shared" si="5"/>
        <v>No</v>
      </c>
      <c r="AI122" s="32">
        <v>0.1</v>
      </c>
      <c r="AJ122" s="16" t="s">
        <v>230</v>
      </c>
      <c r="AK122" s="15"/>
      <c r="AL122" s="15"/>
      <c r="AM122" s="15"/>
      <c r="AN122" s="9"/>
      <c r="AO122" s="9">
        <f t="shared" si="11"/>
        <v>8.7</v>
      </c>
      <c r="AP122" s="9" t="str">
        <f t="shared" si="12"/>
        <v/>
      </c>
      <c r="AQ122" s="9">
        <f t="shared" si="13"/>
        <v>11.4</v>
      </c>
      <c r="AR122" s="9" t="str">
        <f t="shared" si="14"/>
        <v/>
      </c>
      <c r="AS122" s="16" t="s">
        <v>302</v>
      </c>
      <c r="AT122" s="15"/>
      <c r="AU122" s="15"/>
    </row>
    <row r="123" ht="15.75" customHeight="1">
      <c r="A123" s="15" t="str">
        <f t="shared" si="1"/>
        <v/>
      </c>
      <c r="B123" s="15" t="str">
        <f t="shared" si="10"/>
        <v/>
      </c>
      <c r="C123" s="15"/>
      <c r="D123" s="16" t="s">
        <v>141</v>
      </c>
      <c r="E123" s="15"/>
      <c r="F123" s="12" t="s">
        <v>1994</v>
      </c>
      <c r="G123" s="11" t="s">
        <v>1995</v>
      </c>
      <c r="H123" s="12" t="s">
        <v>1299</v>
      </c>
      <c r="I123" s="13" t="s">
        <v>28</v>
      </c>
      <c r="J123" s="17" t="s">
        <v>576</v>
      </c>
      <c r="K123" s="18">
        <v>146.0</v>
      </c>
      <c r="L123" s="18">
        <v>210.0</v>
      </c>
      <c r="M123" s="18">
        <v>290.5</v>
      </c>
      <c r="N123" s="19">
        <v>0.91</v>
      </c>
      <c r="O123" s="20">
        <v>0.0</v>
      </c>
      <c r="P123" s="21">
        <v>25.0</v>
      </c>
      <c r="Q123" s="5">
        <v>0.0</v>
      </c>
      <c r="R123" s="22">
        <v>36595.0</v>
      </c>
      <c r="S123" s="5">
        <v>39.58001052</v>
      </c>
      <c r="T123" s="5">
        <v>-78.04141704</v>
      </c>
      <c r="U123" s="1">
        <v>2.0</v>
      </c>
      <c r="V123" s="5" t="s">
        <v>180</v>
      </c>
      <c r="W123" s="5">
        <v>0.0</v>
      </c>
      <c r="X123" s="5">
        <v>0.0</v>
      </c>
      <c r="Y123" s="5" t="s">
        <v>116</v>
      </c>
      <c r="Z123" s="24">
        <v>0.0</v>
      </c>
      <c r="AA123" s="37"/>
      <c r="AB123" s="37"/>
      <c r="AC123" s="16" t="s">
        <v>1996</v>
      </c>
      <c r="AD123" s="26">
        <v>3.86</v>
      </c>
      <c r="AE123" s="26">
        <v>5.1</v>
      </c>
      <c r="AF123" s="26">
        <f t="shared" si="3"/>
        <v>0</v>
      </c>
      <c r="AG123" s="16" t="str">
        <f t="shared" si="4"/>
        <v>No</v>
      </c>
      <c r="AH123" s="15" t="str">
        <f t="shared" si="5"/>
        <v>Verify</v>
      </c>
      <c r="AI123" s="32">
        <v>3.8</v>
      </c>
      <c r="AJ123" s="16" t="s">
        <v>230</v>
      </c>
      <c r="AK123" s="15"/>
      <c r="AL123" s="15"/>
      <c r="AM123" s="15"/>
      <c r="AN123" s="9"/>
      <c r="AO123" s="9">
        <f t="shared" si="11"/>
        <v>28.1</v>
      </c>
      <c r="AP123" s="9" t="str">
        <f t="shared" si="12"/>
        <v/>
      </c>
      <c r="AQ123" s="9">
        <f t="shared" si="13"/>
        <v>12.3</v>
      </c>
      <c r="AR123" s="9" t="str">
        <f t="shared" si="14"/>
        <v/>
      </c>
      <c r="AS123" s="16" t="s">
        <v>302</v>
      </c>
      <c r="AT123" s="15"/>
      <c r="AU123" s="15"/>
    </row>
    <row r="124" ht="15.75" customHeight="1">
      <c r="A124" s="15">
        <f t="shared" si="1"/>
        <v>62</v>
      </c>
      <c r="B124" s="15" t="str">
        <f t="shared" si="10"/>
        <v>Tier 3</v>
      </c>
      <c r="C124" s="15"/>
      <c r="D124" s="16" t="s">
        <v>141</v>
      </c>
      <c r="E124" s="15"/>
      <c r="F124" s="12" t="s">
        <v>1997</v>
      </c>
      <c r="G124" s="11" t="s">
        <v>1998</v>
      </c>
      <c r="H124" s="12" t="s">
        <v>1302</v>
      </c>
      <c r="I124" s="13" t="s">
        <v>28</v>
      </c>
      <c r="J124" s="17" t="s">
        <v>576</v>
      </c>
      <c r="K124" s="18">
        <v>146.0</v>
      </c>
      <c r="L124" s="18">
        <v>210.0</v>
      </c>
      <c r="M124" s="18">
        <v>290.5</v>
      </c>
      <c r="N124" s="19">
        <v>1.26</v>
      </c>
      <c r="O124" s="20">
        <v>0.0</v>
      </c>
      <c r="P124" s="21">
        <v>25.0</v>
      </c>
      <c r="Q124" s="5">
        <v>0.0</v>
      </c>
      <c r="R124" s="22">
        <v>36595.0</v>
      </c>
      <c r="S124" s="5">
        <v>39.54162335</v>
      </c>
      <c r="T124" s="5">
        <v>-77.98717226</v>
      </c>
      <c r="U124" s="1">
        <v>2.0</v>
      </c>
      <c r="V124" s="5" t="s">
        <v>180</v>
      </c>
      <c r="W124" s="5">
        <v>0.0</v>
      </c>
      <c r="X124" s="5">
        <v>0.0</v>
      </c>
      <c r="Y124" s="5" t="s">
        <v>116</v>
      </c>
      <c r="Z124" s="24">
        <v>0.0</v>
      </c>
      <c r="AA124" s="25">
        <v>1.0</v>
      </c>
      <c r="AB124" s="25">
        <v>2.0</v>
      </c>
      <c r="AC124" s="16" t="s">
        <v>1996</v>
      </c>
      <c r="AD124" s="26">
        <v>0.13</v>
      </c>
      <c r="AE124" s="26">
        <v>6.1</v>
      </c>
      <c r="AF124" s="26">
        <f t="shared" si="3"/>
        <v>0</v>
      </c>
      <c r="AG124" s="16" t="str">
        <f t="shared" si="4"/>
        <v>No</v>
      </c>
      <c r="AH124" s="15" t="str">
        <f t="shared" si="5"/>
        <v>No</v>
      </c>
      <c r="AI124" s="32">
        <v>0.1</v>
      </c>
      <c r="AJ124" s="16" t="s">
        <v>230</v>
      </c>
      <c r="AK124" s="15"/>
      <c r="AL124" s="15"/>
      <c r="AM124" s="15"/>
      <c r="AN124" s="9"/>
      <c r="AO124" s="9">
        <f t="shared" si="11"/>
        <v>28.1</v>
      </c>
      <c r="AP124" s="9">
        <f t="shared" si="12"/>
        <v>32.4</v>
      </c>
      <c r="AQ124" s="9">
        <f t="shared" si="13"/>
        <v>12.3</v>
      </c>
      <c r="AR124" s="9">
        <f t="shared" si="14"/>
        <v>26.5</v>
      </c>
      <c r="AS124" s="16" t="s">
        <v>556</v>
      </c>
      <c r="AT124" s="15"/>
      <c r="AU124" s="15"/>
    </row>
    <row r="125" ht="15.75" customHeight="1">
      <c r="A125" s="15" t="str">
        <f t="shared" si="1"/>
        <v/>
      </c>
      <c r="B125" s="15" t="str">
        <f t="shared" si="10"/>
        <v/>
      </c>
      <c r="C125" s="15"/>
      <c r="D125" s="16" t="s">
        <v>141</v>
      </c>
      <c r="E125" s="15"/>
      <c r="F125" s="12" t="s">
        <v>2024</v>
      </c>
      <c r="G125" s="11" t="s">
        <v>2025</v>
      </c>
      <c r="H125" s="12">
        <v>25427.0</v>
      </c>
      <c r="I125" s="13" t="s">
        <v>28</v>
      </c>
      <c r="J125" s="17" t="s">
        <v>576</v>
      </c>
      <c r="K125" s="18">
        <v>146.0</v>
      </c>
      <c r="L125" s="18">
        <v>210.0</v>
      </c>
      <c r="M125" s="18">
        <v>290.5</v>
      </c>
      <c r="N125" s="19">
        <v>1.51</v>
      </c>
      <c r="O125" s="20">
        <v>0.0</v>
      </c>
      <c r="P125" s="21">
        <v>25.0</v>
      </c>
      <c r="Q125" s="5">
        <v>0.0</v>
      </c>
      <c r="R125" s="22">
        <v>36595.0</v>
      </c>
      <c r="S125" s="5">
        <v>39.55753356</v>
      </c>
      <c r="T125" s="5">
        <v>-77.99990838</v>
      </c>
      <c r="U125" s="1">
        <v>2.0</v>
      </c>
      <c r="V125" s="5" t="s">
        <v>180</v>
      </c>
      <c r="W125" s="5">
        <v>0.0</v>
      </c>
      <c r="X125" s="5">
        <v>0.0</v>
      </c>
      <c r="Y125" s="5" t="s">
        <v>116</v>
      </c>
      <c r="Z125" s="24">
        <v>0.0</v>
      </c>
      <c r="AA125" s="25">
        <v>3.0</v>
      </c>
      <c r="AB125" s="25">
        <v>5.0</v>
      </c>
      <c r="AC125" s="15"/>
      <c r="AD125" s="38"/>
      <c r="AE125" s="26">
        <v>5.9</v>
      </c>
      <c r="AF125" s="26" t="str">
        <f t="shared" si="3"/>
        <v/>
      </c>
      <c r="AG125" s="16" t="str">
        <f t="shared" si="4"/>
        <v>Verify</v>
      </c>
      <c r="AH125" s="15" t="str">
        <f t="shared" si="5"/>
        <v>No</v>
      </c>
      <c r="AI125" s="32">
        <v>1.2</v>
      </c>
      <c r="AJ125" s="16" t="s">
        <v>230</v>
      </c>
      <c r="AK125" s="15"/>
      <c r="AL125" s="15"/>
      <c r="AM125" s="15"/>
      <c r="AN125" s="9"/>
      <c r="AO125" s="9">
        <f t="shared" si="11"/>
        <v>28.1</v>
      </c>
      <c r="AP125" s="9" t="str">
        <f t="shared" si="12"/>
        <v/>
      </c>
      <c r="AQ125" s="9">
        <f t="shared" si="13"/>
        <v>12.3</v>
      </c>
      <c r="AR125" s="9" t="str">
        <f t="shared" si="14"/>
        <v/>
      </c>
      <c r="AS125" s="16" t="s">
        <v>302</v>
      </c>
      <c r="AT125" s="15"/>
      <c r="AU125" s="15"/>
    </row>
    <row r="126" ht="15.0" customHeight="1">
      <c r="A126" s="15" t="str">
        <f t="shared" si="1"/>
        <v/>
      </c>
      <c r="B126" s="15" t="str">
        <f t="shared" si="10"/>
        <v/>
      </c>
      <c r="C126" s="15"/>
      <c r="D126" s="16" t="s">
        <v>141</v>
      </c>
      <c r="E126" s="15"/>
      <c r="F126" s="12" t="s">
        <v>2026</v>
      </c>
      <c r="G126" s="11" t="s">
        <v>2027</v>
      </c>
      <c r="H126" s="12">
        <v>24946.0</v>
      </c>
      <c r="I126" s="13" t="s">
        <v>1002</v>
      </c>
      <c r="J126" s="17" t="s">
        <v>331</v>
      </c>
      <c r="K126" s="18">
        <v>16.0</v>
      </c>
      <c r="L126" s="18">
        <v>24.0</v>
      </c>
      <c r="M126" s="18">
        <v>4.3</v>
      </c>
      <c r="N126" s="19">
        <v>0.73</v>
      </c>
      <c r="O126" s="20">
        <v>0.0</v>
      </c>
      <c r="P126" s="21">
        <v>0.0</v>
      </c>
      <c r="Q126" s="5">
        <v>30.1</v>
      </c>
      <c r="R126" s="22">
        <v>12473.0</v>
      </c>
      <c r="S126" s="5">
        <v>38.13927883</v>
      </c>
      <c r="T126" s="5">
        <v>-80.20584995</v>
      </c>
      <c r="U126" s="1">
        <v>10.0</v>
      </c>
      <c r="V126" s="5" t="s">
        <v>342</v>
      </c>
      <c r="W126" s="5">
        <v>3.0</v>
      </c>
      <c r="X126" s="5">
        <v>4.0</v>
      </c>
      <c r="Y126" s="5" t="s">
        <v>1190</v>
      </c>
      <c r="Z126" s="24">
        <v>4.0</v>
      </c>
      <c r="AA126" s="37"/>
      <c r="AB126" s="37"/>
      <c r="AC126" s="15"/>
      <c r="AD126" s="38"/>
      <c r="AE126" s="26">
        <v>8.7</v>
      </c>
      <c r="AF126" s="26" t="str">
        <f t="shared" si="3"/>
        <v/>
      </c>
      <c r="AG126" s="16" t="str">
        <f t="shared" si="4"/>
        <v>Verify</v>
      </c>
      <c r="AH126" s="15" t="str">
        <f t="shared" si="5"/>
        <v>Verify</v>
      </c>
      <c r="AI126" s="32">
        <v>9.0</v>
      </c>
      <c r="AJ126" s="16" t="s">
        <v>230</v>
      </c>
      <c r="AK126" s="15"/>
      <c r="AL126" s="15"/>
      <c r="AM126" s="15"/>
      <c r="AN126" s="9"/>
      <c r="AO126" s="9">
        <f t="shared" si="11"/>
        <v>3.1</v>
      </c>
      <c r="AP126" s="9" t="str">
        <f t="shared" si="12"/>
        <v/>
      </c>
      <c r="AQ126" s="9">
        <f t="shared" si="13"/>
        <v>18.9</v>
      </c>
      <c r="AR126" s="9" t="str">
        <f t="shared" si="14"/>
        <v/>
      </c>
      <c r="AS126" s="16" t="s">
        <v>302</v>
      </c>
      <c r="AT126" s="15"/>
      <c r="AU126" s="15"/>
    </row>
    <row r="127" ht="15.75" customHeight="1">
      <c r="A127" s="15" t="str">
        <f t="shared" si="1"/>
        <v/>
      </c>
      <c r="B127" s="15" t="str">
        <f t="shared" si="10"/>
        <v/>
      </c>
      <c r="C127" s="15"/>
      <c r="D127" s="16" t="s">
        <v>141</v>
      </c>
      <c r="E127" s="15"/>
      <c r="F127" s="12" t="s">
        <v>2028</v>
      </c>
      <c r="G127" s="11" t="s">
        <v>2029</v>
      </c>
      <c r="H127" s="12" t="s">
        <v>1309</v>
      </c>
      <c r="I127" s="13" t="s">
        <v>486</v>
      </c>
      <c r="J127" s="17" t="s">
        <v>392</v>
      </c>
      <c r="K127" s="18">
        <v>85.0</v>
      </c>
      <c r="L127" s="18">
        <v>123.0</v>
      </c>
      <c r="M127" s="18">
        <v>100.6</v>
      </c>
      <c r="N127" s="19">
        <v>0.64</v>
      </c>
      <c r="O127" s="20">
        <v>33.0</v>
      </c>
      <c r="P127" s="21">
        <v>0.0</v>
      </c>
      <c r="Q127" s="5">
        <v>0.0</v>
      </c>
      <c r="R127" s="22">
        <v>68333.0</v>
      </c>
      <c r="S127" s="5">
        <v>37.66686715</v>
      </c>
      <c r="T127" s="5">
        <v>-80.89398342</v>
      </c>
      <c r="U127" s="1">
        <v>10.0</v>
      </c>
      <c r="V127" s="5" t="s">
        <v>342</v>
      </c>
      <c r="W127" s="5">
        <v>3.0</v>
      </c>
      <c r="X127" s="5">
        <v>0.0</v>
      </c>
      <c r="Y127" s="5" t="s">
        <v>116</v>
      </c>
      <c r="Z127" s="24">
        <v>0.0</v>
      </c>
      <c r="AA127" s="37"/>
      <c r="AB127" s="37"/>
      <c r="AC127" s="16" t="s">
        <v>2030</v>
      </c>
      <c r="AD127" s="26">
        <v>0.01</v>
      </c>
      <c r="AE127" s="26">
        <v>1.3</v>
      </c>
      <c r="AF127" s="26">
        <f t="shared" si="3"/>
        <v>0</v>
      </c>
      <c r="AG127" s="16" t="str">
        <f t="shared" si="4"/>
        <v>No</v>
      </c>
      <c r="AH127" s="15" t="str">
        <f t="shared" si="5"/>
        <v>Verify</v>
      </c>
      <c r="AI127" s="32">
        <v>0.1</v>
      </c>
      <c r="AJ127" s="16" t="s">
        <v>230</v>
      </c>
      <c r="AK127" s="15"/>
      <c r="AL127" s="15"/>
      <c r="AM127" s="15"/>
      <c r="AN127" s="9"/>
      <c r="AO127" s="9">
        <f t="shared" si="11"/>
        <v>16.4</v>
      </c>
      <c r="AP127" s="9" t="str">
        <f t="shared" si="12"/>
        <v/>
      </c>
      <c r="AQ127" s="9">
        <f t="shared" si="13"/>
        <v>7.6</v>
      </c>
      <c r="AR127" s="9" t="str">
        <f t="shared" si="14"/>
        <v/>
      </c>
      <c r="AS127" s="16" t="s">
        <v>302</v>
      </c>
      <c r="AT127" s="15"/>
      <c r="AU127" s="15"/>
    </row>
    <row r="128" ht="15.75" customHeight="1">
      <c r="A128" s="15" t="str">
        <f t="shared" si="1"/>
        <v/>
      </c>
      <c r="B128" s="15" t="str">
        <f t="shared" si="10"/>
        <v/>
      </c>
      <c r="C128" s="15"/>
      <c r="D128" s="16" t="s">
        <v>141</v>
      </c>
      <c r="E128" s="15"/>
      <c r="F128" s="12" t="s">
        <v>2031</v>
      </c>
      <c r="G128" s="11" t="s">
        <v>2032</v>
      </c>
      <c r="H128" s="12">
        <v>25951.0</v>
      </c>
      <c r="I128" s="13" t="s">
        <v>486</v>
      </c>
      <c r="J128" s="17" t="s">
        <v>392</v>
      </c>
      <c r="K128" s="18">
        <v>85.0</v>
      </c>
      <c r="L128" s="18">
        <v>123.0</v>
      </c>
      <c r="M128" s="18">
        <v>100.6</v>
      </c>
      <c r="N128" s="19">
        <v>0.65</v>
      </c>
      <c r="O128" s="20">
        <v>33.0</v>
      </c>
      <c r="P128" s="21">
        <v>3.0</v>
      </c>
      <c r="Q128" s="5">
        <v>0.0</v>
      </c>
      <c r="R128" s="22">
        <v>68333.0</v>
      </c>
      <c r="S128" s="5">
        <v>37.63831691</v>
      </c>
      <c r="T128" s="5">
        <v>-80.78805845</v>
      </c>
      <c r="U128" s="1">
        <v>10.0</v>
      </c>
      <c r="V128" s="5" t="s">
        <v>342</v>
      </c>
      <c r="W128" s="5">
        <v>3.0</v>
      </c>
      <c r="X128" s="5">
        <v>0.0</v>
      </c>
      <c r="Y128" s="5" t="s">
        <v>116</v>
      </c>
      <c r="Z128" s="24">
        <v>0.0</v>
      </c>
      <c r="AA128" s="25">
        <v>1.0</v>
      </c>
      <c r="AB128" s="25">
        <v>2.0</v>
      </c>
      <c r="AC128" s="15"/>
      <c r="AD128" s="38"/>
      <c r="AE128" s="26">
        <v>4.9</v>
      </c>
      <c r="AF128" s="26" t="str">
        <f t="shared" si="3"/>
        <v/>
      </c>
      <c r="AG128" s="16" t="str">
        <f t="shared" si="4"/>
        <v>Verify</v>
      </c>
      <c r="AH128" s="15" t="str">
        <f t="shared" si="5"/>
        <v>No</v>
      </c>
      <c r="AI128" s="32">
        <v>5.4</v>
      </c>
      <c r="AJ128" s="16" t="s">
        <v>230</v>
      </c>
      <c r="AK128" s="15"/>
      <c r="AL128" s="15"/>
      <c r="AM128" s="15"/>
      <c r="AN128" s="9"/>
      <c r="AO128" s="9">
        <f t="shared" si="11"/>
        <v>16.4</v>
      </c>
      <c r="AP128" s="9" t="str">
        <f t="shared" si="12"/>
        <v/>
      </c>
      <c r="AQ128" s="9">
        <f t="shared" si="13"/>
        <v>7.7</v>
      </c>
      <c r="AR128" s="9" t="str">
        <f t="shared" si="14"/>
        <v/>
      </c>
      <c r="AS128" s="16" t="s">
        <v>302</v>
      </c>
      <c r="AT128" s="15"/>
      <c r="AU128" s="15"/>
    </row>
    <row r="129" ht="15.75" customHeight="1">
      <c r="A129" s="15" t="str">
        <f t="shared" si="1"/>
        <v/>
      </c>
      <c r="B129" s="15" t="str">
        <f t="shared" si="10"/>
        <v/>
      </c>
      <c r="C129" s="15"/>
      <c r="D129" s="16" t="s">
        <v>420</v>
      </c>
      <c r="E129" s="16" t="s">
        <v>230</v>
      </c>
      <c r="F129" s="12" t="s">
        <v>2033</v>
      </c>
      <c r="G129" s="11" t="s">
        <v>2034</v>
      </c>
      <c r="H129" s="12">
        <v>25704.0</v>
      </c>
      <c r="I129" s="13" t="s">
        <v>59</v>
      </c>
      <c r="J129" s="17" t="s">
        <v>715</v>
      </c>
      <c r="K129" s="18">
        <v>231.0</v>
      </c>
      <c r="L129" s="18">
        <v>376.0</v>
      </c>
      <c r="M129" s="18">
        <v>394.0</v>
      </c>
      <c r="N129" s="19">
        <v>0.67</v>
      </c>
      <c r="O129" s="20">
        <v>14.0</v>
      </c>
      <c r="P129" s="21">
        <v>0.0</v>
      </c>
      <c r="Q129" s="5">
        <v>5.7</v>
      </c>
      <c r="R129" s="22">
        <v>47854.0</v>
      </c>
      <c r="S129" s="5">
        <v>38.398687</v>
      </c>
      <c r="T129" s="5">
        <v>-82.51995465</v>
      </c>
      <c r="U129" s="1">
        <v>1.0</v>
      </c>
      <c r="V129" s="5" t="s">
        <v>180</v>
      </c>
      <c r="W129" s="5">
        <v>0.0</v>
      </c>
      <c r="X129" s="5">
        <v>0.0</v>
      </c>
      <c r="Y129" s="5" t="s">
        <v>116</v>
      </c>
      <c r="Z129" s="24">
        <v>0.0</v>
      </c>
      <c r="AA129" s="37"/>
      <c r="AB129" s="37"/>
      <c r="AC129" s="16" t="s">
        <v>2035</v>
      </c>
      <c r="AD129" s="26">
        <v>1.43</v>
      </c>
      <c r="AE129" s="26">
        <v>6.5</v>
      </c>
      <c r="AF129" s="26">
        <f t="shared" si="3"/>
        <v>0</v>
      </c>
      <c r="AG129" s="16" t="str">
        <f t="shared" si="4"/>
        <v>No</v>
      </c>
      <c r="AH129" s="15" t="str">
        <f t="shared" si="5"/>
        <v>Verify</v>
      </c>
      <c r="AI129" s="32">
        <v>0.9</v>
      </c>
      <c r="AJ129" s="16" t="s">
        <v>230</v>
      </c>
      <c r="AK129" s="15"/>
      <c r="AL129" s="15"/>
      <c r="AM129" s="15"/>
      <c r="AN129" s="9"/>
      <c r="AO129" s="9">
        <f t="shared" si="11"/>
        <v>44.5</v>
      </c>
      <c r="AP129" s="9" t="str">
        <f t="shared" si="12"/>
        <v/>
      </c>
      <c r="AQ129" s="9">
        <f t="shared" si="13"/>
        <v>10.9</v>
      </c>
      <c r="AR129" s="9" t="str">
        <f t="shared" si="14"/>
        <v/>
      </c>
      <c r="AS129" s="16" t="s">
        <v>302</v>
      </c>
      <c r="AT129" s="15"/>
      <c r="AU129" s="15"/>
    </row>
    <row r="130" ht="15.75" customHeight="1">
      <c r="A130" s="15">
        <f t="shared" si="1"/>
        <v>52</v>
      </c>
      <c r="B130" s="15" t="str">
        <f t="shared" si="10"/>
        <v>Tier 3</v>
      </c>
      <c r="C130" s="15"/>
      <c r="D130" s="16" t="s">
        <v>141</v>
      </c>
      <c r="E130" s="15"/>
      <c r="F130" s="12" t="s">
        <v>2036</v>
      </c>
      <c r="G130" s="11" t="s">
        <v>2037</v>
      </c>
      <c r="H130" s="12" t="s">
        <v>1315</v>
      </c>
      <c r="I130" s="13" t="s">
        <v>59</v>
      </c>
      <c r="J130" s="17" t="s">
        <v>715</v>
      </c>
      <c r="K130" s="18">
        <v>303.0</v>
      </c>
      <c r="L130" s="18">
        <v>464.0</v>
      </c>
      <c r="M130" s="18">
        <v>534.5</v>
      </c>
      <c r="N130" s="19">
        <v>0.66</v>
      </c>
      <c r="O130" s="20">
        <v>81.0</v>
      </c>
      <c r="P130" s="21">
        <v>0.0</v>
      </c>
      <c r="Q130" s="5">
        <v>9.2</v>
      </c>
      <c r="R130" s="22">
        <v>21179.0</v>
      </c>
      <c r="S130" s="5">
        <v>38.40718798</v>
      </c>
      <c r="T130" s="5">
        <v>-82.40767574</v>
      </c>
      <c r="U130" s="1">
        <v>1.0</v>
      </c>
      <c r="V130" s="5" t="s">
        <v>180</v>
      </c>
      <c r="W130" s="5">
        <v>0.0</v>
      </c>
      <c r="X130" s="5">
        <v>0.0</v>
      </c>
      <c r="Y130" s="5" t="s">
        <v>116</v>
      </c>
      <c r="Z130" s="24">
        <v>0.0</v>
      </c>
      <c r="AA130" s="25">
        <v>4.0</v>
      </c>
      <c r="AB130" s="25">
        <v>6.0</v>
      </c>
      <c r="AC130" s="16" t="s">
        <v>2038</v>
      </c>
      <c r="AD130" s="26">
        <v>0.25</v>
      </c>
      <c r="AE130" s="26">
        <v>2.4</v>
      </c>
      <c r="AF130" s="26">
        <f t="shared" si="3"/>
        <v>0</v>
      </c>
      <c r="AG130" s="16" t="str">
        <f t="shared" si="4"/>
        <v>No</v>
      </c>
      <c r="AH130" s="15" t="str">
        <f t="shared" si="5"/>
        <v>No</v>
      </c>
      <c r="AI130" s="32">
        <v>1.2</v>
      </c>
      <c r="AJ130" s="16" t="s">
        <v>230</v>
      </c>
      <c r="AK130" s="15"/>
      <c r="AL130" s="15"/>
      <c r="AM130" s="15"/>
      <c r="AN130" s="9"/>
      <c r="AO130" s="9">
        <f t="shared" si="11"/>
        <v>58.4</v>
      </c>
      <c r="AP130" s="9">
        <f t="shared" si="12"/>
        <v>11.8</v>
      </c>
      <c r="AQ130" s="9">
        <f t="shared" si="13"/>
        <v>16</v>
      </c>
      <c r="AR130" s="9">
        <f t="shared" si="14"/>
        <v>28.3</v>
      </c>
      <c r="AS130" s="16" t="s">
        <v>556</v>
      </c>
      <c r="AT130" s="15"/>
      <c r="AU130" s="15"/>
    </row>
    <row r="131" ht="15.75" customHeight="1">
      <c r="A131" s="15">
        <f t="shared" si="1"/>
        <v>90</v>
      </c>
      <c r="B131" s="15" t="str">
        <f t="shared" si="10"/>
        <v>Tier 3</v>
      </c>
      <c r="C131" s="15"/>
      <c r="D131" s="16" t="s">
        <v>141</v>
      </c>
      <c r="E131" s="15"/>
      <c r="F131" s="12" t="s">
        <v>2039</v>
      </c>
      <c r="G131" s="11" t="s">
        <v>2040</v>
      </c>
      <c r="H131" s="12" t="s">
        <v>1318</v>
      </c>
      <c r="I131" s="13" t="s">
        <v>59</v>
      </c>
      <c r="J131" s="17" t="s">
        <v>715</v>
      </c>
      <c r="K131" s="18">
        <v>141.0</v>
      </c>
      <c r="L131" s="18">
        <v>213.0</v>
      </c>
      <c r="M131" s="18">
        <v>216.5</v>
      </c>
      <c r="N131" s="19">
        <v>1.41</v>
      </c>
      <c r="O131" s="20">
        <v>77.0</v>
      </c>
      <c r="P131" s="21">
        <v>0.0</v>
      </c>
      <c r="Q131" s="5">
        <v>17.4</v>
      </c>
      <c r="R131" s="22">
        <v>41875.0</v>
      </c>
      <c r="S131" s="5">
        <v>38.42609683</v>
      </c>
      <c r="T131" s="5">
        <v>-82.40456204</v>
      </c>
      <c r="U131" s="1">
        <v>1.0</v>
      </c>
      <c r="V131" s="5" t="s">
        <v>180</v>
      </c>
      <c r="W131" s="5">
        <v>0.0</v>
      </c>
      <c r="X131" s="5">
        <v>0.0</v>
      </c>
      <c r="Y131" s="5" t="s">
        <v>116</v>
      </c>
      <c r="Z131" s="24">
        <v>0.0</v>
      </c>
      <c r="AA131" s="25">
        <v>5.0</v>
      </c>
      <c r="AB131" s="25">
        <v>7.0</v>
      </c>
      <c r="AC131" s="16" t="s">
        <v>2038</v>
      </c>
      <c r="AD131" s="26">
        <v>1.21</v>
      </c>
      <c r="AE131" s="26">
        <v>4.9</v>
      </c>
      <c r="AF131" s="26">
        <f t="shared" si="3"/>
        <v>0</v>
      </c>
      <c r="AG131" s="16" t="str">
        <f t="shared" si="4"/>
        <v>No</v>
      </c>
      <c r="AH131" s="15" t="str">
        <f t="shared" si="5"/>
        <v>No</v>
      </c>
      <c r="AI131" s="32">
        <v>0.1</v>
      </c>
      <c r="AJ131" s="16" t="s">
        <v>230</v>
      </c>
      <c r="AK131" s="15"/>
      <c r="AL131" s="15"/>
      <c r="AM131" s="15"/>
      <c r="AN131" s="9"/>
      <c r="AO131" s="9">
        <f t="shared" si="11"/>
        <v>27.2</v>
      </c>
      <c r="AP131" s="9">
        <f t="shared" si="12"/>
        <v>8.1</v>
      </c>
      <c r="AQ131" s="9">
        <f t="shared" si="13"/>
        <v>14.2</v>
      </c>
      <c r="AR131" s="9">
        <f t="shared" si="14"/>
        <v>15.8</v>
      </c>
      <c r="AS131" s="16" t="s">
        <v>556</v>
      </c>
      <c r="AT131" s="15"/>
      <c r="AU131" s="15"/>
    </row>
    <row r="132" ht="15.75" customHeight="1">
      <c r="A132" s="15" t="str">
        <f t="shared" si="1"/>
        <v/>
      </c>
      <c r="B132" s="15" t="str">
        <f t="shared" si="10"/>
        <v/>
      </c>
      <c r="C132" s="15"/>
      <c r="D132" s="16" t="s">
        <v>141</v>
      </c>
      <c r="E132" s="15"/>
      <c r="F132" s="12" t="s">
        <v>2041</v>
      </c>
      <c r="G132" s="11" t="s">
        <v>2042</v>
      </c>
      <c r="H132" s="12" t="s">
        <v>1321</v>
      </c>
      <c r="I132" s="13" t="s">
        <v>59</v>
      </c>
      <c r="J132" s="17" t="s">
        <v>715</v>
      </c>
      <c r="K132" s="18">
        <v>303.0</v>
      </c>
      <c r="L132" s="18">
        <v>464.0</v>
      </c>
      <c r="M132" s="18">
        <v>534.5</v>
      </c>
      <c r="N132" s="19">
        <v>1.41</v>
      </c>
      <c r="O132" s="20">
        <v>81.0</v>
      </c>
      <c r="P132" s="21">
        <v>0.0</v>
      </c>
      <c r="Q132" s="5">
        <v>9.2</v>
      </c>
      <c r="R132" s="22">
        <v>21179.0</v>
      </c>
      <c r="S132" s="5">
        <v>38.41158935</v>
      </c>
      <c r="T132" s="5">
        <v>-82.36521185</v>
      </c>
      <c r="U132" s="1">
        <v>1.0</v>
      </c>
      <c r="V132" s="5" t="s">
        <v>180</v>
      </c>
      <c r="W132" s="5">
        <v>0.0</v>
      </c>
      <c r="X132" s="5">
        <v>0.0</v>
      </c>
      <c r="Y132" s="5" t="s">
        <v>116</v>
      </c>
      <c r="Z132" s="24">
        <v>0.0</v>
      </c>
      <c r="AA132" s="25">
        <v>4.0</v>
      </c>
      <c r="AB132" s="25">
        <v>6.0</v>
      </c>
      <c r="AC132" s="15"/>
      <c r="AD132" s="38"/>
      <c r="AE132" s="26">
        <v>0.4</v>
      </c>
      <c r="AF132" s="26" t="str">
        <f t="shared" si="3"/>
        <v/>
      </c>
      <c r="AG132" s="16" t="str">
        <f t="shared" si="4"/>
        <v>Verify</v>
      </c>
      <c r="AH132" s="15" t="str">
        <f t="shared" si="5"/>
        <v>No</v>
      </c>
      <c r="AI132" s="32">
        <v>0.0</v>
      </c>
      <c r="AJ132" s="16" t="s">
        <v>230</v>
      </c>
      <c r="AK132" s="15"/>
      <c r="AL132" s="15"/>
      <c r="AM132" s="15"/>
      <c r="AN132" s="9"/>
      <c r="AO132" s="9">
        <f t="shared" si="11"/>
        <v>58.4</v>
      </c>
      <c r="AP132" s="9" t="str">
        <f t="shared" si="12"/>
        <v/>
      </c>
      <c r="AQ132" s="9">
        <f t="shared" si="13"/>
        <v>16</v>
      </c>
      <c r="AR132" s="9" t="str">
        <f t="shared" si="14"/>
        <v/>
      </c>
      <c r="AS132" s="16" t="s">
        <v>302</v>
      </c>
      <c r="AT132" s="15"/>
      <c r="AU132" s="15"/>
    </row>
    <row r="133" ht="15.75" customHeight="1">
      <c r="A133" s="15" t="str">
        <f t="shared" si="1"/>
        <v/>
      </c>
      <c r="B133" s="15" t="str">
        <f t="shared" si="10"/>
        <v/>
      </c>
      <c r="C133" s="15"/>
      <c r="D133" s="16" t="s">
        <v>420</v>
      </c>
      <c r="E133" s="16" t="s">
        <v>230</v>
      </c>
      <c r="F133" s="12" t="s">
        <v>2043</v>
      </c>
      <c r="G133" s="11" t="s">
        <v>2044</v>
      </c>
      <c r="H133" s="12">
        <v>25704.0</v>
      </c>
      <c r="I133" s="13" t="s">
        <v>59</v>
      </c>
      <c r="J133" s="17" t="s">
        <v>715</v>
      </c>
      <c r="K133" s="18">
        <v>231.0</v>
      </c>
      <c r="L133" s="18">
        <v>376.0</v>
      </c>
      <c r="M133" s="18">
        <v>394.0</v>
      </c>
      <c r="N133" s="19">
        <v>1.41</v>
      </c>
      <c r="O133" s="20">
        <v>14.0</v>
      </c>
      <c r="P133" s="21">
        <v>0.0</v>
      </c>
      <c r="Q133" s="5">
        <v>5.7</v>
      </c>
      <c r="R133" s="22">
        <v>47854.0</v>
      </c>
      <c r="S133" s="5">
        <v>38.41836815</v>
      </c>
      <c r="T133" s="5">
        <v>-82.45734034</v>
      </c>
      <c r="U133" s="1">
        <v>1.0</v>
      </c>
      <c r="V133" s="5" t="s">
        <v>180</v>
      </c>
      <c r="W133" s="5">
        <v>0.0</v>
      </c>
      <c r="X133" s="5">
        <v>0.0</v>
      </c>
      <c r="Y133" s="5" t="s">
        <v>116</v>
      </c>
      <c r="Z133" s="24">
        <v>0.0</v>
      </c>
      <c r="AA133" s="37"/>
      <c r="AB133" s="37"/>
      <c r="AC133" s="16" t="s">
        <v>2045</v>
      </c>
      <c r="AD133" s="26">
        <v>0.29</v>
      </c>
      <c r="AE133" s="26">
        <v>7.8</v>
      </c>
      <c r="AF133" s="26">
        <f t="shared" si="3"/>
        <v>0</v>
      </c>
      <c r="AG133" s="16" t="str">
        <f t="shared" si="4"/>
        <v>No</v>
      </c>
      <c r="AH133" s="15" t="str">
        <f t="shared" si="5"/>
        <v>Verify</v>
      </c>
      <c r="AI133" s="32">
        <v>0.3</v>
      </c>
      <c r="AJ133" s="16" t="s">
        <v>230</v>
      </c>
      <c r="AK133" s="15"/>
      <c r="AL133" s="15"/>
      <c r="AM133" s="15"/>
      <c r="AN133" s="9"/>
      <c r="AO133" s="9">
        <f t="shared" si="11"/>
        <v>44.5</v>
      </c>
      <c r="AP133" s="9" t="str">
        <f t="shared" si="12"/>
        <v/>
      </c>
      <c r="AQ133" s="9">
        <f t="shared" si="13"/>
        <v>10.9</v>
      </c>
      <c r="AR133" s="9" t="str">
        <f t="shared" si="14"/>
        <v/>
      </c>
      <c r="AS133" s="16" t="s">
        <v>302</v>
      </c>
      <c r="AT133" s="15"/>
      <c r="AU133" s="15"/>
    </row>
    <row r="134" ht="15.75" customHeight="1">
      <c r="A134" s="15">
        <f t="shared" si="1"/>
        <v>82</v>
      </c>
      <c r="B134" s="15" t="str">
        <f t="shared" si="10"/>
        <v>Tier 3</v>
      </c>
      <c r="C134" s="15"/>
      <c r="D134" s="16" t="s">
        <v>141</v>
      </c>
      <c r="E134" s="15"/>
      <c r="F134" s="12" t="s">
        <v>2046</v>
      </c>
      <c r="G134" s="11" t="s">
        <v>2047</v>
      </c>
      <c r="H134" s="12" t="s">
        <v>1325</v>
      </c>
      <c r="I134" s="13" t="s">
        <v>59</v>
      </c>
      <c r="J134" s="17" t="s">
        <v>715</v>
      </c>
      <c r="K134" s="18">
        <v>231.0</v>
      </c>
      <c r="L134" s="18">
        <v>376.0</v>
      </c>
      <c r="M134" s="18">
        <v>394.0</v>
      </c>
      <c r="N134" s="19">
        <v>0.32</v>
      </c>
      <c r="O134" s="20">
        <v>14.0</v>
      </c>
      <c r="P134" s="21">
        <v>15.0</v>
      </c>
      <c r="Q134" s="5">
        <v>5.7</v>
      </c>
      <c r="R134" s="22">
        <v>47854.0</v>
      </c>
      <c r="S134" s="5">
        <v>38.40860532</v>
      </c>
      <c r="T134" s="5">
        <v>-82.47831347</v>
      </c>
      <c r="U134" s="1">
        <v>1.0</v>
      </c>
      <c r="V134" s="5" t="s">
        <v>180</v>
      </c>
      <c r="W134" s="5">
        <v>0.0</v>
      </c>
      <c r="X134" s="5">
        <v>0.0</v>
      </c>
      <c r="Y134" s="5" t="s">
        <v>116</v>
      </c>
      <c r="Z134" s="24">
        <v>0.0</v>
      </c>
      <c r="AA134" s="25">
        <v>5.0</v>
      </c>
      <c r="AB134" s="25">
        <v>7.0</v>
      </c>
      <c r="AC134" s="16" t="s">
        <v>2048</v>
      </c>
      <c r="AD134" s="26">
        <v>0.04</v>
      </c>
      <c r="AE134" s="26">
        <v>7.0</v>
      </c>
      <c r="AF134" s="26">
        <f t="shared" si="3"/>
        <v>0</v>
      </c>
      <c r="AG134" s="16" t="str">
        <f t="shared" si="4"/>
        <v>No</v>
      </c>
      <c r="AH134" s="15" t="str">
        <f t="shared" si="5"/>
        <v>No</v>
      </c>
      <c r="AI134" s="32">
        <v>0.1</v>
      </c>
      <c r="AJ134" s="16" t="s">
        <v>230</v>
      </c>
      <c r="AK134" s="15"/>
      <c r="AL134" s="15"/>
      <c r="AM134" s="15"/>
      <c r="AN134" s="9"/>
      <c r="AO134" s="9">
        <f t="shared" si="11"/>
        <v>44.5</v>
      </c>
      <c r="AP134" s="9">
        <f t="shared" si="12"/>
        <v>4.6</v>
      </c>
      <c r="AQ134" s="9">
        <f t="shared" si="13"/>
        <v>11.4</v>
      </c>
      <c r="AR134" s="9">
        <f t="shared" si="14"/>
        <v>19.4</v>
      </c>
      <c r="AS134" s="16" t="s">
        <v>556</v>
      </c>
      <c r="AT134" s="15"/>
      <c r="AU134" s="15"/>
    </row>
    <row r="135" ht="15.75" customHeight="1">
      <c r="A135" s="15">
        <f t="shared" si="1"/>
        <v>58</v>
      </c>
      <c r="B135" s="15" t="str">
        <f t="shared" si="10"/>
        <v>Tier 3</v>
      </c>
      <c r="C135" s="15"/>
      <c r="D135" s="16" t="s">
        <v>141</v>
      </c>
      <c r="E135" s="15"/>
      <c r="F135" s="12" t="s">
        <v>2049</v>
      </c>
      <c r="G135" s="11" t="s">
        <v>2050</v>
      </c>
      <c r="H135" s="12" t="s">
        <v>1327</v>
      </c>
      <c r="I135" s="13" t="s">
        <v>59</v>
      </c>
      <c r="J135" s="17" t="s">
        <v>715</v>
      </c>
      <c r="K135" s="18">
        <v>231.0</v>
      </c>
      <c r="L135" s="18">
        <v>376.0</v>
      </c>
      <c r="M135" s="18">
        <v>394.0</v>
      </c>
      <c r="N135" s="19">
        <v>1.12</v>
      </c>
      <c r="O135" s="20">
        <v>14.0</v>
      </c>
      <c r="P135" s="21">
        <v>0.0</v>
      </c>
      <c r="Q135" s="5">
        <v>5.7</v>
      </c>
      <c r="R135" s="22">
        <v>47854.0</v>
      </c>
      <c r="S135" s="5">
        <v>38.35542112</v>
      </c>
      <c r="T135" s="5">
        <v>-82.50460914</v>
      </c>
      <c r="U135" s="1">
        <v>1.0</v>
      </c>
      <c r="V135" s="5" t="s">
        <v>180</v>
      </c>
      <c r="W135" s="5">
        <v>0.0</v>
      </c>
      <c r="X135" s="5">
        <v>0.0</v>
      </c>
      <c r="Y135" s="5" t="s">
        <v>116</v>
      </c>
      <c r="Z135" s="24">
        <v>0.0</v>
      </c>
      <c r="AA135" s="25">
        <v>4.0</v>
      </c>
      <c r="AB135" s="25">
        <v>6.0</v>
      </c>
      <c r="AC135" s="16" t="s">
        <v>2035</v>
      </c>
      <c r="AD135" s="26">
        <v>3.58</v>
      </c>
      <c r="AE135" s="26">
        <v>3.4</v>
      </c>
      <c r="AF135" s="26">
        <f t="shared" si="3"/>
        <v>0.18</v>
      </c>
      <c r="AG135" s="16" t="str">
        <f t="shared" si="4"/>
        <v>No</v>
      </c>
      <c r="AH135" s="15" t="str">
        <f t="shared" si="5"/>
        <v>No</v>
      </c>
      <c r="AI135" s="32">
        <v>3.0</v>
      </c>
      <c r="AJ135" s="16" t="s">
        <v>230</v>
      </c>
      <c r="AK135" s="15"/>
      <c r="AL135" s="15"/>
      <c r="AM135" s="15"/>
      <c r="AN135" s="9"/>
      <c r="AO135" s="9">
        <f t="shared" si="11"/>
        <v>44.5</v>
      </c>
      <c r="AP135" s="9">
        <f t="shared" si="12"/>
        <v>21.7</v>
      </c>
      <c r="AQ135" s="9">
        <f t="shared" si="13"/>
        <v>10.9</v>
      </c>
      <c r="AR135" s="9">
        <f t="shared" si="14"/>
        <v>26.9</v>
      </c>
      <c r="AS135" s="16" t="s">
        <v>556</v>
      </c>
      <c r="AT135" s="15"/>
      <c r="AU135" s="15"/>
    </row>
    <row r="136" ht="15.75" customHeight="1">
      <c r="A136" s="15" t="str">
        <f t="shared" si="1"/>
        <v/>
      </c>
      <c r="B136" s="15"/>
      <c r="C136" s="15"/>
      <c r="D136" s="16" t="s">
        <v>420</v>
      </c>
      <c r="E136" s="16" t="s">
        <v>230</v>
      </c>
      <c r="F136" s="12" t="s">
        <v>2051</v>
      </c>
      <c r="G136" s="11" t="s">
        <v>2052</v>
      </c>
      <c r="H136" s="12">
        <v>25526.0</v>
      </c>
      <c r="I136" s="13"/>
      <c r="J136" s="17"/>
      <c r="K136" s="18"/>
      <c r="L136" s="18"/>
      <c r="M136" s="18"/>
      <c r="N136" s="19"/>
      <c r="O136" s="20"/>
      <c r="P136" s="21"/>
      <c r="Q136" s="5"/>
      <c r="R136" s="35"/>
      <c r="S136" s="5">
        <v>38.44559364</v>
      </c>
      <c r="T136" s="5">
        <v>-81.96144343</v>
      </c>
      <c r="U136" s="1">
        <v>1.0</v>
      </c>
      <c r="V136" s="5"/>
      <c r="W136" s="5">
        <v>0.0</v>
      </c>
      <c r="X136" s="5">
        <v>0.0</v>
      </c>
      <c r="Y136" s="5" t="s">
        <v>116</v>
      </c>
      <c r="Z136" s="24">
        <v>0.0</v>
      </c>
      <c r="AA136" s="25"/>
      <c r="AB136" s="25"/>
      <c r="AC136" s="16"/>
      <c r="AD136" s="26"/>
      <c r="AE136" s="26">
        <v>3.9</v>
      </c>
      <c r="AF136" s="26" t="str">
        <f t="shared" si="3"/>
        <v/>
      </c>
      <c r="AG136" s="16" t="str">
        <f t="shared" si="4"/>
        <v>Verify</v>
      </c>
      <c r="AH136" s="15" t="str">
        <f t="shared" si="5"/>
        <v>Verify</v>
      </c>
      <c r="AI136" s="32">
        <v>1.5</v>
      </c>
      <c r="AJ136" s="16"/>
      <c r="AK136" s="15"/>
      <c r="AL136" s="15"/>
      <c r="AM136" s="15"/>
      <c r="AN136" s="9"/>
      <c r="AO136" s="9"/>
      <c r="AP136" s="9"/>
      <c r="AQ136" s="9"/>
      <c r="AR136" s="9"/>
      <c r="AS136" s="16" t="s">
        <v>302</v>
      </c>
      <c r="AT136" s="15"/>
      <c r="AU136" s="15"/>
    </row>
    <row r="137" ht="15.75" customHeight="1">
      <c r="A137" s="15" t="str">
        <f t="shared" si="1"/>
        <v/>
      </c>
      <c r="B137" s="15" t="str">
        <f t="shared" ref="B137:B204" si="15">IF(A137="","",IF(A137&lt;=25,"Tier 1",IF(A137&lt;=50,"Tier 2",IF(A137&lt;=100,"Tier 3",""))))</f>
        <v/>
      </c>
      <c r="C137" s="15"/>
      <c r="D137" s="16" t="s">
        <v>141</v>
      </c>
      <c r="E137" s="15"/>
      <c r="F137" s="12" t="s">
        <v>2053</v>
      </c>
      <c r="G137" s="11" t="s">
        <v>2054</v>
      </c>
      <c r="H137" s="12" t="s">
        <v>1334</v>
      </c>
      <c r="I137" s="13" t="s">
        <v>218</v>
      </c>
      <c r="J137" s="17" t="s">
        <v>715</v>
      </c>
      <c r="K137" s="18">
        <v>182.0</v>
      </c>
      <c r="L137" s="18">
        <v>270.0</v>
      </c>
      <c r="M137" s="18">
        <v>431.5</v>
      </c>
      <c r="N137" s="19">
        <v>0.77</v>
      </c>
      <c r="O137" s="20">
        <v>49.0</v>
      </c>
      <c r="P137" s="21">
        <v>0.0</v>
      </c>
      <c r="Q137" s="5">
        <v>0.0</v>
      </c>
      <c r="R137" s="35"/>
      <c r="S137" s="5">
        <v>38.44186303</v>
      </c>
      <c r="T137" s="5">
        <v>-81.98610976</v>
      </c>
      <c r="U137" s="1">
        <v>1.0</v>
      </c>
      <c r="V137" s="5" t="s">
        <v>180</v>
      </c>
      <c r="W137" s="5">
        <v>0.0</v>
      </c>
      <c r="X137" s="5">
        <v>0.0</v>
      </c>
      <c r="Y137" s="5" t="s">
        <v>116</v>
      </c>
      <c r="Z137" s="24">
        <v>0.0</v>
      </c>
      <c r="AA137" s="25">
        <v>4.0</v>
      </c>
      <c r="AB137" s="25">
        <v>6.0</v>
      </c>
      <c r="AC137" s="16" t="s">
        <v>1581</v>
      </c>
      <c r="AD137" s="26">
        <v>2.79</v>
      </c>
      <c r="AE137" s="26">
        <v>3.3</v>
      </c>
      <c r="AF137" s="26">
        <f t="shared" si="3"/>
        <v>0</v>
      </c>
      <c r="AG137" s="16" t="str">
        <f t="shared" si="4"/>
        <v>No</v>
      </c>
      <c r="AH137" s="15" t="str">
        <f t="shared" si="5"/>
        <v>No</v>
      </c>
      <c r="AI137" s="32">
        <v>0.5</v>
      </c>
      <c r="AJ137" s="16" t="s">
        <v>230</v>
      </c>
      <c r="AK137" s="15"/>
      <c r="AL137" s="15"/>
      <c r="AM137" s="15"/>
      <c r="AN137" s="9"/>
      <c r="AO137" s="9">
        <f t="shared" ref="AO137:AO204" si="16">IF(K137="","",ROUND((K137/MAX($K$2:$K$319))*100,1))</f>
        <v>35.1</v>
      </c>
      <c r="AP137" s="9">
        <f t="shared" ref="AP137:AP204" si="17">IF(OR(AA137="",AB137="",AD137=""),"",ROUND(
(MIN(AD137,20)/20*100)*0.6+
(MAX(0,1-MIN(AA137,5)/5)*100)*0.25+
(MAX(0,1-MIN(AB137,10)/10)*100)*0.15
,1))</f>
        <v>19.4</v>
      </c>
      <c r="AQ137" s="9" t="str">
        <f t="shared" ref="AQ137:AQ204" si="18">IF(OR(O137="",P137="",Q137="",R137=""),"",ROUND(
(MIN(Q137/MAX($Q$2:$Q$319),1)*100)*0.4+
(MIN(O137/MAX($O$2:$O$319),1)*100)*0.25+
(MIN(P137/MAX($P$2:$P$319),1)*100)*0.2+
((1-(R137-MIN($R$2:$R$319))/(MAX($R$2:$R$319)-MIN($R$2:$R$319)))*100)*0.15
,1))</f>
        <v/>
      </c>
      <c r="AR137" s="9" t="str">
        <f t="shared" ref="AR137:AR204" si="19">IF(OR(AO137="",AP137="",AQ137=""),"",ROUND((AO137*30+AP137*40+AQ137*20)/90,1))</f>
        <v/>
      </c>
      <c r="AS137" s="16" t="s">
        <v>302</v>
      </c>
      <c r="AT137" s="15"/>
      <c r="AU137" s="15"/>
    </row>
    <row r="138" ht="15.75" customHeight="1">
      <c r="A138" s="15" t="str">
        <f t="shared" si="1"/>
        <v/>
      </c>
      <c r="B138" s="15" t="str">
        <f t="shared" si="15"/>
        <v/>
      </c>
      <c r="C138" s="15"/>
      <c r="D138" s="16" t="s">
        <v>141</v>
      </c>
      <c r="E138" s="15"/>
      <c r="F138" s="12" t="s">
        <v>2055</v>
      </c>
      <c r="G138" s="11" t="s">
        <v>2056</v>
      </c>
      <c r="H138" s="12">
        <v>25526.0</v>
      </c>
      <c r="I138" s="13" t="s">
        <v>218</v>
      </c>
      <c r="J138" s="17" t="s">
        <v>715</v>
      </c>
      <c r="K138" s="18">
        <v>182.0</v>
      </c>
      <c r="L138" s="18">
        <v>270.0</v>
      </c>
      <c r="M138" s="18">
        <v>431.5</v>
      </c>
      <c r="N138" s="19">
        <v>0.77</v>
      </c>
      <c r="O138" s="20">
        <v>49.0</v>
      </c>
      <c r="P138" s="21">
        <v>19.0</v>
      </c>
      <c r="Q138" s="5">
        <v>0.0</v>
      </c>
      <c r="R138" s="35"/>
      <c r="S138" s="5">
        <v>38.45696985</v>
      </c>
      <c r="T138" s="5">
        <v>-81.92911962</v>
      </c>
      <c r="U138" s="1">
        <v>1.0</v>
      </c>
      <c r="V138" s="5" t="s">
        <v>180</v>
      </c>
      <c r="W138" s="5">
        <v>0.0</v>
      </c>
      <c r="X138" s="5">
        <v>0.0</v>
      </c>
      <c r="Y138" s="5" t="s">
        <v>116</v>
      </c>
      <c r="Z138" s="24">
        <v>0.0</v>
      </c>
      <c r="AA138" s="25">
        <v>1.0</v>
      </c>
      <c r="AB138" s="25">
        <v>2.0</v>
      </c>
      <c r="AC138" s="15"/>
      <c r="AD138" s="38"/>
      <c r="AE138" s="26">
        <v>5.5</v>
      </c>
      <c r="AF138" s="26" t="str">
        <f t="shared" si="3"/>
        <v/>
      </c>
      <c r="AG138" s="16" t="str">
        <f t="shared" si="4"/>
        <v>Verify</v>
      </c>
      <c r="AH138" s="15" t="str">
        <f t="shared" si="5"/>
        <v>No</v>
      </c>
      <c r="AI138" s="32">
        <v>0.2</v>
      </c>
      <c r="AJ138" s="16" t="s">
        <v>230</v>
      </c>
      <c r="AK138" s="15"/>
      <c r="AL138" s="15"/>
      <c r="AM138" s="15"/>
      <c r="AN138" s="9"/>
      <c r="AO138" s="9">
        <f t="shared" si="16"/>
        <v>35.1</v>
      </c>
      <c r="AP138" s="9" t="str">
        <f t="shared" si="17"/>
        <v/>
      </c>
      <c r="AQ138" s="9" t="str">
        <f t="shared" si="18"/>
        <v/>
      </c>
      <c r="AR138" s="9" t="str">
        <f t="shared" si="19"/>
        <v/>
      </c>
      <c r="AS138" s="16" t="s">
        <v>302</v>
      </c>
      <c r="AT138" s="15"/>
      <c r="AU138" s="15"/>
    </row>
    <row r="139" ht="15.75" customHeight="1">
      <c r="A139" s="15" t="str">
        <f t="shared" si="1"/>
        <v/>
      </c>
      <c r="B139" s="15" t="str">
        <f t="shared" si="15"/>
        <v/>
      </c>
      <c r="C139" s="15"/>
      <c r="D139" s="16" t="s">
        <v>141</v>
      </c>
      <c r="E139" s="15"/>
      <c r="F139" s="12" t="s">
        <v>2057</v>
      </c>
      <c r="G139" s="11" t="s">
        <v>2058</v>
      </c>
      <c r="H139" s="12" t="s">
        <v>1339</v>
      </c>
      <c r="I139" s="13" t="s">
        <v>726</v>
      </c>
      <c r="J139" s="17" t="s">
        <v>392</v>
      </c>
      <c r="K139" s="18">
        <v>30.0</v>
      </c>
      <c r="L139" s="18">
        <v>46.0</v>
      </c>
      <c r="M139" s="18">
        <v>34.0</v>
      </c>
      <c r="N139" s="19">
        <v>0.22</v>
      </c>
      <c r="O139" s="20">
        <v>9.0</v>
      </c>
      <c r="P139" s="21">
        <v>40.0</v>
      </c>
      <c r="Q139" s="5">
        <v>1.2</v>
      </c>
      <c r="R139" s="22">
        <v>36250.0</v>
      </c>
      <c r="S139" s="5">
        <v>37.46921255</v>
      </c>
      <c r="T139" s="5">
        <v>-81.79394646</v>
      </c>
      <c r="U139" s="1">
        <v>10.0</v>
      </c>
      <c r="V139" s="5" t="s">
        <v>342</v>
      </c>
      <c r="W139" s="5">
        <v>3.0</v>
      </c>
      <c r="X139" s="5">
        <v>4.0</v>
      </c>
      <c r="Y139" s="5" t="s">
        <v>1190</v>
      </c>
      <c r="Z139" s="24">
        <v>4.0</v>
      </c>
      <c r="AA139" s="37"/>
      <c r="AB139" s="37"/>
      <c r="AC139" s="16" t="s">
        <v>2059</v>
      </c>
      <c r="AD139" s="26">
        <v>12.43</v>
      </c>
      <c r="AE139" s="26">
        <v>1.4</v>
      </c>
      <c r="AF139" s="26">
        <f t="shared" si="3"/>
        <v>11.03</v>
      </c>
      <c r="AG139" s="16" t="str">
        <f t="shared" si="4"/>
        <v>Yes</v>
      </c>
      <c r="AH139" s="15" t="str">
        <f t="shared" si="5"/>
        <v>Verify</v>
      </c>
      <c r="AI139" s="32">
        <v>9.4</v>
      </c>
      <c r="AJ139" s="16" t="s">
        <v>230</v>
      </c>
      <c r="AK139" s="15"/>
      <c r="AL139" s="15"/>
      <c r="AM139" s="15"/>
      <c r="AN139" s="9"/>
      <c r="AO139" s="9">
        <f t="shared" si="16"/>
        <v>5.8</v>
      </c>
      <c r="AP139" s="9" t="str">
        <f t="shared" si="17"/>
        <v/>
      </c>
      <c r="AQ139" s="9">
        <f t="shared" si="18"/>
        <v>13.1</v>
      </c>
      <c r="AR139" s="9" t="str">
        <f t="shared" si="19"/>
        <v/>
      </c>
      <c r="AS139" s="16" t="s">
        <v>302</v>
      </c>
      <c r="AT139" s="15"/>
      <c r="AU139" s="15"/>
    </row>
    <row r="140" ht="15.75" customHeight="1">
      <c r="A140" s="15" t="str">
        <f t="shared" si="1"/>
        <v/>
      </c>
      <c r="B140" s="15" t="str">
        <f t="shared" si="15"/>
        <v/>
      </c>
      <c r="C140" s="15"/>
      <c r="D140" s="16" t="s">
        <v>141</v>
      </c>
      <c r="E140" s="15"/>
      <c r="F140" s="12" t="s">
        <v>2060</v>
      </c>
      <c r="G140" s="11" t="s">
        <v>2061</v>
      </c>
      <c r="H140" s="12" t="s">
        <v>1341</v>
      </c>
      <c r="I140" s="13" t="s">
        <v>28</v>
      </c>
      <c r="J140" s="17" t="s">
        <v>576</v>
      </c>
      <c r="K140" s="18">
        <v>142.0</v>
      </c>
      <c r="L140" s="18">
        <v>230.0</v>
      </c>
      <c r="M140" s="18">
        <v>165.4</v>
      </c>
      <c r="N140" s="19">
        <v>0.55</v>
      </c>
      <c r="O140" s="20">
        <v>5.0</v>
      </c>
      <c r="P140" s="21">
        <v>41.0</v>
      </c>
      <c r="Q140" s="5">
        <v>0.0</v>
      </c>
      <c r="R140" s="35"/>
      <c r="S140" s="5">
        <v>39.35343162</v>
      </c>
      <c r="T140" s="5">
        <v>-78.0318069</v>
      </c>
      <c r="U140" s="1">
        <v>1.0</v>
      </c>
      <c r="V140" s="5" t="s">
        <v>180</v>
      </c>
      <c r="W140" s="5">
        <v>0.0</v>
      </c>
      <c r="X140" s="5">
        <v>0.0</v>
      </c>
      <c r="Y140" s="5" t="s">
        <v>116</v>
      </c>
      <c r="Z140" s="24">
        <v>0.0</v>
      </c>
      <c r="AA140" s="25">
        <v>0.0</v>
      </c>
      <c r="AB140" s="25">
        <v>0.0</v>
      </c>
      <c r="AC140" s="16" t="s">
        <v>2062</v>
      </c>
      <c r="AD140" s="26">
        <v>7.46</v>
      </c>
      <c r="AE140" s="26">
        <v>1.9</v>
      </c>
      <c r="AF140" s="26">
        <f t="shared" si="3"/>
        <v>5.56</v>
      </c>
      <c r="AG140" s="16" t="str">
        <f t="shared" si="4"/>
        <v>No</v>
      </c>
      <c r="AH140" s="15" t="str">
        <f t="shared" si="5"/>
        <v>Yes</v>
      </c>
      <c r="AI140" s="32">
        <v>0.6</v>
      </c>
      <c r="AJ140" s="16" t="s">
        <v>230</v>
      </c>
      <c r="AK140" s="15"/>
      <c r="AL140" s="15"/>
      <c r="AM140" s="15"/>
      <c r="AN140" s="9"/>
      <c r="AO140" s="9">
        <f t="shared" si="16"/>
        <v>27.4</v>
      </c>
      <c r="AP140" s="9">
        <f t="shared" si="17"/>
        <v>62.4</v>
      </c>
      <c r="AQ140" s="9" t="str">
        <f t="shared" si="18"/>
        <v/>
      </c>
      <c r="AR140" s="9" t="str">
        <f t="shared" si="19"/>
        <v/>
      </c>
      <c r="AS140" s="16" t="s">
        <v>302</v>
      </c>
      <c r="AT140" s="15"/>
      <c r="AU140" s="15"/>
    </row>
    <row r="141" ht="15.75" customHeight="1">
      <c r="A141" s="15">
        <f t="shared" si="1"/>
        <v>44</v>
      </c>
      <c r="B141" s="15" t="str">
        <f t="shared" si="15"/>
        <v>Tier 2</v>
      </c>
      <c r="C141" s="15"/>
      <c r="D141" s="16" t="s">
        <v>141</v>
      </c>
      <c r="E141" s="15"/>
      <c r="F141" s="12" t="s">
        <v>2063</v>
      </c>
      <c r="G141" s="11" t="s">
        <v>2064</v>
      </c>
      <c r="H141" s="12" t="s">
        <v>1343</v>
      </c>
      <c r="I141" s="13" t="s">
        <v>147</v>
      </c>
      <c r="J141" s="17" t="s">
        <v>663</v>
      </c>
      <c r="K141" s="18">
        <v>68.0</v>
      </c>
      <c r="L141" s="18">
        <v>105.0</v>
      </c>
      <c r="M141" s="18">
        <v>46.4</v>
      </c>
      <c r="N141" s="19">
        <v>0.55</v>
      </c>
      <c r="O141" s="20">
        <v>8.0</v>
      </c>
      <c r="P141" s="21">
        <v>56.0</v>
      </c>
      <c r="Q141" s="5">
        <v>0.0</v>
      </c>
      <c r="R141" s="22">
        <v>43854.0</v>
      </c>
      <c r="S141" s="5">
        <v>39.10639552</v>
      </c>
      <c r="T141" s="5">
        <v>-80.39393051</v>
      </c>
      <c r="U141" s="1">
        <v>9.0</v>
      </c>
      <c r="V141" s="5" t="s">
        <v>1254</v>
      </c>
      <c r="W141" s="5">
        <v>2.0</v>
      </c>
      <c r="X141" s="5">
        <v>0.0</v>
      </c>
      <c r="Y141" s="5" t="s">
        <v>116</v>
      </c>
      <c r="Z141" s="24">
        <v>0.0</v>
      </c>
      <c r="AA141" s="25">
        <v>0.0</v>
      </c>
      <c r="AB141" s="25">
        <v>0.0</v>
      </c>
      <c r="AC141" s="16" t="s">
        <v>2065</v>
      </c>
      <c r="AD141" s="26">
        <v>4.67</v>
      </c>
      <c r="AE141" s="26">
        <v>3.1</v>
      </c>
      <c r="AF141" s="26">
        <f t="shared" si="3"/>
        <v>1.57</v>
      </c>
      <c r="AG141" s="16" t="str">
        <f t="shared" si="4"/>
        <v>No</v>
      </c>
      <c r="AH141" s="15" t="str">
        <f t="shared" si="5"/>
        <v>Yes</v>
      </c>
      <c r="AI141" s="32">
        <v>5.5</v>
      </c>
      <c r="AJ141" s="16" t="s">
        <v>230</v>
      </c>
      <c r="AK141" s="15"/>
      <c r="AL141" s="15"/>
      <c r="AM141" s="15"/>
      <c r="AN141" s="9"/>
      <c r="AO141" s="9">
        <f t="shared" si="16"/>
        <v>13.1</v>
      </c>
      <c r="AP141" s="9">
        <f t="shared" si="17"/>
        <v>54</v>
      </c>
      <c r="AQ141" s="9">
        <f t="shared" si="18"/>
        <v>12.4</v>
      </c>
      <c r="AR141" s="9">
        <f t="shared" si="19"/>
        <v>31.1</v>
      </c>
      <c r="AS141" s="16" t="s">
        <v>302</v>
      </c>
      <c r="AT141" s="15"/>
      <c r="AU141" s="15"/>
    </row>
    <row r="142" ht="15.75" customHeight="1">
      <c r="A142" s="15">
        <f t="shared" si="1"/>
        <v>40</v>
      </c>
      <c r="B142" s="15" t="str">
        <f t="shared" si="15"/>
        <v>Tier 2</v>
      </c>
      <c r="C142" s="15"/>
      <c r="D142" s="16" t="s">
        <v>141</v>
      </c>
      <c r="E142" s="15"/>
      <c r="F142" s="12" t="s">
        <v>2066</v>
      </c>
      <c r="G142" s="11" t="s">
        <v>2067</v>
      </c>
      <c r="H142" s="12">
        <v>25430.0</v>
      </c>
      <c r="I142" s="13" t="s">
        <v>123</v>
      </c>
      <c r="J142" s="17" t="s">
        <v>576</v>
      </c>
      <c r="K142" s="18">
        <v>100.0</v>
      </c>
      <c r="L142" s="18">
        <v>159.0</v>
      </c>
      <c r="M142" s="18">
        <v>105.7</v>
      </c>
      <c r="N142" s="19">
        <v>0.55</v>
      </c>
      <c r="O142" s="20">
        <v>0.0</v>
      </c>
      <c r="P142" s="21">
        <v>0.0</v>
      </c>
      <c r="Q142" s="5">
        <v>0.0</v>
      </c>
      <c r="R142" s="22">
        <v>15897.0</v>
      </c>
      <c r="S142" s="5">
        <v>39.31221882</v>
      </c>
      <c r="T142" s="5">
        <v>-77.97990528</v>
      </c>
      <c r="U142" s="1">
        <v>10.0</v>
      </c>
      <c r="V142" s="5" t="s">
        <v>342</v>
      </c>
      <c r="W142" s="5">
        <v>3.0</v>
      </c>
      <c r="X142" s="5">
        <v>0.0</v>
      </c>
      <c r="Y142" s="5" t="s">
        <v>116</v>
      </c>
      <c r="Z142" s="24">
        <v>0.0</v>
      </c>
      <c r="AA142" s="25">
        <v>1.0</v>
      </c>
      <c r="AB142" s="25">
        <v>2.0</v>
      </c>
      <c r="AC142" s="16" t="s">
        <v>1288</v>
      </c>
      <c r="AD142" s="26">
        <v>6.5</v>
      </c>
      <c r="AE142" s="26">
        <v>2.5</v>
      </c>
      <c r="AF142" s="26">
        <f t="shared" si="3"/>
        <v>4</v>
      </c>
      <c r="AG142" s="16" t="str">
        <f t="shared" si="4"/>
        <v>No</v>
      </c>
      <c r="AH142" s="15" t="str">
        <f t="shared" si="5"/>
        <v>No</v>
      </c>
      <c r="AI142" s="32">
        <v>4.5</v>
      </c>
      <c r="AJ142" s="16" t="s">
        <v>230</v>
      </c>
      <c r="AK142" s="15"/>
      <c r="AL142" s="15"/>
      <c r="AM142" s="15"/>
      <c r="AN142" s="9"/>
      <c r="AO142" s="9">
        <f t="shared" si="16"/>
        <v>19.3</v>
      </c>
      <c r="AP142" s="9">
        <f t="shared" si="17"/>
        <v>51.5</v>
      </c>
      <c r="AQ142" s="9">
        <f t="shared" si="18"/>
        <v>14.3</v>
      </c>
      <c r="AR142" s="9">
        <f t="shared" si="19"/>
        <v>32.5</v>
      </c>
      <c r="AS142" s="16" t="s">
        <v>302</v>
      </c>
      <c r="AT142" s="15"/>
      <c r="AU142" s="15"/>
    </row>
    <row r="143" ht="15.75" customHeight="1">
      <c r="A143" s="15" t="str">
        <f t="shared" si="1"/>
        <v/>
      </c>
      <c r="B143" s="15" t="str">
        <f t="shared" si="15"/>
        <v/>
      </c>
      <c r="C143" s="15"/>
      <c r="D143" s="16" t="s">
        <v>141</v>
      </c>
      <c r="E143" s="15"/>
      <c r="F143" s="12" t="s">
        <v>2068</v>
      </c>
      <c r="G143" s="11" t="s">
        <v>2069</v>
      </c>
      <c r="H143" s="12" t="s">
        <v>1350</v>
      </c>
      <c r="I143" s="13" t="s">
        <v>123</v>
      </c>
      <c r="J143" s="17" t="s">
        <v>576</v>
      </c>
      <c r="K143" s="18">
        <v>100.0</v>
      </c>
      <c r="L143" s="18">
        <v>159.0</v>
      </c>
      <c r="M143" s="18">
        <v>105.7</v>
      </c>
      <c r="N143" s="19">
        <v>0.55</v>
      </c>
      <c r="O143" s="20">
        <v>0.0</v>
      </c>
      <c r="P143" s="21">
        <v>107.0</v>
      </c>
      <c r="Q143" s="5">
        <v>0.0</v>
      </c>
      <c r="R143" s="22">
        <v>15897.0</v>
      </c>
      <c r="S143" s="5">
        <v>39.41137832</v>
      </c>
      <c r="T143" s="5">
        <v>-77.91576371</v>
      </c>
      <c r="U143" s="1">
        <v>10.0</v>
      </c>
      <c r="V143" s="5" t="s">
        <v>342</v>
      </c>
      <c r="W143" s="5">
        <v>3.0</v>
      </c>
      <c r="X143" s="5">
        <v>0.0</v>
      </c>
      <c r="Y143" s="5" t="s">
        <v>116</v>
      </c>
      <c r="Z143" s="24">
        <v>0.0</v>
      </c>
      <c r="AA143" s="25">
        <v>0.0</v>
      </c>
      <c r="AB143" s="25">
        <v>0.0</v>
      </c>
      <c r="AC143" s="15"/>
      <c r="AD143" s="38"/>
      <c r="AE143" s="26">
        <v>5.9</v>
      </c>
      <c r="AF143" s="26" t="str">
        <f t="shared" si="3"/>
        <v/>
      </c>
      <c r="AG143" s="16" t="str">
        <f t="shared" si="4"/>
        <v>Verify</v>
      </c>
      <c r="AH143" s="15" t="str">
        <f t="shared" si="5"/>
        <v>Yes</v>
      </c>
      <c r="AI143" s="32">
        <v>4.1</v>
      </c>
      <c r="AJ143" s="16" t="s">
        <v>230</v>
      </c>
      <c r="AK143" s="15"/>
      <c r="AL143" s="15"/>
      <c r="AM143" s="15"/>
      <c r="AN143" s="9"/>
      <c r="AO143" s="9">
        <f t="shared" si="16"/>
        <v>19.3</v>
      </c>
      <c r="AP143" s="9" t="str">
        <f t="shared" si="17"/>
        <v/>
      </c>
      <c r="AQ143" s="9">
        <f t="shared" si="18"/>
        <v>17.7</v>
      </c>
      <c r="AR143" s="9" t="str">
        <f t="shared" si="19"/>
        <v/>
      </c>
      <c r="AS143" s="16" t="s">
        <v>302</v>
      </c>
      <c r="AT143" s="15"/>
      <c r="AU143" s="15"/>
    </row>
    <row r="144" ht="15.75" customHeight="1">
      <c r="A144" s="15" t="str">
        <f t="shared" si="1"/>
        <v/>
      </c>
      <c r="B144" s="15" t="str">
        <f t="shared" si="15"/>
        <v/>
      </c>
      <c r="C144" s="15"/>
      <c r="D144" s="16" t="s">
        <v>141</v>
      </c>
      <c r="E144" s="15"/>
      <c r="F144" s="12" t="s">
        <v>2070</v>
      </c>
      <c r="G144" s="11" t="s">
        <v>2071</v>
      </c>
      <c r="H144" s="12" t="s">
        <v>1355</v>
      </c>
      <c r="I144" s="13" t="s">
        <v>256</v>
      </c>
      <c r="J144" s="17" t="s">
        <v>715</v>
      </c>
      <c r="K144" s="18">
        <v>69.0</v>
      </c>
      <c r="L144" s="18">
        <v>94.0</v>
      </c>
      <c r="M144" s="18">
        <v>127.7</v>
      </c>
      <c r="N144" s="19">
        <v>0.55</v>
      </c>
      <c r="O144" s="20">
        <v>94.0</v>
      </c>
      <c r="P144" s="21">
        <v>13.0</v>
      </c>
      <c r="Q144" s="5">
        <v>0.0</v>
      </c>
      <c r="R144" s="22">
        <v>46813.0</v>
      </c>
      <c r="S144" s="5">
        <v>38.40093424</v>
      </c>
      <c r="T144" s="5">
        <v>-82.57659759</v>
      </c>
      <c r="U144" s="1">
        <v>1.0</v>
      </c>
      <c r="V144" s="5" t="s">
        <v>180</v>
      </c>
      <c r="W144" s="5">
        <v>0.0</v>
      </c>
      <c r="X144" s="5">
        <v>0.0</v>
      </c>
      <c r="Y144" s="5" t="s">
        <v>116</v>
      </c>
      <c r="Z144" s="24">
        <v>0.0</v>
      </c>
      <c r="AA144" s="37"/>
      <c r="AB144" s="37"/>
      <c r="AC144" s="16" t="s">
        <v>2072</v>
      </c>
      <c r="AD144" s="26">
        <v>0.14</v>
      </c>
      <c r="AE144" s="26">
        <v>3.0</v>
      </c>
      <c r="AF144" s="26">
        <f t="shared" si="3"/>
        <v>0</v>
      </c>
      <c r="AG144" s="16" t="str">
        <f t="shared" si="4"/>
        <v>No</v>
      </c>
      <c r="AH144" s="15" t="str">
        <f t="shared" si="5"/>
        <v>Verify</v>
      </c>
      <c r="AI144" s="32">
        <v>0.2</v>
      </c>
      <c r="AJ144" s="16" t="s">
        <v>230</v>
      </c>
      <c r="AK144" s="15"/>
      <c r="AL144" s="15"/>
      <c r="AM144" s="15"/>
      <c r="AN144" s="9"/>
      <c r="AO144" s="9">
        <f t="shared" si="16"/>
        <v>13.3</v>
      </c>
      <c r="AP144" s="9" t="str">
        <f t="shared" si="17"/>
        <v/>
      </c>
      <c r="AQ144" s="9">
        <f t="shared" si="18"/>
        <v>11.8</v>
      </c>
      <c r="AR144" s="9" t="str">
        <f t="shared" si="19"/>
        <v/>
      </c>
      <c r="AS144" s="16" t="s">
        <v>302</v>
      </c>
      <c r="AT144" s="15"/>
      <c r="AU144" s="15"/>
    </row>
    <row r="145" ht="15.75" customHeight="1">
      <c r="A145" s="15" t="str">
        <f t="shared" si="1"/>
        <v/>
      </c>
      <c r="B145" s="15" t="str">
        <f t="shared" si="15"/>
        <v/>
      </c>
      <c r="C145" s="15"/>
      <c r="D145" s="16" t="s">
        <v>141</v>
      </c>
      <c r="E145" s="15"/>
      <c r="F145" s="12" t="s">
        <v>2073</v>
      </c>
      <c r="G145" s="11" t="s">
        <v>2074</v>
      </c>
      <c r="H145" s="12" t="s">
        <v>1360</v>
      </c>
      <c r="I145" s="13" t="s">
        <v>978</v>
      </c>
      <c r="J145" s="17" t="s">
        <v>392</v>
      </c>
      <c r="K145" s="18">
        <v>90.0</v>
      </c>
      <c r="L145" s="18">
        <v>52.0</v>
      </c>
      <c r="M145" s="18">
        <v>68.2</v>
      </c>
      <c r="N145" s="19">
        <v>0.55</v>
      </c>
      <c r="O145" s="20">
        <v>47.0</v>
      </c>
      <c r="P145" s="21">
        <v>0.0</v>
      </c>
      <c r="Q145" s="5">
        <v>6.4</v>
      </c>
      <c r="R145" s="22">
        <v>39167.0</v>
      </c>
      <c r="S145" s="5">
        <v>37.81869973</v>
      </c>
      <c r="T145" s="5">
        <v>-82.38595137</v>
      </c>
      <c r="U145" s="1">
        <v>10.0</v>
      </c>
      <c r="V145" s="5" t="s">
        <v>342</v>
      </c>
      <c r="W145" s="5">
        <v>3.0</v>
      </c>
      <c r="X145" s="5">
        <v>4.0</v>
      </c>
      <c r="Y145" s="5" t="s">
        <v>1190</v>
      </c>
      <c r="Z145" s="24">
        <v>4.0</v>
      </c>
      <c r="AA145" s="25">
        <v>2.0</v>
      </c>
      <c r="AB145" s="25">
        <v>4.0</v>
      </c>
      <c r="AC145" s="15"/>
      <c r="AD145" s="38"/>
      <c r="AE145" s="26">
        <v>13.7</v>
      </c>
      <c r="AF145" s="26" t="str">
        <f t="shared" si="3"/>
        <v/>
      </c>
      <c r="AG145" s="16" t="str">
        <f t="shared" si="4"/>
        <v>Verify</v>
      </c>
      <c r="AH145" s="15" t="str">
        <f t="shared" si="5"/>
        <v>No</v>
      </c>
      <c r="AI145" s="32">
        <v>2.4</v>
      </c>
      <c r="AJ145" s="16" t="s">
        <v>230</v>
      </c>
      <c r="AK145" s="15"/>
      <c r="AL145" s="15"/>
      <c r="AM145" s="15"/>
      <c r="AN145" s="9"/>
      <c r="AO145" s="9">
        <f t="shared" si="16"/>
        <v>17.3</v>
      </c>
      <c r="AP145" s="9" t="str">
        <f t="shared" si="17"/>
        <v/>
      </c>
      <c r="AQ145" s="9">
        <f t="shared" si="18"/>
        <v>12.7</v>
      </c>
      <c r="AR145" s="9" t="str">
        <f t="shared" si="19"/>
        <v/>
      </c>
      <c r="AS145" s="16" t="s">
        <v>302</v>
      </c>
      <c r="AT145" s="15"/>
      <c r="AU145" s="15"/>
    </row>
    <row r="146" ht="15.75" customHeight="1">
      <c r="A146" s="15" t="str">
        <f t="shared" si="1"/>
        <v/>
      </c>
      <c r="B146" s="15" t="str">
        <f t="shared" si="15"/>
        <v/>
      </c>
      <c r="C146" s="15"/>
      <c r="D146" s="16" t="s">
        <v>141</v>
      </c>
      <c r="E146" s="15"/>
      <c r="F146" s="12" t="s">
        <v>2075</v>
      </c>
      <c r="G146" s="11" t="s">
        <v>2076</v>
      </c>
      <c r="H146" s="12" t="s">
        <v>1364</v>
      </c>
      <c r="I146" s="13" t="s">
        <v>181</v>
      </c>
      <c r="J146" s="17" t="s">
        <v>576</v>
      </c>
      <c r="K146" s="18">
        <v>226.0</v>
      </c>
      <c r="L146" s="18">
        <v>337.0</v>
      </c>
      <c r="M146" s="18">
        <v>87.9</v>
      </c>
      <c r="N146" s="19">
        <v>0.87</v>
      </c>
      <c r="O146" s="20">
        <v>6.0</v>
      </c>
      <c r="P146" s="21">
        <v>0.0</v>
      </c>
      <c r="Q146" s="5">
        <v>0.0</v>
      </c>
      <c r="R146" s="22">
        <v>31250.0</v>
      </c>
      <c r="S146" s="5">
        <v>39.42096547</v>
      </c>
      <c r="T146" s="5">
        <v>-78.99417258</v>
      </c>
      <c r="U146" s="1">
        <v>5.0</v>
      </c>
      <c r="V146" s="5" t="s">
        <v>540</v>
      </c>
      <c r="W146" s="5">
        <v>1.0</v>
      </c>
      <c r="X146" s="5">
        <v>1.0</v>
      </c>
      <c r="Y146" s="5" t="s">
        <v>471</v>
      </c>
      <c r="Z146" s="24">
        <v>1.0</v>
      </c>
      <c r="AA146" s="37"/>
      <c r="AB146" s="37"/>
      <c r="AC146" s="16" t="s">
        <v>2077</v>
      </c>
      <c r="AD146" s="26">
        <v>0.0</v>
      </c>
      <c r="AE146" s="26">
        <v>1.3</v>
      </c>
      <c r="AF146" s="26">
        <f t="shared" si="3"/>
        <v>0</v>
      </c>
      <c r="AG146" s="16" t="str">
        <f t="shared" si="4"/>
        <v>No</v>
      </c>
      <c r="AH146" s="15" t="str">
        <f t="shared" si="5"/>
        <v>Verify</v>
      </c>
      <c r="AI146" s="32">
        <v>0.1</v>
      </c>
      <c r="AJ146" s="16" t="s">
        <v>230</v>
      </c>
      <c r="AK146" s="15"/>
      <c r="AL146" s="15"/>
      <c r="AM146" s="15"/>
      <c r="AN146" s="9"/>
      <c r="AO146" s="9">
        <f t="shared" si="16"/>
        <v>43.5</v>
      </c>
      <c r="AP146" s="9" t="str">
        <f t="shared" si="17"/>
        <v/>
      </c>
      <c r="AQ146" s="9">
        <f t="shared" si="18"/>
        <v>12.3</v>
      </c>
      <c r="AR146" s="9" t="str">
        <f t="shared" si="19"/>
        <v/>
      </c>
      <c r="AS146" s="16" t="s">
        <v>302</v>
      </c>
      <c r="AT146" s="15"/>
      <c r="AU146" s="15"/>
    </row>
    <row r="147" ht="15.75" customHeight="1">
      <c r="A147" s="15" t="str">
        <f t="shared" si="1"/>
        <v/>
      </c>
      <c r="B147" s="15" t="str">
        <f t="shared" si="15"/>
        <v/>
      </c>
      <c r="C147" s="15"/>
      <c r="D147" s="16" t="s">
        <v>141</v>
      </c>
      <c r="E147" s="15"/>
      <c r="F147" s="12" t="s">
        <v>2078</v>
      </c>
      <c r="G147" s="11" t="s">
        <v>2079</v>
      </c>
      <c r="H147" s="12" t="s">
        <v>1367</v>
      </c>
      <c r="I147" s="13" t="s">
        <v>181</v>
      </c>
      <c r="J147" s="17" t="s">
        <v>576</v>
      </c>
      <c r="K147" s="18">
        <v>226.0</v>
      </c>
      <c r="L147" s="18">
        <v>337.0</v>
      </c>
      <c r="M147" s="18">
        <v>87.9</v>
      </c>
      <c r="N147" s="19">
        <v>0.9</v>
      </c>
      <c r="O147" s="20">
        <v>6.0</v>
      </c>
      <c r="P147" s="21">
        <v>219.0</v>
      </c>
      <c r="Q147" s="5">
        <v>0.0</v>
      </c>
      <c r="R147" s="22">
        <v>31250.0</v>
      </c>
      <c r="S147" s="5">
        <v>39.42838419</v>
      </c>
      <c r="T147" s="5">
        <v>-78.92691636</v>
      </c>
      <c r="U147" s="1">
        <v>5.0</v>
      </c>
      <c r="V147" s="5" t="s">
        <v>540</v>
      </c>
      <c r="W147" s="5">
        <v>1.0</v>
      </c>
      <c r="X147" s="5">
        <v>1.0</v>
      </c>
      <c r="Y147" s="5" t="s">
        <v>471</v>
      </c>
      <c r="Z147" s="24">
        <v>1.0</v>
      </c>
      <c r="AA147" s="25">
        <v>2.0</v>
      </c>
      <c r="AB147" s="25">
        <v>4.0</v>
      </c>
      <c r="AC147" s="15"/>
      <c r="AD147" s="38"/>
      <c r="AE147" s="26">
        <v>3.6</v>
      </c>
      <c r="AF147" s="26" t="str">
        <f t="shared" si="3"/>
        <v/>
      </c>
      <c r="AG147" s="16" t="str">
        <f t="shared" si="4"/>
        <v>Verify</v>
      </c>
      <c r="AH147" s="15" t="str">
        <f t="shared" si="5"/>
        <v>No</v>
      </c>
      <c r="AI147" s="32">
        <v>0.8</v>
      </c>
      <c r="AJ147" s="16" t="s">
        <v>230</v>
      </c>
      <c r="AK147" s="15"/>
      <c r="AL147" s="15"/>
      <c r="AM147" s="15"/>
      <c r="AN147" s="9"/>
      <c r="AO147" s="9">
        <f t="shared" si="16"/>
        <v>43.5</v>
      </c>
      <c r="AP147" s="9" t="str">
        <f t="shared" si="17"/>
        <v/>
      </c>
      <c r="AQ147" s="9">
        <f t="shared" si="18"/>
        <v>19.2</v>
      </c>
      <c r="AR147" s="9" t="str">
        <f t="shared" si="19"/>
        <v/>
      </c>
      <c r="AS147" s="16" t="s">
        <v>302</v>
      </c>
      <c r="AT147" s="15"/>
      <c r="AU147" s="15"/>
    </row>
    <row r="148" ht="15.75" customHeight="1">
      <c r="A148" s="15" t="str">
        <f t="shared" si="1"/>
        <v/>
      </c>
      <c r="B148" s="15" t="str">
        <f t="shared" si="15"/>
        <v/>
      </c>
      <c r="C148" s="15"/>
      <c r="D148" s="16" t="s">
        <v>141</v>
      </c>
      <c r="E148" s="15"/>
      <c r="F148" s="12" t="s">
        <v>2080</v>
      </c>
      <c r="G148" s="11" t="s">
        <v>2081</v>
      </c>
      <c r="H148" s="12" t="s">
        <v>1372</v>
      </c>
      <c r="I148" s="13" t="s">
        <v>105</v>
      </c>
      <c r="J148" s="17" t="s">
        <v>169</v>
      </c>
      <c r="K148" s="18">
        <v>65.0</v>
      </c>
      <c r="L148" s="18">
        <v>94.0</v>
      </c>
      <c r="M148" s="18">
        <v>77.3</v>
      </c>
      <c r="N148" s="19">
        <v>0.57</v>
      </c>
      <c r="O148" s="20">
        <v>97.0</v>
      </c>
      <c r="P148" s="21">
        <v>0.0</v>
      </c>
      <c r="Q148" s="5">
        <v>1.6</v>
      </c>
      <c r="R148" s="22">
        <v>72355.0</v>
      </c>
      <c r="S148" s="5">
        <v>39.4719174</v>
      </c>
      <c r="T148" s="5">
        <v>-79.68357113</v>
      </c>
      <c r="U148" s="1">
        <v>2.0</v>
      </c>
      <c r="V148" s="5" t="s">
        <v>180</v>
      </c>
      <c r="W148" s="5">
        <v>0.0</v>
      </c>
      <c r="X148" s="5">
        <v>0.0</v>
      </c>
      <c r="Y148" s="5" t="s">
        <v>116</v>
      </c>
      <c r="Z148" s="24">
        <v>0.0</v>
      </c>
      <c r="AA148" s="37"/>
      <c r="AB148" s="37"/>
      <c r="AC148" s="16" t="s">
        <v>188</v>
      </c>
      <c r="AD148" s="26">
        <v>0.8</v>
      </c>
      <c r="AE148" s="26">
        <v>1.8</v>
      </c>
      <c r="AF148" s="26">
        <f t="shared" si="3"/>
        <v>0</v>
      </c>
      <c r="AG148" s="16" t="str">
        <f t="shared" si="4"/>
        <v>No</v>
      </c>
      <c r="AH148" s="15" t="str">
        <f t="shared" si="5"/>
        <v>Verify</v>
      </c>
      <c r="AI148" s="32">
        <v>0.8</v>
      </c>
      <c r="AJ148" s="16" t="s">
        <v>230</v>
      </c>
      <c r="AK148" s="15"/>
      <c r="AL148" s="15"/>
      <c r="AM148" s="15"/>
      <c r="AN148" s="9"/>
      <c r="AO148" s="9">
        <f t="shared" si="16"/>
        <v>12.5</v>
      </c>
      <c r="AP148" s="9" t="str">
        <f t="shared" si="17"/>
        <v/>
      </c>
      <c r="AQ148" s="9">
        <f t="shared" si="18"/>
        <v>8.2</v>
      </c>
      <c r="AR148" s="9" t="str">
        <f t="shared" si="19"/>
        <v/>
      </c>
      <c r="AS148" s="16" t="s">
        <v>302</v>
      </c>
      <c r="AT148" s="15"/>
      <c r="AU148" s="15"/>
    </row>
    <row r="149" ht="15.75" customHeight="1">
      <c r="A149" s="15" t="str">
        <f t="shared" si="1"/>
        <v/>
      </c>
      <c r="B149" s="15" t="str">
        <f t="shared" si="15"/>
        <v/>
      </c>
      <c r="C149" s="15"/>
      <c r="D149" s="16" t="s">
        <v>141</v>
      </c>
      <c r="E149" s="15"/>
      <c r="F149" s="12" t="s">
        <v>2082</v>
      </c>
      <c r="G149" s="11" t="s">
        <v>2083</v>
      </c>
      <c r="H149" s="12" t="s">
        <v>1375</v>
      </c>
      <c r="I149" s="13" t="s">
        <v>256</v>
      </c>
      <c r="J149" s="17" t="s">
        <v>715</v>
      </c>
      <c r="K149" s="18">
        <v>31.0</v>
      </c>
      <c r="L149" s="18">
        <v>47.0</v>
      </c>
      <c r="M149" s="18">
        <v>38.2</v>
      </c>
      <c r="N149" s="19">
        <v>0.77</v>
      </c>
      <c r="O149" s="20">
        <v>286.0</v>
      </c>
      <c r="P149" s="21">
        <v>0.0</v>
      </c>
      <c r="Q149" s="5">
        <v>9.5</v>
      </c>
      <c r="R149" s="22">
        <v>77841.0</v>
      </c>
      <c r="S149" s="5">
        <v>38.3221549</v>
      </c>
      <c r="T149" s="5">
        <v>-82.44693902</v>
      </c>
      <c r="U149" s="1">
        <v>2.0</v>
      </c>
      <c r="V149" s="5" t="s">
        <v>180</v>
      </c>
      <c r="W149" s="5">
        <v>0.0</v>
      </c>
      <c r="X149" s="5">
        <v>0.0</v>
      </c>
      <c r="Y149" s="5" t="s">
        <v>116</v>
      </c>
      <c r="Z149" s="24">
        <v>0.0</v>
      </c>
      <c r="AA149" s="25">
        <v>1.0</v>
      </c>
      <c r="AB149" s="25">
        <v>2.0</v>
      </c>
      <c r="AC149" s="15"/>
      <c r="AD149" s="38"/>
      <c r="AE149" s="26">
        <v>1.1</v>
      </c>
      <c r="AF149" s="26" t="str">
        <f t="shared" si="3"/>
        <v/>
      </c>
      <c r="AG149" s="16" t="str">
        <f t="shared" si="4"/>
        <v>Verify</v>
      </c>
      <c r="AH149" s="15" t="str">
        <f t="shared" si="5"/>
        <v>No</v>
      </c>
      <c r="AI149" s="32">
        <v>1.1</v>
      </c>
      <c r="AJ149" s="16" t="s">
        <v>230</v>
      </c>
      <c r="AK149" s="15"/>
      <c r="AL149" s="15"/>
      <c r="AM149" s="15"/>
      <c r="AN149" s="9"/>
      <c r="AO149" s="9">
        <f t="shared" si="16"/>
        <v>6</v>
      </c>
      <c r="AP149" s="9" t="str">
        <f t="shared" si="17"/>
        <v/>
      </c>
      <c r="AQ149" s="9">
        <f t="shared" si="18"/>
        <v>11.3</v>
      </c>
      <c r="AR149" s="9" t="str">
        <f t="shared" si="19"/>
        <v/>
      </c>
      <c r="AS149" s="16" t="s">
        <v>302</v>
      </c>
      <c r="AT149" s="15"/>
      <c r="AU149" s="15"/>
    </row>
    <row r="150" ht="15.75" customHeight="1">
      <c r="A150" s="15" t="str">
        <f t="shared" si="1"/>
        <v/>
      </c>
      <c r="B150" s="15" t="str">
        <f t="shared" si="15"/>
        <v/>
      </c>
      <c r="C150" s="15"/>
      <c r="D150" s="16" t="s">
        <v>141</v>
      </c>
      <c r="E150" s="15"/>
      <c r="F150" s="12" t="s">
        <v>2084</v>
      </c>
      <c r="G150" s="11" t="s">
        <v>2085</v>
      </c>
      <c r="H150" s="12">
        <v>25123.0</v>
      </c>
      <c r="I150" s="13" t="s">
        <v>168</v>
      </c>
      <c r="J150" s="17" t="s">
        <v>439</v>
      </c>
      <c r="K150" s="18">
        <v>38.0</v>
      </c>
      <c r="L150" s="18">
        <v>62.0</v>
      </c>
      <c r="M150" s="18">
        <v>74.2</v>
      </c>
      <c r="N150" s="19">
        <v>2.19</v>
      </c>
      <c r="O150" s="20">
        <v>155.0</v>
      </c>
      <c r="P150" s="21">
        <v>133.0</v>
      </c>
      <c r="Q150" s="5">
        <v>16.7</v>
      </c>
      <c r="R150" s="22">
        <v>38431.0</v>
      </c>
      <c r="S150" s="5">
        <v>38.70525037</v>
      </c>
      <c r="T150" s="5">
        <v>-81.94929637</v>
      </c>
      <c r="U150" s="1">
        <v>10.0</v>
      </c>
      <c r="V150" s="5" t="s">
        <v>342</v>
      </c>
      <c r="W150" s="5">
        <v>3.0</v>
      </c>
      <c r="X150" s="5">
        <v>0.0</v>
      </c>
      <c r="Y150" s="5" t="s">
        <v>116</v>
      </c>
      <c r="Z150" s="24">
        <v>0.0</v>
      </c>
      <c r="AA150" s="37"/>
      <c r="AB150" s="37"/>
      <c r="AC150" s="15"/>
      <c r="AD150" s="38"/>
      <c r="AE150" s="26">
        <v>3.2</v>
      </c>
      <c r="AF150" s="26" t="str">
        <f t="shared" si="3"/>
        <v/>
      </c>
      <c r="AG150" s="16" t="str">
        <f t="shared" si="4"/>
        <v>Verify</v>
      </c>
      <c r="AH150" s="15" t="str">
        <f t="shared" si="5"/>
        <v>Verify</v>
      </c>
      <c r="AI150" s="32">
        <v>6.4</v>
      </c>
      <c r="AJ150" s="16" t="s">
        <v>230</v>
      </c>
      <c r="AK150" s="15"/>
      <c r="AL150" s="15"/>
      <c r="AM150" s="15"/>
      <c r="AN150" s="9"/>
      <c r="AO150" s="9">
        <f t="shared" si="16"/>
        <v>7.3</v>
      </c>
      <c r="AP150" s="9" t="str">
        <f t="shared" si="17"/>
        <v/>
      </c>
      <c r="AQ150" s="9">
        <f t="shared" si="18"/>
        <v>19.9</v>
      </c>
      <c r="AR150" s="9" t="str">
        <f t="shared" si="19"/>
        <v/>
      </c>
      <c r="AS150" s="16" t="s">
        <v>302</v>
      </c>
      <c r="AT150" s="15"/>
      <c r="AU150" s="15"/>
    </row>
    <row r="151" ht="15.75" customHeight="1">
      <c r="A151" s="15" t="str">
        <f t="shared" si="1"/>
        <v/>
      </c>
      <c r="B151" s="15" t="str">
        <f t="shared" si="15"/>
        <v/>
      </c>
      <c r="C151" s="15"/>
      <c r="D151" s="16" t="s">
        <v>141</v>
      </c>
      <c r="E151" s="15"/>
      <c r="F151" s="12" t="s">
        <v>2086</v>
      </c>
      <c r="G151" s="11" t="s">
        <v>2087</v>
      </c>
      <c r="H151" s="12">
        <v>25971.0</v>
      </c>
      <c r="I151" s="13" t="s">
        <v>175</v>
      </c>
      <c r="J151" s="17" t="s">
        <v>392</v>
      </c>
      <c r="K151" s="18">
        <v>13.0</v>
      </c>
      <c r="L151" s="18">
        <v>23.0</v>
      </c>
      <c r="M151" s="18">
        <v>30.1</v>
      </c>
      <c r="N151" s="19">
        <v>0.46</v>
      </c>
      <c r="O151" s="20">
        <v>207.0</v>
      </c>
      <c r="P151" s="21">
        <v>0.0</v>
      </c>
      <c r="Q151" s="5">
        <v>25.2</v>
      </c>
      <c r="R151" s="22">
        <v>44674.0</v>
      </c>
      <c r="S151" s="5">
        <v>37.498886</v>
      </c>
      <c r="T151" s="5">
        <v>-80.979744</v>
      </c>
      <c r="U151" s="1">
        <v>5.0</v>
      </c>
      <c r="V151" s="5" t="s">
        <v>540</v>
      </c>
      <c r="W151" s="5">
        <v>1.0</v>
      </c>
      <c r="X151" s="5">
        <v>0.0</v>
      </c>
      <c r="Y151" s="5" t="s">
        <v>116</v>
      </c>
      <c r="Z151" s="24">
        <v>0.0</v>
      </c>
      <c r="AA151" s="37"/>
      <c r="AB151" s="37"/>
      <c r="AC151" s="16" t="s">
        <v>543</v>
      </c>
      <c r="AD151" s="26">
        <v>10.09</v>
      </c>
      <c r="AE151" s="26">
        <v>1.5</v>
      </c>
      <c r="AF151" s="26">
        <f t="shared" si="3"/>
        <v>8.59</v>
      </c>
      <c r="AG151" s="16" t="str">
        <f t="shared" si="4"/>
        <v>Yes</v>
      </c>
      <c r="AH151" s="15" t="str">
        <f t="shared" si="5"/>
        <v>Verify</v>
      </c>
      <c r="AI151" s="32">
        <v>10.2</v>
      </c>
      <c r="AJ151" s="16" t="s">
        <v>230</v>
      </c>
      <c r="AK151" s="15"/>
      <c r="AL151" s="15"/>
      <c r="AM151" s="15"/>
      <c r="AN151" s="9"/>
      <c r="AO151" s="9">
        <f t="shared" si="16"/>
        <v>2.5</v>
      </c>
      <c r="AP151" s="9" t="str">
        <f t="shared" si="17"/>
        <v/>
      </c>
      <c r="AQ151" s="9">
        <f t="shared" si="18"/>
        <v>16.8</v>
      </c>
      <c r="AR151" s="9" t="str">
        <f t="shared" si="19"/>
        <v/>
      </c>
      <c r="AS151" s="16" t="s">
        <v>302</v>
      </c>
      <c r="AT151" s="15"/>
      <c r="AU151" s="15"/>
    </row>
    <row r="152" ht="15.75" customHeight="1">
      <c r="A152" s="15" t="str">
        <f t="shared" si="1"/>
        <v/>
      </c>
      <c r="B152" s="15" t="str">
        <f t="shared" si="15"/>
        <v/>
      </c>
      <c r="C152" s="15"/>
      <c r="D152" s="16" t="s">
        <v>141</v>
      </c>
      <c r="E152" s="15"/>
      <c r="F152" s="12" t="s">
        <v>2088</v>
      </c>
      <c r="G152" s="11" t="s">
        <v>2089</v>
      </c>
      <c r="H152" s="12" t="s">
        <v>1385</v>
      </c>
      <c r="I152" s="13" t="s">
        <v>59</v>
      </c>
      <c r="J152" s="17" t="s">
        <v>715</v>
      </c>
      <c r="K152" s="18">
        <v>28.0</v>
      </c>
      <c r="L152" s="18">
        <v>42.0</v>
      </c>
      <c r="M152" s="18">
        <v>24.7</v>
      </c>
      <c r="N152" s="19">
        <v>0.37</v>
      </c>
      <c r="O152" s="20">
        <v>22.0</v>
      </c>
      <c r="P152" s="21">
        <v>0.0</v>
      </c>
      <c r="Q152" s="5">
        <v>0.0</v>
      </c>
      <c r="R152" s="22">
        <v>62000.0</v>
      </c>
      <c r="S152" s="5">
        <v>38.48665516</v>
      </c>
      <c r="T152" s="5">
        <v>-82.301916</v>
      </c>
      <c r="U152" s="1">
        <v>2.0</v>
      </c>
      <c r="V152" s="5" t="s">
        <v>180</v>
      </c>
      <c r="W152" s="5">
        <v>0.0</v>
      </c>
      <c r="X152" s="5">
        <v>0.0</v>
      </c>
      <c r="Y152" s="5" t="s">
        <v>116</v>
      </c>
      <c r="Z152" s="24">
        <v>0.0</v>
      </c>
      <c r="AA152" s="25">
        <v>0.0</v>
      </c>
      <c r="AB152" s="25">
        <v>0.0</v>
      </c>
      <c r="AC152" s="15"/>
      <c r="AD152" s="38"/>
      <c r="AE152" s="26">
        <v>3.4</v>
      </c>
      <c r="AF152" s="26" t="str">
        <f t="shared" si="3"/>
        <v/>
      </c>
      <c r="AG152" s="16" t="str">
        <f t="shared" si="4"/>
        <v>Verify</v>
      </c>
      <c r="AH152" s="15" t="str">
        <f t="shared" si="5"/>
        <v>Yes</v>
      </c>
      <c r="AI152" s="32">
        <v>4.6</v>
      </c>
      <c r="AJ152" s="16" t="s">
        <v>230</v>
      </c>
      <c r="AK152" s="15"/>
      <c r="AL152" s="15"/>
      <c r="AM152" s="15"/>
      <c r="AN152" s="9"/>
      <c r="AO152" s="9">
        <f t="shared" si="16"/>
        <v>5.4</v>
      </c>
      <c r="AP152" s="9" t="str">
        <f t="shared" si="17"/>
        <v/>
      </c>
      <c r="AQ152" s="9">
        <f t="shared" si="18"/>
        <v>8.3</v>
      </c>
      <c r="AR152" s="9" t="str">
        <f t="shared" si="19"/>
        <v/>
      </c>
      <c r="AS152" s="16" t="s">
        <v>302</v>
      </c>
      <c r="AT152" s="15"/>
      <c r="AU152" s="15"/>
    </row>
    <row r="153" ht="15.75" customHeight="1">
      <c r="A153" s="15" t="str">
        <f t="shared" si="1"/>
        <v/>
      </c>
      <c r="B153" s="15" t="str">
        <f t="shared" si="15"/>
        <v/>
      </c>
      <c r="C153" s="15"/>
      <c r="D153" s="16" t="s">
        <v>141</v>
      </c>
      <c r="E153" s="15"/>
      <c r="F153" s="12" t="s">
        <v>2090</v>
      </c>
      <c r="G153" s="11" t="s">
        <v>2091</v>
      </c>
      <c r="H153" s="12">
        <v>25865.0</v>
      </c>
      <c r="I153" s="13" t="s">
        <v>225</v>
      </c>
      <c r="J153" s="17" t="s">
        <v>392</v>
      </c>
      <c r="K153" s="18">
        <v>22.0</v>
      </c>
      <c r="L153" s="18">
        <v>33.0</v>
      </c>
      <c r="M153" s="18">
        <v>32.1</v>
      </c>
      <c r="N153" s="19">
        <v>0.37</v>
      </c>
      <c r="O153" s="20">
        <v>682.0</v>
      </c>
      <c r="P153" s="21">
        <v>0.0</v>
      </c>
      <c r="Q153" s="5">
        <v>25.4</v>
      </c>
      <c r="R153" s="22">
        <v>69128.0</v>
      </c>
      <c r="S153" s="5">
        <v>37.72904259</v>
      </c>
      <c r="T153" s="5">
        <v>-81.30687496</v>
      </c>
      <c r="U153" s="1">
        <v>2.0</v>
      </c>
      <c r="V153" s="5" t="s">
        <v>180</v>
      </c>
      <c r="W153" s="5">
        <v>0.0</v>
      </c>
      <c r="X153" s="5">
        <v>0.0</v>
      </c>
      <c r="Y153" s="5" t="s">
        <v>116</v>
      </c>
      <c r="Z153" s="24">
        <v>0.0</v>
      </c>
      <c r="AA153" s="37"/>
      <c r="AB153" s="37"/>
      <c r="AC153" s="16" t="s">
        <v>2092</v>
      </c>
      <c r="AD153" s="26">
        <v>3.83</v>
      </c>
      <c r="AE153" s="26">
        <v>3.3</v>
      </c>
      <c r="AF153" s="26">
        <f t="shared" si="3"/>
        <v>0.53</v>
      </c>
      <c r="AG153" s="16" t="str">
        <f t="shared" si="4"/>
        <v>No</v>
      </c>
      <c r="AH153" s="15" t="str">
        <f t="shared" si="5"/>
        <v>Verify</v>
      </c>
      <c r="AI153" s="32">
        <v>3.5</v>
      </c>
      <c r="AJ153" s="16" t="s">
        <v>230</v>
      </c>
      <c r="AK153" s="15"/>
      <c r="AL153" s="15"/>
      <c r="AM153" s="15"/>
      <c r="AN153" s="9"/>
      <c r="AO153" s="9">
        <f t="shared" si="16"/>
        <v>4.2</v>
      </c>
      <c r="AP153" s="9" t="str">
        <f t="shared" si="17"/>
        <v/>
      </c>
      <c r="AQ153" s="9">
        <f t="shared" si="18"/>
        <v>20.4</v>
      </c>
      <c r="AR153" s="9" t="str">
        <f t="shared" si="19"/>
        <v/>
      </c>
      <c r="AS153" s="16" t="s">
        <v>302</v>
      </c>
      <c r="AT153" s="15"/>
      <c r="AU153" s="15"/>
    </row>
    <row r="154" ht="15.75" customHeight="1">
      <c r="A154" s="15" t="str">
        <f t="shared" si="1"/>
        <v/>
      </c>
      <c r="B154" s="15" t="str">
        <f t="shared" si="15"/>
        <v/>
      </c>
      <c r="C154" s="15"/>
      <c r="D154" s="16" t="s">
        <v>141</v>
      </c>
      <c r="E154" s="15"/>
      <c r="F154" s="12" t="s">
        <v>2093</v>
      </c>
      <c r="G154" s="11" t="s">
        <v>2094</v>
      </c>
      <c r="H154" s="12">
        <v>24901.0</v>
      </c>
      <c r="I154" s="13" t="s">
        <v>82</v>
      </c>
      <c r="J154" s="17" t="s">
        <v>331</v>
      </c>
      <c r="K154" s="18">
        <v>122.0</v>
      </c>
      <c r="L154" s="18">
        <v>179.0</v>
      </c>
      <c r="M154" s="18">
        <v>213.3</v>
      </c>
      <c r="N154" s="19">
        <v>0.37</v>
      </c>
      <c r="O154" s="20">
        <v>48.0</v>
      </c>
      <c r="P154" s="21">
        <v>0.0</v>
      </c>
      <c r="Q154" s="5">
        <v>6.2</v>
      </c>
      <c r="R154" s="22">
        <v>33534.0</v>
      </c>
      <c r="S154" s="5">
        <v>37.81853201</v>
      </c>
      <c r="T154" s="5">
        <v>-80.42586007</v>
      </c>
      <c r="U154" s="1">
        <v>7.0</v>
      </c>
      <c r="V154" s="5" t="s">
        <v>1254</v>
      </c>
      <c r="W154" s="5">
        <v>2.0</v>
      </c>
      <c r="X154" s="5">
        <v>0.0</v>
      </c>
      <c r="Y154" s="5" t="s">
        <v>116</v>
      </c>
      <c r="Z154" s="24">
        <v>0.0</v>
      </c>
      <c r="AA154" s="37"/>
      <c r="AB154" s="37"/>
      <c r="AC154" s="16" t="s">
        <v>1696</v>
      </c>
      <c r="AD154" s="26">
        <v>0.43</v>
      </c>
      <c r="AE154" s="26">
        <v>4.0</v>
      </c>
      <c r="AF154" s="26">
        <f t="shared" si="3"/>
        <v>0</v>
      </c>
      <c r="AG154" s="16" t="str">
        <f t="shared" si="4"/>
        <v>No</v>
      </c>
      <c r="AH154" s="15" t="str">
        <f t="shared" si="5"/>
        <v>Verify</v>
      </c>
      <c r="AI154" s="32">
        <v>0.5</v>
      </c>
      <c r="AJ154" s="16" t="s">
        <v>230</v>
      </c>
      <c r="AK154" s="15"/>
      <c r="AL154" s="15"/>
      <c r="AM154" s="15"/>
      <c r="AN154" s="9"/>
      <c r="AO154" s="9">
        <f t="shared" si="16"/>
        <v>23.5</v>
      </c>
      <c r="AP154" s="9" t="str">
        <f t="shared" si="17"/>
        <v/>
      </c>
      <c r="AQ154" s="9">
        <f t="shared" si="18"/>
        <v>13.4</v>
      </c>
      <c r="AR154" s="9" t="str">
        <f t="shared" si="19"/>
        <v/>
      </c>
      <c r="AS154" s="16" t="s">
        <v>302</v>
      </c>
      <c r="AT154" s="15"/>
      <c r="AU154" s="15"/>
    </row>
    <row r="155" ht="15.75" customHeight="1">
      <c r="A155" s="15" t="str">
        <f t="shared" si="1"/>
        <v/>
      </c>
      <c r="B155" s="15" t="str">
        <f t="shared" si="15"/>
        <v/>
      </c>
      <c r="C155" s="15"/>
      <c r="D155" s="16" t="s">
        <v>141</v>
      </c>
      <c r="E155" s="15"/>
      <c r="F155" s="12" t="s">
        <v>2095</v>
      </c>
      <c r="G155" s="11" t="s">
        <v>2096</v>
      </c>
      <c r="H155" s="12">
        <v>24951.0</v>
      </c>
      <c r="I155" s="13" t="s">
        <v>982</v>
      </c>
      <c r="J155" s="17" t="s">
        <v>392</v>
      </c>
      <c r="K155" s="18">
        <v>21.0</v>
      </c>
      <c r="L155" s="18">
        <v>33.0</v>
      </c>
      <c r="M155" s="18">
        <v>13.7</v>
      </c>
      <c r="N155" s="39"/>
      <c r="O155" s="20">
        <v>54.0</v>
      </c>
      <c r="P155" s="21">
        <v>0.0</v>
      </c>
      <c r="Q155" s="5">
        <v>0.0</v>
      </c>
      <c r="R155" s="22">
        <v>34787.0</v>
      </c>
      <c r="S155" s="5">
        <v>37.45031661</v>
      </c>
      <c r="T155" s="5">
        <v>-80.67392434</v>
      </c>
      <c r="U155" s="1">
        <v>10.0</v>
      </c>
      <c r="V155" s="5" t="s">
        <v>342</v>
      </c>
      <c r="W155" s="5">
        <v>3.0</v>
      </c>
      <c r="X155" s="5">
        <v>0.0</v>
      </c>
      <c r="Y155" s="5" t="s">
        <v>116</v>
      </c>
      <c r="Z155" s="24">
        <v>0.0</v>
      </c>
      <c r="AA155" s="25">
        <v>1.0</v>
      </c>
      <c r="AB155" s="25">
        <v>2.0</v>
      </c>
      <c r="AC155" s="15"/>
      <c r="AD155" s="38"/>
      <c r="AE155" s="26">
        <v>4.1</v>
      </c>
      <c r="AF155" s="26" t="str">
        <f t="shared" si="3"/>
        <v/>
      </c>
      <c r="AG155" s="16" t="str">
        <f t="shared" si="4"/>
        <v>Verify</v>
      </c>
      <c r="AH155" s="15" t="str">
        <f t="shared" si="5"/>
        <v>No</v>
      </c>
      <c r="AI155" s="32">
        <v>8.1</v>
      </c>
      <c r="AJ155" s="16" t="s">
        <v>230</v>
      </c>
      <c r="AK155" s="15"/>
      <c r="AL155" s="15"/>
      <c r="AM155" s="15"/>
      <c r="AN155" s="9"/>
      <c r="AO155" s="9">
        <f t="shared" si="16"/>
        <v>4</v>
      </c>
      <c r="AP155" s="9" t="str">
        <f t="shared" si="17"/>
        <v/>
      </c>
      <c r="AQ155" s="9">
        <f t="shared" si="18"/>
        <v>12.5</v>
      </c>
      <c r="AR155" s="9" t="str">
        <f t="shared" si="19"/>
        <v/>
      </c>
      <c r="AS155" s="16" t="s">
        <v>302</v>
      </c>
      <c r="AT155" s="15"/>
      <c r="AU155" s="15"/>
    </row>
    <row r="156" ht="15.75" customHeight="1">
      <c r="A156" s="15">
        <f t="shared" si="1"/>
        <v>5</v>
      </c>
      <c r="B156" s="15" t="str">
        <f t="shared" si="15"/>
        <v>Tier 1</v>
      </c>
      <c r="C156" s="15"/>
      <c r="D156" s="16" t="s">
        <v>141</v>
      </c>
      <c r="E156" s="15"/>
      <c r="F156" s="12" t="s">
        <v>2097</v>
      </c>
      <c r="G156" s="11" t="s">
        <v>2098</v>
      </c>
      <c r="H156" s="12" t="s">
        <v>1395</v>
      </c>
      <c r="I156" s="13" t="s">
        <v>153</v>
      </c>
      <c r="J156" s="17" t="s">
        <v>392</v>
      </c>
      <c r="K156" s="18">
        <v>116.0</v>
      </c>
      <c r="L156" s="18">
        <v>170.0</v>
      </c>
      <c r="M156" s="18">
        <v>81.5</v>
      </c>
      <c r="N156" s="39"/>
      <c r="O156" s="20">
        <v>0.0</v>
      </c>
      <c r="P156" s="21">
        <v>0.0</v>
      </c>
      <c r="Q156" s="5">
        <v>0.0</v>
      </c>
      <c r="R156" s="22">
        <v>27375.0</v>
      </c>
      <c r="S156" s="5">
        <v>37.84798973</v>
      </c>
      <c r="T156" s="5">
        <v>-81.99358257</v>
      </c>
      <c r="U156" s="1">
        <v>10.0</v>
      </c>
      <c r="V156" s="5" t="s">
        <v>342</v>
      </c>
      <c r="W156" s="5">
        <v>3.0</v>
      </c>
      <c r="X156" s="5">
        <v>0.0</v>
      </c>
      <c r="Y156" s="5" t="s">
        <v>116</v>
      </c>
      <c r="Z156" s="24">
        <v>0.0</v>
      </c>
      <c r="AA156" s="25">
        <v>2.0</v>
      </c>
      <c r="AB156" s="25">
        <v>4.0</v>
      </c>
      <c r="AC156" s="16" t="s">
        <v>1527</v>
      </c>
      <c r="AD156" s="26">
        <v>27.23</v>
      </c>
      <c r="AE156" s="26">
        <v>1.3</v>
      </c>
      <c r="AF156" s="26">
        <f t="shared" si="3"/>
        <v>25.93</v>
      </c>
      <c r="AG156" s="16" t="str">
        <f t="shared" si="4"/>
        <v>Yes</v>
      </c>
      <c r="AH156" s="15" t="str">
        <f t="shared" si="5"/>
        <v>No</v>
      </c>
      <c r="AI156" s="32">
        <v>1.2</v>
      </c>
      <c r="AJ156" s="16" t="s">
        <v>230</v>
      </c>
      <c r="AK156" s="15"/>
      <c r="AL156" s="15"/>
      <c r="AM156" s="15"/>
      <c r="AN156" s="9"/>
      <c r="AO156" s="9">
        <f t="shared" si="16"/>
        <v>22.4</v>
      </c>
      <c r="AP156" s="9">
        <f t="shared" si="17"/>
        <v>84</v>
      </c>
      <c r="AQ156" s="9">
        <f t="shared" si="18"/>
        <v>12.7</v>
      </c>
      <c r="AR156" s="9">
        <f t="shared" si="19"/>
        <v>47.6</v>
      </c>
      <c r="AS156" s="16" t="s">
        <v>230</v>
      </c>
      <c r="AT156" s="15"/>
      <c r="AU156" s="15"/>
    </row>
    <row r="157" ht="15.75" customHeight="1">
      <c r="A157" s="15" t="str">
        <f t="shared" si="1"/>
        <v/>
      </c>
      <c r="B157" s="15" t="str">
        <f t="shared" si="15"/>
        <v/>
      </c>
      <c r="C157" s="15"/>
      <c r="D157" s="16" t="s">
        <v>141</v>
      </c>
      <c r="E157" s="15"/>
      <c r="F157" s="12" t="s">
        <v>2099</v>
      </c>
      <c r="G157" s="11" t="s">
        <v>2100</v>
      </c>
      <c r="H157" s="12">
        <v>25868.0</v>
      </c>
      <c r="I157" s="13" t="s">
        <v>74</v>
      </c>
      <c r="J157" s="17" t="s">
        <v>392</v>
      </c>
      <c r="K157" s="18">
        <v>7.0</v>
      </c>
      <c r="L157" s="18">
        <v>8.0</v>
      </c>
      <c r="M157" s="18">
        <v>16.9</v>
      </c>
      <c r="N157" s="19">
        <v>0.74</v>
      </c>
      <c r="O157" s="20">
        <v>751.0</v>
      </c>
      <c r="P157" s="21">
        <v>0.0</v>
      </c>
      <c r="Q157" s="5">
        <v>37.0</v>
      </c>
      <c r="R157" s="22">
        <v>75298.0</v>
      </c>
      <c r="S157" s="5">
        <v>38.05908026</v>
      </c>
      <c r="T157" s="5">
        <v>-80.96400244</v>
      </c>
      <c r="U157" s="1">
        <v>2.0</v>
      </c>
      <c r="V157" s="5" t="s">
        <v>180</v>
      </c>
      <c r="W157" s="5">
        <v>0.0</v>
      </c>
      <c r="X157" s="5">
        <v>0.0</v>
      </c>
      <c r="Y157" s="5" t="s">
        <v>116</v>
      </c>
      <c r="Z157" s="24">
        <v>0.0</v>
      </c>
      <c r="AA157" s="37"/>
      <c r="AB157" s="37"/>
      <c r="AC157" s="16" t="s">
        <v>401</v>
      </c>
      <c r="AD157" s="26">
        <v>11.53</v>
      </c>
      <c r="AE157" s="26">
        <v>0.8</v>
      </c>
      <c r="AF157" s="26">
        <f t="shared" si="3"/>
        <v>10.73</v>
      </c>
      <c r="AG157" s="16" t="str">
        <f t="shared" si="4"/>
        <v>Yes</v>
      </c>
      <c r="AH157" s="15" t="str">
        <f t="shared" si="5"/>
        <v>Verify</v>
      </c>
      <c r="AI157" s="32">
        <v>5.7</v>
      </c>
      <c r="AJ157" s="16" t="s">
        <v>230</v>
      </c>
      <c r="AK157" s="15"/>
      <c r="AL157" s="15"/>
      <c r="AM157" s="15"/>
      <c r="AN157" s="9"/>
      <c r="AO157" s="9">
        <f t="shared" si="16"/>
        <v>1.3</v>
      </c>
      <c r="AP157" s="9" t="str">
        <f t="shared" si="17"/>
        <v/>
      </c>
      <c r="AQ157" s="9">
        <f t="shared" si="18"/>
        <v>22.1</v>
      </c>
      <c r="AR157" s="9" t="str">
        <f t="shared" si="19"/>
        <v/>
      </c>
      <c r="AS157" s="16" t="s">
        <v>302</v>
      </c>
      <c r="AT157" s="15"/>
      <c r="AU157" s="15"/>
    </row>
    <row r="158" ht="15.75" customHeight="1">
      <c r="A158" s="15" t="str">
        <f t="shared" si="1"/>
        <v/>
      </c>
      <c r="B158" s="15" t="str">
        <f t="shared" si="15"/>
        <v/>
      </c>
      <c r="C158" s="15"/>
      <c r="D158" s="16" t="s">
        <v>141</v>
      </c>
      <c r="E158" s="15"/>
      <c r="F158" s="12" t="s">
        <v>2101</v>
      </c>
      <c r="G158" s="11" t="s">
        <v>2102</v>
      </c>
      <c r="H158" s="12">
        <v>26385.0</v>
      </c>
      <c r="I158" s="13" t="s">
        <v>101</v>
      </c>
      <c r="J158" s="17" t="s">
        <v>169</v>
      </c>
      <c r="K158" s="18">
        <v>55.0</v>
      </c>
      <c r="L158" s="18">
        <v>84.0</v>
      </c>
      <c r="M158" s="18">
        <v>45.8</v>
      </c>
      <c r="N158" s="39"/>
      <c r="O158" s="20">
        <v>0.0</v>
      </c>
      <c r="P158" s="21">
        <v>0.0</v>
      </c>
      <c r="Q158" s="5">
        <v>0.0</v>
      </c>
      <c r="R158" s="22">
        <v>45584.0</v>
      </c>
      <c r="S158" s="5">
        <v>39.16619352</v>
      </c>
      <c r="T158" s="5">
        <v>-80.34689433</v>
      </c>
      <c r="U158" s="1">
        <v>5.0</v>
      </c>
      <c r="V158" s="5" t="s">
        <v>540</v>
      </c>
      <c r="W158" s="5">
        <v>1.0</v>
      </c>
      <c r="X158" s="5">
        <v>0.0</v>
      </c>
      <c r="Y158" s="5" t="s">
        <v>116</v>
      </c>
      <c r="Z158" s="24">
        <v>0.0</v>
      </c>
      <c r="AA158" s="25">
        <v>0.0</v>
      </c>
      <c r="AB158" s="25">
        <v>0.0</v>
      </c>
      <c r="AC158" s="15"/>
      <c r="AD158" s="38"/>
      <c r="AE158" s="26">
        <v>0.5</v>
      </c>
      <c r="AF158" s="26" t="str">
        <f t="shared" si="3"/>
        <v/>
      </c>
      <c r="AG158" s="16" t="str">
        <f t="shared" si="4"/>
        <v>Verify</v>
      </c>
      <c r="AH158" s="15" t="str">
        <f t="shared" si="5"/>
        <v>Yes</v>
      </c>
      <c r="AI158" s="32">
        <v>6.7</v>
      </c>
      <c r="AJ158" s="16" t="s">
        <v>230</v>
      </c>
      <c r="AK158" s="15"/>
      <c r="AL158" s="15"/>
      <c r="AM158" s="15"/>
      <c r="AN158" s="9"/>
      <c r="AO158" s="9">
        <f t="shared" si="16"/>
        <v>10.6</v>
      </c>
      <c r="AP158" s="9" t="str">
        <f t="shared" si="17"/>
        <v/>
      </c>
      <c r="AQ158" s="9">
        <f t="shared" si="18"/>
        <v>10.2</v>
      </c>
      <c r="AR158" s="9" t="str">
        <f t="shared" si="19"/>
        <v/>
      </c>
      <c r="AS158" s="16" t="s">
        <v>302</v>
      </c>
      <c r="AT158" s="15"/>
      <c r="AU158" s="15"/>
    </row>
    <row r="159" ht="15.75" customHeight="1">
      <c r="A159" s="15" t="str">
        <f t="shared" si="1"/>
        <v/>
      </c>
      <c r="B159" s="15" t="str">
        <f t="shared" si="15"/>
        <v/>
      </c>
      <c r="C159" s="15"/>
      <c r="D159" s="16" t="s">
        <v>141</v>
      </c>
      <c r="E159" s="15"/>
      <c r="F159" s="12" t="s">
        <v>2103</v>
      </c>
      <c r="G159" s="11" t="s">
        <v>2104</v>
      </c>
      <c r="H159" s="12" t="s">
        <v>1404</v>
      </c>
      <c r="I159" s="13" t="s">
        <v>288</v>
      </c>
      <c r="J159" s="17" t="s">
        <v>715</v>
      </c>
      <c r="K159" s="18">
        <v>57.0</v>
      </c>
      <c r="L159" s="18">
        <v>92.0</v>
      </c>
      <c r="M159" s="18">
        <v>132.2</v>
      </c>
      <c r="N159" s="19">
        <v>0.88</v>
      </c>
      <c r="O159" s="40"/>
      <c r="P159" s="21">
        <v>0.0</v>
      </c>
      <c r="Q159" s="41"/>
      <c r="R159" s="35"/>
      <c r="S159" s="5">
        <v>38.06322901</v>
      </c>
      <c r="T159" s="5">
        <v>-81.82273078</v>
      </c>
      <c r="U159" s="1">
        <v>10.0</v>
      </c>
      <c r="V159" s="41"/>
      <c r="W159" s="5">
        <v>3.0</v>
      </c>
      <c r="X159" s="5">
        <v>0.0</v>
      </c>
      <c r="Y159" s="5" t="s">
        <v>116</v>
      </c>
      <c r="Z159" s="24">
        <v>0.0</v>
      </c>
      <c r="AA159" s="25">
        <v>0.0</v>
      </c>
      <c r="AB159" s="25">
        <v>0.0</v>
      </c>
      <c r="AC159" s="16" t="s">
        <v>1527</v>
      </c>
      <c r="AD159" s="26">
        <v>11.42</v>
      </c>
      <c r="AE159" s="26">
        <v>4.4</v>
      </c>
      <c r="AF159" s="26">
        <f t="shared" si="3"/>
        <v>7.02</v>
      </c>
      <c r="AG159" s="16" t="str">
        <f t="shared" si="4"/>
        <v>Yes</v>
      </c>
      <c r="AH159" s="15" t="str">
        <f t="shared" si="5"/>
        <v>Yes</v>
      </c>
      <c r="AI159" s="32">
        <v>0.5</v>
      </c>
      <c r="AJ159" s="16" t="s">
        <v>230</v>
      </c>
      <c r="AK159" s="15"/>
      <c r="AL159" s="15"/>
      <c r="AM159" s="15"/>
      <c r="AN159" s="9"/>
      <c r="AO159" s="9">
        <f t="shared" si="16"/>
        <v>11</v>
      </c>
      <c r="AP159" s="9">
        <f t="shared" si="17"/>
        <v>74.3</v>
      </c>
      <c r="AQ159" s="9" t="str">
        <f t="shared" si="18"/>
        <v/>
      </c>
      <c r="AR159" s="9" t="str">
        <f t="shared" si="19"/>
        <v/>
      </c>
      <c r="AS159" s="16" t="s">
        <v>302</v>
      </c>
      <c r="AT159" s="15"/>
      <c r="AU159" s="15"/>
    </row>
    <row r="160" ht="15.75" customHeight="1">
      <c r="A160" s="15" t="str">
        <f t="shared" si="1"/>
        <v/>
      </c>
      <c r="B160" s="15" t="str">
        <f t="shared" si="15"/>
        <v/>
      </c>
      <c r="C160" s="15"/>
      <c r="D160" s="16" t="s">
        <v>141</v>
      </c>
      <c r="E160" s="15"/>
      <c r="F160" s="12" t="s">
        <v>2105</v>
      </c>
      <c r="G160" s="11" t="s">
        <v>2106</v>
      </c>
      <c r="H160" s="12" t="s">
        <v>1406</v>
      </c>
      <c r="I160" s="13" t="s">
        <v>153</v>
      </c>
      <c r="J160" s="17" t="s">
        <v>392</v>
      </c>
      <c r="K160" s="18">
        <v>29.0</v>
      </c>
      <c r="L160" s="18">
        <v>43.0</v>
      </c>
      <c r="M160" s="18">
        <v>60.2</v>
      </c>
      <c r="N160" s="19">
        <v>0.88</v>
      </c>
      <c r="O160" s="20">
        <v>24.0</v>
      </c>
      <c r="P160" s="21">
        <v>34.0</v>
      </c>
      <c r="Q160" s="5">
        <v>0.0</v>
      </c>
      <c r="R160" s="35"/>
      <c r="S160" s="5">
        <v>37.73028718</v>
      </c>
      <c r="T160" s="5">
        <v>-81.87073759</v>
      </c>
      <c r="U160" s="1">
        <v>10.0</v>
      </c>
      <c r="V160" s="5" t="s">
        <v>342</v>
      </c>
      <c r="W160" s="5">
        <v>3.0</v>
      </c>
      <c r="X160" s="5">
        <v>3.0</v>
      </c>
      <c r="Y160" s="5" t="s">
        <v>1255</v>
      </c>
      <c r="Z160" s="24">
        <v>3.0</v>
      </c>
      <c r="AA160" s="25">
        <v>1.0</v>
      </c>
      <c r="AB160" s="25">
        <v>2.0</v>
      </c>
      <c r="AC160" s="16" t="s">
        <v>2059</v>
      </c>
      <c r="AD160" s="26">
        <v>26.32</v>
      </c>
      <c r="AE160" s="26">
        <v>0.8</v>
      </c>
      <c r="AF160" s="26">
        <f t="shared" si="3"/>
        <v>25.52</v>
      </c>
      <c r="AG160" s="16" t="str">
        <f t="shared" si="4"/>
        <v>Yes</v>
      </c>
      <c r="AH160" s="15" t="str">
        <f t="shared" si="5"/>
        <v>No</v>
      </c>
      <c r="AI160" s="32">
        <v>0.1</v>
      </c>
      <c r="AJ160" s="16" t="s">
        <v>230</v>
      </c>
      <c r="AK160" s="15"/>
      <c r="AL160" s="15"/>
      <c r="AM160" s="15"/>
      <c r="AN160" s="9"/>
      <c r="AO160" s="9">
        <f t="shared" si="16"/>
        <v>5.6</v>
      </c>
      <c r="AP160" s="9">
        <f t="shared" si="17"/>
        <v>92</v>
      </c>
      <c r="AQ160" s="9" t="str">
        <f t="shared" si="18"/>
        <v/>
      </c>
      <c r="AR160" s="9" t="str">
        <f t="shared" si="19"/>
        <v/>
      </c>
      <c r="AS160" s="16" t="s">
        <v>302</v>
      </c>
      <c r="AT160" s="15"/>
      <c r="AU160" s="15"/>
    </row>
    <row r="161" ht="15.75" customHeight="1">
      <c r="A161" s="15" t="str">
        <f t="shared" si="1"/>
        <v/>
      </c>
      <c r="B161" s="15" t="str">
        <f t="shared" si="15"/>
        <v/>
      </c>
      <c r="C161" s="15"/>
      <c r="D161" s="16" t="s">
        <v>141</v>
      </c>
      <c r="E161" s="15"/>
      <c r="F161" s="12" t="s">
        <v>2107</v>
      </c>
      <c r="G161" s="11" t="s">
        <v>2108</v>
      </c>
      <c r="H161" s="12" t="s">
        <v>1410</v>
      </c>
      <c r="I161" s="13" t="s">
        <v>159</v>
      </c>
      <c r="J161" s="17" t="s">
        <v>169</v>
      </c>
      <c r="K161" s="18">
        <v>79.0</v>
      </c>
      <c r="L161" s="18">
        <v>116.0</v>
      </c>
      <c r="M161" s="18">
        <v>71.8</v>
      </c>
      <c r="N161" s="19">
        <v>1.08</v>
      </c>
      <c r="O161" s="20">
        <v>217.0</v>
      </c>
      <c r="P161" s="21">
        <v>0.0</v>
      </c>
      <c r="Q161" s="5">
        <v>90.1</v>
      </c>
      <c r="R161" s="22">
        <v>24848.0</v>
      </c>
      <c r="S161" s="5">
        <v>39.52541725</v>
      </c>
      <c r="T161" s="5">
        <v>-80.33533768</v>
      </c>
      <c r="U161" s="1">
        <v>3.0</v>
      </c>
      <c r="V161" s="5" t="s">
        <v>180</v>
      </c>
      <c r="W161" s="5">
        <v>0.0</v>
      </c>
      <c r="X161" s="5">
        <v>0.0</v>
      </c>
      <c r="Y161" s="5" t="s">
        <v>116</v>
      </c>
      <c r="Z161" s="24">
        <v>0.0</v>
      </c>
      <c r="AA161" s="37"/>
      <c r="AB161" s="37"/>
      <c r="AC161" s="16" t="s">
        <v>1627</v>
      </c>
      <c r="AD161" s="26">
        <v>9.11</v>
      </c>
      <c r="AE161" s="26">
        <v>2.4</v>
      </c>
      <c r="AF161" s="26">
        <f t="shared" si="3"/>
        <v>6.71</v>
      </c>
      <c r="AG161" s="16" t="str">
        <f t="shared" si="4"/>
        <v>No</v>
      </c>
      <c r="AH161" s="15" t="str">
        <f t="shared" si="5"/>
        <v>Verify</v>
      </c>
      <c r="AI161" s="32">
        <v>0.9</v>
      </c>
      <c r="AJ161" s="16" t="s">
        <v>230</v>
      </c>
      <c r="AK161" s="15"/>
      <c r="AL161" s="15"/>
      <c r="AM161" s="15"/>
      <c r="AN161" s="9"/>
      <c r="AO161" s="9">
        <f t="shared" si="16"/>
        <v>15.2</v>
      </c>
      <c r="AP161" s="9" t="str">
        <f t="shared" si="17"/>
        <v/>
      </c>
      <c r="AQ161" s="9">
        <f t="shared" si="18"/>
        <v>28.5</v>
      </c>
      <c r="AR161" s="9" t="str">
        <f t="shared" si="19"/>
        <v/>
      </c>
      <c r="AS161" s="16" t="s">
        <v>302</v>
      </c>
      <c r="AT161" s="15"/>
      <c r="AU161" s="15"/>
    </row>
    <row r="162" ht="15.75" customHeight="1">
      <c r="A162" s="15" t="str">
        <f t="shared" si="1"/>
        <v/>
      </c>
      <c r="B162" s="15" t="str">
        <f t="shared" si="15"/>
        <v/>
      </c>
      <c r="C162" s="15"/>
      <c r="D162" s="16" t="s">
        <v>420</v>
      </c>
      <c r="E162" s="16" t="s">
        <v>230</v>
      </c>
      <c r="F162" s="12" t="s">
        <v>2109</v>
      </c>
      <c r="G162" s="11" t="s">
        <v>2110</v>
      </c>
      <c r="H162" s="12">
        <v>24954.0</v>
      </c>
      <c r="I162" s="13" t="s">
        <v>1002</v>
      </c>
      <c r="J162" s="17" t="s">
        <v>331</v>
      </c>
      <c r="K162" s="18">
        <v>46.0</v>
      </c>
      <c r="L162" s="18">
        <v>74.0</v>
      </c>
      <c r="M162" s="18">
        <v>82.4</v>
      </c>
      <c r="N162" s="19">
        <v>0.64</v>
      </c>
      <c r="O162" s="20">
        <v>0.0</v>
      </c>
      <c r="P162" s="21">
        <v>27.0</v>
      </c>
      <c r="Q162" s="5">
        <v>0.0</v>
      </c>
      <c r="R162" s="35"/>
      <c r="S162" s="5">
        <v>38.23329856</v>
      </c>
      <c r="T162" s="5">
        <v>-80.09034405</v>
      </c>
      <c r="U162" s="1">
        <v>10.0</v>
      </c>
      <c r="V162" s="5" t="s">
        <v>342</v>
      </c>
      <c r="W162" s="5">
        <v>3.0</v>
      </c>
      <c r="X162" s="5">
        <v>4.0</v>
      </c>
      <c r="Y162" s="5" t="s">
        <v>1190</v>
      </c>
      <c r="Z162" s="24">
        <v>4.0</v>
      </c>
      <c r="AA162" s="37"/>
      <c r="AB162" s="37"/>
      <c r="AC162" s="15"/>
      <c r="AD162" s="38"/>
      <c r="AE162" s="26">
        <v>1.9</v>
      </c>
      <c r="AF162" s="26" t="str">
        <f t="shared" si="3"/>
        <v/>
      </c>
      <c r="AG162" s="16" t="str">
        <f t="shared" si="4"/>
        <v>Verify</v>
      </c>
      <c r="AH162" s="15" t="str">
        <f t="shared" si="5"/>
        <v>Verify</v>
      </c>
      <c r="AI162" s="32">
        <v>0.1</v>
      </c>
      <c r="AJ162" s="16" t="s">
        <v>230</v>
      </c>
      <c r="AK162" s="15"/>
      <c r="AL162" s="15"/>
      <c r="AM162" s="15"/>
      <c r="AN162" s="9"/>
      <c r="AO162" s="9">
        <f t="shared" si="16"/>
        <v>8.9</v>
      </c>
      <c r="AP162" s="9" t="str">
        <f t="shared" si="17"/>
        <v/>
      </c>
      <c r="AQ162" s="9" t="str">
        <f t="shared" si="18"/>
        <v/>
      </c>
      <c r="AR162" s="9" t="str">
        <f t="shared" si="19"/>
        <v/>
      </c>
      <c r="AS162" s="16" t="s">
        <v>302</v>
      </c>
      <c r="AT162" s="15"/>
      <c r="AU162" s="15"/>
    </row>
    <row r="163" ht="15.75" customHeight="1">
      <c r="A163" s="15" t="str">
        <f t="shared" si="1"/>
        <v/>
      </c>
      <c r="B163" s="15" t="str">
        <f t="shared" si="15"/>
        <v/>
      </c>
      <c r="C163" s="15"/>
      <c r="D163" s="16" t="s">
        <v>141</v>
      </c>
      <c r="E163" s="15"/>
      <c r="F163" s="12" t="s">
        <v>2111</v>
      </c>
      <c r="G163" s="11" t="s">
        <v>2112</v>
      </c>
      <c r="H163" s="12" t="s">
        <v>1416</v>
      </c>
      <c r="I163" s="13" t="s">
        <v>128</v>
      </c>
      <c r="J163" s="17" t="s">
        <v>715</v>
      </c>
      <c r="K163" s="18">
        <v>44.0</v>
      </c>
      <c r="L163" s="18">
        <v>69.0</v>
      </c>
      <c r="M163" s="18">
        <v>71.6</v>
      </c>
      <c r="N163" s="19">
        <v>1.08</v>
      </c>
      <c r="O163" s="20">
        <v>0.0</v>
      </c>
      <c r="P163" s="21">
        <v>38.0</v>
      </c>
      <c r="Q163" s="5">
        <v>0.0</v>
      </c>
      <c r="R163" s="35"/>
      <c r="S163" s="5">
        <v>38.24721306</v>
      </c>
      <c r="T163" s="5">
        <v>-81.56802053</v>
      </c>
      <c r="U163" s="1">
        <v>1.0</v>
      </c>
      <c r="V163" s="5" t="s">
        <v>180</v>
      </c>
      <c r="W163" s="5">
        <v>0.0</v>
      </c>
      <c r="X163" s="5">
        <v>0.0</v>
      </c>
      <c r="Y163" s="5" t="s">
        <v>116</v>
      </c>
      <c r="Z163" s="24">
        <v>0.0</v>
      </c>
      <c r="AA163" s="37"/>
      <c r="AB163" s="37"/>
      <c r="AC163" s="15"/>
      <c r="AD163" s="38"/>
      <c r="AE163" s="26">
        <v>2.4</v>
      </c>
      <c r="AF163" s="26" t="str">
        <f t="shared" si="3"/>
        <v/>
      </c>
      <c r="AG163" s="16" t="str">
        <f t="shared" si="4"/>
        <v>Verify</v>
      </c>
      <c r="AH163" s="15" t="str">
        <f t="shared" si="5"/>
        <v>Verify</v>
      </c>
      <c r="AI163" s="32">
        <v>0.7</v>
      </c>
      <c r="AJ163" s="16" t="s">
        <v>230</v>
      </c>
      <c r="AK163" s="15"/>
      <c r="AL163" s="15"/>
      <c r="AM163" s="15"/>
      <c r="AN163" s="9"/>
      <c r="AO163" s="9">
        <f t="shared" si="16"/>
        <v>8.5</v>
      </c>
      <c r="AP163" s="9" t="str">
        <f t="shared" si="17"/>
        <v/>
      </c>
      <c r="AQ163" s="9" t="str">
        <f t="shared" si="18"/>
        <v/>
      </c>
      <c r="AR163" s="9" t="str">
        <f t="shared" si="19"/>
        <v/>
      </c>
      <c r="AS163" s="16" t="s">
        <v>302</v>
      </c>
      <c r="AT163" s="15"/>
      <c r="AU163" s="15"/>
    </row>
    <row r="164" ht="15.75" customHeight="1">
      <c r="A164" s="15" t="str">
        <f t="shared" si="1"/>
        <v/>
      </c>
      <c r="B164" s="15" t="str">
        <f t="shared" si="15"/>
        <v/>
      </c>
      <c r="C164" s="15"/>
      <c r="D164" s="16" t="s">
        <v>141</v>
      </c>
      <c r="E164" s="15"/>
      <c r="F164" s="12" t="s">
        <v>2113</v>
      </c>
      <c r="G164" s="11" t="s">
        <v>2114</v>
      </c>
      <c r="H164" s="12" t="s">
        <v>1420</v>
      </c>
      <c r="I164" s="13" t="s">
        <v>28</v>
      </c>
      <c r="J164" s="17" t="s">
        <v>576</v>
      </c>
      <c r="K164" s="18">
        <v>324.0</v>
      </c>
      <c r="L164" s="18">
        <v>528.0</v>
      </c>
      <c r="M164" s="18">
        <v>808.5</v>
      </c>
      <c r="N164" s="19">
        <v>0.6</v>
      </c>
      <c r="O164" s="20">
        <v>8.0</v>
      </c>
      <c r="P164" s="21">
        <v>0.0</v>
      </c>
      <c r="Q164" s="5">
        <v>0.0</v>
      </c>
      <c r="R164" s="35"/>
      <c r="S164" s="5">
        <v>39.42803157</v>
      </c>
      <c r="T164" s="5">
        <v>-77.98552194</v>
      </c>
      <c r="U164" s="1">
        <v>1.0</v>
      </c>
      <c r="V164" s="5" t="s">
        <v>180</v>
      </c>
      <c r="W164" s="5">
        <v>0.0</v>
      </c>
      <c r="X164" s="5">
        <v>0.0</v>
      </c>
      <c r="Y164" s="5" t="s">
        <v>116</v>
      </c>
      <c r="Z164" s="24">
        <v>0.0</v>
      </c>
      <c r="AA164" s="25">
        <v>4.0</v>
      </c>
      <c r="AB164" s="25">
        <v>6.0</v>
      </c>
      <c r="AC164" s="15"/>
      <c r="AD164" s="38"/>
      <c r="AE164" s="26">
        <v>6.4</v>
      </c>
      <c r="AF164" s="26" t="str">
        <f t="shared" si="3"/>
        <v/>
      </c>
      <c r="AG164" s="16" t="str">
        <f t="shared" si="4"/>
        <v>Verify</v>
      </c>
      <c r="AH164" s="15" t="str">
        <f t="shared" si="5"/>
        <v>No</v>
      </c>
      <c r="AI164" s="32">
        <v>0.9</v>
      </c>
      <c r="AJ164" s="16" t="s">
        <v>230</v>
      </c>
      <c r="AK164" s="15"/>
      <c r="AL164" s="15"/>
      <c r="AM164" s="15"/>
      <c r="AN164" s="9"/>
      <c r="AO164" s="9">
        <f t="shared" si="16"/>
        <v>62.4</v>
      </c>
      <c r="AP164" s="9" t="str">
        <f t="shared" si="17"/>
        <v/>
      </c>
      <c r="AQ164" s="9" t="str">
        <f t="shared" si="18"/>
        <v/>
      </c>
      <c r="AR164" s="9" t="str">
        <f t="shared" si="19"/>
        <v/>
      </c>
      <c r="AS164" s="16" t="s">
        <v>302</v>
      </c>
      <c r="AT164" s="15"/>
      <c r="AU164" s="15"/>
    </row>
    <row r="165" ht="15.75" customHeight="1">
      <c r="A165" s="15" t="str">
        <f t="shared" si="1"/>
        <v/>
      </c>
      <c r="B165" s="15" t="str">
        <f t="shared" si="15"/>
        <v/>
      </c>
      <c r="C165" s="15"/>
      <c r="D165" s="16" t="s">
        <v>141</v>
      </c>
      <c r="E165" s="15"/>
      <c r="F165" s="12" t="s">
        <v>2115</v>
      </c>
      <c r="G165" s="11" t="s">
        <v>2116</v>
      </c>
      <c r="H165" s="12" t="s">
        <v>1422</v>
      </c>
      <c r="I165" s="13" t="s">
        <v>28</v>
      </c>
      <c r="J165" s="17" t="s">
        <v>576</v>
      </c>
      <c r="K165" s="18">
        <v>324.0</v>
      </c>
      <c r="L165" s="18">
        <v>528.0</v>
      </c>
      <c r="M165" s="18">
        <v>808.5</v>
      </c>
      <c r="N165" s="19">
        <v>1.04</v>
      </c>
      <c r="O165" s="20">
        <v>8.0</v>
      </c>
      <c r="P165" s="21">
        <v>0.0</v>
      </c>
      <c r="Q165" s="5">
        <v>0.0</v>
      </c>
      <c r="R165" s="35"/>
      <c r="S165" s="5">
        <v>39.47376334</v>
      </c>
      <c r="T165" s="5">
        <v>-77.95341915</v>
      </c>
      <c r="U165" s="1">
        <v>1.0</v>
      </c>
      <c r="V165" s="5" t="s">
        <v>180</v>
      </c>
      <c r="W165" s="5">
        <v>0.0</v>
      </c>
      <c r="X165" s="5">
        <v>0.0</v>
      </c>
      <c r="Y165" s="5" t="s">
        <v>116</v>
      </c>
      <c r="Z165" s="24">
        <v>0.0</v>
      </c>
      <c r="AA165" s="37"/>
      <c r="AB165" s="37"/>
      <c r="AC165" s="16" t="s">
        <v>2117</v>
      </c>
      <c r="AD165" s="26">
        <v>0.08</v>
      </c>
      <c r="AE165" s="26">
        <v>3.2</v>
      </c>
      <c r="AF165" s="26">
        <f t="shared" si="3"/>
        <v>0</v>
      </c>
      <c r="AG165" s="16" t="str">
        <f t="shared" si="4"/>
        <v>No</v>
      </c>
      <c r="AH165" s="15" t="str">
        <f t="shared" si="5"/>
        <v>Verify</v>
      </c>
      <c r="AI165" s="32">
        <v>0.1</v>
      </c>
      <c r="AJ165" s="16" t="s">
        <v>230</v>
      </c>
      <c r="AK165" s="15"/>
      <c r="AL165" s="15"/>
      <c r="AM165" s="15"/>
      <c r="AN165" s="9"/>
      <c r="AO165" s="9">
        <f t="shared" si="16"/>
        <v>62.4</v>
      </c>
      <c r="AP165" s="9" t="str">
        <f t="shared" si="17"/>
        <v/>
      </c>
      <c r="AQ165" s="9" t="str">
        <f t="shared" si="18"/>
        <v/>
      </c>
      <c r="AR165" s="9" t="str">
        <f t="shared" si="19"/>
        <v/>
      </c>
      <c r="AS165" s="16" t="s">
        <v>302</v>
      </c>
      <c r="AT165" s="15"/>
      <c r="AU165" s="15"/>
    </row>
    <row r="166" ht="15.75" customHeight="1">
      <c r="A166" s="15" t="str">
        <f t="shared" si="1"/>
        <v/>
      </c>
      <c r="B166" s="15" t="str">
        <f t="shared" si="15"/>
        <v/>
      </c>
      <c r="C166" s="15"/>
      <c r="D166" s="16" t="s">
        <v>141</v>
      </c>
      <c r="E166" s="15"/>
      <c r="F166" s="12" t="s">
        <v>2118</v>
      </c>
      <c r="G166" s="11" t="s">
        <v>2119</v>
      </c>
      <c r="H166" s="12">
        <v>25404.0</v>
      </c>
      <c r="I166" s="13" t="s">
        <v>28</v>
      </c>
      <c r="J166" s="17" t="s">
        <v>576</v>
      </c>
      <c r="K166" s="18">
        <v>324.0</v>
      </c>
      <c r="L166" s="18">
        <v>528.0</v>
      </c>
      <c r="M166" s="18">
        <v>808.5</v>
      </c>
      <c r="N166" s="19">
        <v>0.56</v>
      </c>
      <c r="O166" s="20">
        <v>8.0</v>
      </c>
      <c r="P166" s="21">
        <v>0.0</v>
      </c>
      <c r="Q166" s="5">
        <v>0.0</v>
      </c>
      <c r="R166" s="35"/>
      <c r="S166" s="5">
        <v>39.46258206</v>
      </c>
      <c r="T166" s="5">
        <v>-77.9281945</v>
      </c>
      <c r="U166" s="1">
        <v>1.0</v>
      </c>
      <c r="V166" s="5" t="s">
        <v>180</v>
      </c>
      <c r="W166" s="5">
        <v>0.0</v>
      </c>
      <c r="X166" s="5">
        <v>0.0</v>
      </c>
      <c r="Y166" s="5" t="s">
        <v>116</v>
      </c>
      <c r="Z166" s="24">
        <v>0.0</v>
      </c>
      <c r="AA166" s="25">
        <v>0.0</v>
      </c>
      <c r="AB166" s="25">
        <v>0.0</v>
      </c>
      <c r="AC166" s="15"/>
      <c r="AD166" s="38"/>
      <c r="AE166" s="26">
        <v>2.5</v>
      </c>
      <c r="AF166" s="26" t="str">
        <f t="shared" si="3"/>
        <v/>
      </c>
      <c r="AG166" s="16" t="str">
        <f t="shared" si="4"/>
        <v>Verify</v>
      </c>
      <c r="AH166" s="15" t="str">
        <f t="shared" si="5"/>
        <v>Yes</v>
      </c>
      <c r="AI166" s="32">
        <v>1.6</v>
      </c>
      <c r="AJ166" s="16" t="s">
        <v>230</v>
      </c>
      <c r="AK166" s="15"/>
      <c r="AL166" s="15"/>
      <c r="AM166" s="15"/>
      <c r="AN166" s="9"/>
      <c r="AO166" s="9">
        <f t="shared" si="16"/>
        <v>62.4</v>
      </c>
      <c r="AP166" s="9" t="str">
        <f t="shared" si="17"/>
        <v/>
      </c>
      <c r="AQ166" s="9" t="str">
        <f t="shared" si="18"/>
        <v/>
      </c>
      <c r="AR166" s="9" t="str">
        <f t="shared" si="19"/>
        <v/>
      </c>
      <c r="AS166" s="16" t="s">
        <v>302</v>
      </c>
      <c r="AT166" s="15"/>
      <c r="AU166" s="15"/>
    </row>
    <row r="167" ht="15.75" customHeight="1">
      <c r="A167" s="15" t="str">
        <f t="shared" si="1"/>
        <v/>
      </c>
      <c r="B167" s="15" t="str">
        <f t="shared" si="15"/>
        <v/>
      </c>
      <c r="C167" s="15"/>
      <c r="D167" s="16" t="s">
        <v>141</v>
      </c>
      <c r="E167" s="15"/>
      <c r="F167" s="12" t="s">
        <v>2120</v>
      </c>
      <c r="G167" s="11" t="s">
        <v>2121</v>
      </c>
      <c r="H167" s="12">
        <v>25404.0</v>
      </c>
      <c r="I167" s="13" t="s">
        <v>28</v>
      </c>
      <c r="J167" s="17" t="s">
        <v>576</v>
      </c>
      <c r="K167" s="18">
        <v>324.0</v>
      </c>
      <c r="L167" s="18">
        <v>528.0</v>
      </c>
      <c r="M167" s="18">
        <v>808.5</v>
      </c>
      <c r="N167" s="19">
        <v>0.74</v>
      </c>
      <c r="O167" s="20">
        <v>8.0</v>
      </c>
      <c r="P167" s="21">
        <v>51.0</v>
      </c>
      <c r="Q167" s="5">
        <v>0.0</v>
      </c>
      <c r="R167" s="35"/>
      <c r="S167" s="5">
        <v>39.38545298</v>
      </c>
      <c r="T167" s="5">
        <v>-78.01408783</v>
      </c>
      <c r="U167" s="1">
        <v>1.0</v>
      </c>
      <c r="V167" s="5" t="s">
        <v>180</v>
      </c>
      <c r="W167" s="5">
        <v>0.0</v>
      </c>
      <c r="X167" s="5">
        <v>0.0</v>
      </c>
      <c r="Y167" s="5" t="s">
        <v>116</v>
      </c>
      <c r="Z167" s="24">
        <v>0.0</v>
      </c>
      <c r="AA167" s="25">
        <v>0.0</v>
      </c>
      <c r="AB167" s="25">
        <v>0.0</v>
      </c>
      <c r="AC167" s="16" t="s">
        <v>2062</v>
      </c>
      <c r="AD167" s="26">
        <v>5.07</v>
      </c>
      <c r="AE167" s="26">
        <v>9.6</v>
      </c>
      <c r="AF167" s="26">
        <f t="shared" si="3"/>
        <v>0</v>
      </c>
      <c r="AG167" s="16" t="str">
        <f t="shared" si="4"/>
        <v>No</v>
      </c>
      <c r="AH167" s="15" t="str">
        <f t="shared" si="5"/>
        <v>Yes</v>
      </c>
      <c r="AI167" s="32">
        <v>1.9</v>
      </c>
      <c r="AJ167" s="16" t="s">
        <v>230</v>
      </c>
      <c r="AK167" s="15"/>
      <c r="AL167" s="15"/>
      <c r="AM167" s="15"/>
      <c r="AN167" s="9"/>
      <c r="AO167" s="9">
        <f t="shared" si="16"/>
        <v>62.4</v>
      </c>
      <c r="AP167" s="9">
        <f t="shared" si="17"/>
        <v>55.2</v>
      </c>
      <c r="AQ167" s="9" t="str">
        <f t="shared" si="18"/>
        <v/>
      </c>
      <c r="AR167" s="9" t="str">
        <f t="shared" si="19"/>
        <v/>
      </c>
      <c r="AS167" s="16" t="s">
        <v>302</v>
      </c>
      <c r="AT167" s="15"/>
      <c r="AU167" s="15"/>
    </row>
    <row r="168" ht="15.75" customHeight="1">
      <c r="A168" s="15" t="str">
        <f t="shared" si="1"/>
        <v/>
      </c>
      <c r="B168" s="15" t="str">
        <f t="shared" si="15"/>
        <v/>
      </c>
      <c r="C168" s="15"/>
      <c r="D168" s="16" t="s">
        <v>141</v>
      </c>
      <c r="E168" s="15"/>
      <c r="F168" s="12" t="s">
        <v>2122</v>
      </c>
      <c r="G168" s="11" t="s">
        <v>2123</v>
      </c>
      <c r="H168" s="12" t="s">
        <v>1429</v>
      </c>
      <c r="I168" s="13" t="s">
        <v>168</v>
      </c>
      <c r="J168" s="17" t="s">
        <v>439</v>
      </c>
      <c r="K168" s="18">
        <v>24.0</v>
      </c>
      <c r="L168" s="18">
        <v>35.0</v>
      </c>
      <c r="M168" s="18">
        <v>31.1</v>
      </c>
      <c r="N168" s="19">
        <v>0.74</v>
      </c>
      <c r="O168" s="20">
        <v>0.0</v>
      </c>
      <c r="P168" s="21">
        <v>0.0</v>
      </c>
      <c r="Q168" s="5">
        <v>0.0</v>
      </c>
      <c r="R168" s="22">
        <v>55647.0</v>
      </c>
      <c r="S168" s="5">
        <v>39.02571699</v>
      </c>
      <c r="T168" s="5">
        <v>-82.02031098</v>
      </c>
      <c r="U168" s="1">
        <v>7.0</v>
      </c>
      <c r="V168" s="5" t="s">
        <v>1254</v>
      </c>
      <c r="W168" s="5">
        <v>2.0</v>
      </c>
      <c r="X168" s="5">
        <v>0.0</v>
      </c>
      <c r="Y168" s="5" t="s">
        <v>116</v>
      </c>
      <c r="Z168" s="24">
        <v>0.0</v>
      </c>
      <c r="AA168" s="37"/>
      <c r="AB168" s="37"/>
      <c r="AC168" s="16" t="s">
        <v>1720</v>
      </c>
      <c r="AD168" s="26">
        <v>14.23</v>
      </c>
      <c r="AE168" s="26">
        <v>0.3</v>
      </c>
      <c r="AF168" s="26">
        <f t="shared" si="3"/>
        <v>13.93</v>
      </c>
      <c r="AG168" s="16" t="str">
        <f t="shared" si="4"/>
        <v>Yes</v>
      </c>
      <c r="AH168" s="15" t="str">
        <f t="shared" si="5"/>
        <v>Verify</v>
      </c>
      <c r="AI168" s="32">
        <v>1.3</v>
      </c>
      <c r="AJ168" s="16" t="s">
        <v>230</v>
      </c>
      <c r="AK168" s="15"/>
      <c r="AL168" s="15"/>
      <c r="AM168" s="15"/>
      <c r="AN168" s="9"/>
      <c r="AO168" s="9">
        <f t="shared" si="16"/>
        <v>4.6</v>
      </c>
      <c r="AP168" s="9" t="str">
        <f t="shared" si="17"/>
        <v/>
      </c>
      <c r="AQ168" s="9">
        <f t="shared" si="18"/>
        <v>8.9</v>
      </c>
      <c r="AR168" s="9" t="str">
        <f t="shared" si="19"/>
        <v/>
      </c>
      <c r="AS168" s="16" t="s">
        <v>302</v>
      </c>
      <c r="AT168" s="15"/>
      <c r="AU168" s="15"/>
    </row>
    <row r="169" ht="15.75" customHeight="1">
      <c r="A169" s="15" t="str">
        <f t="shared" si="1"/>
        <v/>
      </c>
      <c r="B169" s="15" t="str">
        <f t="shared" si="15"/>
        <v/>
      </c>
      <c r="C169" s="15"/>
      <c r="D169" s="16" t="s">
        <v>141</v>
      </c>
      <c r="E169" s="15"/>
      <c r="F169" s="12" t="s">
        <v>2124</v>
      </c>
      <c r="G169" s="11" t="s">
        <v>2125</v>
      </c>
      <c r="H169" s="12" t="s">
        <v>1431</v>
      </c>
      <c r="I169" s="13" t="s">
        <v>978</v>
      </c>
      <c r="J169" s="17" t="s">
        <v>392</v>
      </c>
      <c r="K169" s="18">
        <v>44.0</v>
      </c>
      <c r="L169" s="18">
        <v>69.0</v>
      </c>
      <c r="M169" s="18">
        <v>50.5</v>
      </c>
      <c r="N169" s="19">
        <v>7.2</v>
      </c>
      <c r="O169" s="20">
        <v>0.0</v>
      </c>
      <c r="P169" s="21">
        <v>0.0</v>
      </c>
      <c r="Q169" s="5">
        <v>0.0</v>
      </c>
      <c r="R169" s="22">
        <v>48021.0</v>
      </c>
      <c r="S169" s="5">
        <v>37.62574594</v>
      </c>
      <c r="T169" s="5">
        <v>-82.1796943</v>
      </c>
      <c r="U169" s="1">
        <v>10.0</v>
      </c>
      <c r="V169" s="5" t="s">
        <v>342</v>
      </c>
      <c r="W169" s="5">
        <v>3.0</v>
      </c>
      <c r="X169" s="5">
        <v>4.0</v>
      </c>
      <c r="Y169" s="5" t="s">
        <v>1190</v>
      </c>
      <c r="Z169" s="24">
        <v>4.0</v>
      </c>
      <c r="AA169" s="25">
        <v>1.0</v>
      </c>
      <c r="AB169" s="25">
        <v>2.0</v>
      </c>
      <c r="AC169" s="15"/>
      <c r="AD169" s="38"/>
      <c r="AE169" s="26">
        <v>2.6</v>
      </c>
      <c r="AF169" s="26" t="str">
        <f t="shared" si="3"/>
        <v/>
      </c>
      <c r="AG169" s="16" t="str">
        <f t="shared" si="4"/>
        <v>Verify</v>
      </c>
      <c r="AH169" s="15" t="str">
        <f t="shared" si="5"/>
        <v>No</v>
      </c>
      <c r="AI169" s="32">
        <v>0.8</v>
      </c>
      <c r="AJ169" s="16" t="s">
        <v>230</v>
      </c>
      <c r="AK169" s="15"/>
      <c r="AL169" s="15"/>
      <c r="AM169" s="15"/>
      <c r="AN169" s="9"/>
      <c r="AO169" s="9">
        <f t="shared" si="16"/>
        <v>8.5</v>
      </c>
      <c r="AP169" s="9" t="str">
        <f t="shared" si="17"/>
        <v/>
      </c>
      <c r="AQ169" s="9">
        <f t="shared" si="18"/>
        <v>9.9</v>
      </c>
      <c r="AR169" s="9" t="str">
        <f t="shared" si="19"/>
        <v/>
      </c>
      <c r="AS169" s="16" t="s">
        <v>302</v>
      </c>
      <c r="AT169" s="15"/>
      <c r="AU169" s="15"/>
    </row>
    <row r="170" ht="15.75" customHeight="1">
      <c r="A170" s="15">
        <f t="shared" si="1"/>
        <v>55</v>
      </c>
      <c r="B170" s="15" t="str">
        <f t="shared" si="15"/>
        <v>Tier 3</v>
      </c>
      <c r="C170" s="15"/>
      <c r="D170" s="16" t="s">
        <v>141</v>
      </c>
      <c r="E170" s="15"/>
      <c r="F170" s="12" t="s">
        <v>2126</v>
      </c>
      <c r="G170" s="11" t="s">
        <v>2127</v>
      </c>
      <c r="H170" s="12" t="s">
        <v>1435</v>
      </c>
      <c r="I170" s="13" t="s">
        <v>164</v>
      </c>
      <c r="J170" s="17" t="s">
        <v>1133</v>
      </c>
      <c r="K170" s="18">
        <v>24.0</v>
      </c>
      <c r="L170" s="18">
        <v>37.0</v>
      </c>
      <c r="M170" s="18">
        <v>66.3</v>
      </c>
      <c r="N170" s="19">
        <v>0.67</v>
      </c>
      <c r="O170" s="20">
        <v>73.0</v>
      </c>
      <c r="P170" s="21">
        <v>0.0</v>
      </c>
      <c r="Q170" s="5">
        <v>0.0</v>
      </c>
      <c r="R170" s="22">
        <v>44114.0</v>
      </c>
      <c r="S170" s="5">
        <v>39.98771609</v>
      </c>
      <c r="T170" s="5">
        <v>-80.73246799</v>
      </c>
      <c r="U170" s="1">
        <v>1.0</v>
      </c>
      <c r="V170" s="5" t="s">
        <v>180</v>
      </c>
      <c r="W170" s="5">
        <v>0.0</v>
      </c>
      <c r="X170" s="5">
        <v>0.0</v>
      </c>
      <c r="Y170" s="5" t="s">
        <v>116</v>
      </c>
      <c r="Z170" s="24">
        <v>0.0</v>
      </c>
      <c r="AA170" s="25">
        <v>0.0</v>
      </c>
      <c r="AB170" s="25">
        <v>0.0</v>
      </c>
      <c r="AC170" s="16" t="s">
        <v>2128</v>
      </c>
      <c r="AD170" s="26">
        <v>4.13</v>
      </c>
      <c r="AE170" s="26">
        <v>0.3</v>
      </c>
      <c r="AF170" s="26">
        <f t="shared" si="3"/>
        <v>3.83</v>
      </c>
      <c r="AG170" s="16" t="str">
        <f t="shared" si="4"/>
        <v>No</v>
      </c>
      <c r="AH170" s="15" t="str">
        <f t="shared" si="5"/>
        <v>Yes</v>
      </c>
      <c r="AI170" s="32">
        <v>1.8</v>
      </c>
      <c r="AJ170" s="16" t="s">
        <v>230</v>
      </c>
      <c r="AK170" s="15"/>
      <c r="AL170" s="15"/>
      <c r="AM170" s="15"/>
      <c r="AN170" s="9"/>
      <c r="AO170" s="9">
        <f t="shared" si="16"/>
        <v>4.6</v>
      </c>
      <c r="AP170" s="9">
        <f t="shared" si="17"/>
        <v>52.4</v>
      </c>
      <c r="AQ170" s="9">
        <f t="shared" si="18"/>
        <v>11.5</v>
      </c>
      <c r="AR170" s="9">
        <f t="shared" si="19"/>
        <v>27.4</v>
      </c>
      <c r="AS170" s="16" t="s">
        <v>556</v>
      </c>
      <c r="AT170" s="15"/>
      <c r="AU170" s="15"/>
    </row>
    <row r="171" ht="15.75" customHeight="1">
      <c r="A171" s="15">
        <f t="shared" si="1"/>
        <v>9</v>
      </c>
      <c r="B171" s="15" t="str">
        <f t="shared" si="15"/>
        <v>Tier 1</v>
      </c>
      <c r="C171" s="15"/>
      <c r="D171" s="16" t="s">
        <v>141</v>
      </c>
      <c r="E171" s="15"/>
      <c r="F171" s="12" t="s">
        <v>2129</v>
      </c>
      <c r="G171" s="11" t="s">
        <v>2130</v>
      </c>
      <c r="H171" s="12">
        <v>25976.0</v>
      </c>
      <c r="I171" s="13" t="s">
        <v>74</v>
      </c>
      <c r="J171" s="17" t="s">
        <v>392</v>
      </c>
      <c r="K171" s="18">
        <v>31.0</v>
      </c>
      <c r="L171" s="18">
        <v>47.0</v>
      </c>
      <c r="M171" s="18">
        <v>41.1</v>
      </c>
      <c r="N171" s="19">
        <v>1.61</v>
      </c>
      <c r="O171" s="20">
        <v>463.0</v>
      </c>
      <c r="P171" s="21">
        <v>0.0</v>
      </c>
      <c r="Q171" s="5">
        <v>13.6</v>
      </c>
      <c r="R171" s="22">
        <v>44507.0</v>
      </c>
      <c r="S171" s="5">
        <v>37.85750801</v>
      </c>
      <c r="T171" s="5">
        <v>-80.85470211</v>
      </c>
      <c r="U171" s="1">
        <v>10.0</v>
      </c>
      <c r="V171" s="5" t="s">
        <v>342</v>
      </c>
      <c r="W171" s="5">
        <v>3.0</v>
      </c>
      <c r="X171" s="5">
        <v>0.0</v>
      </c>
      <c r="Y171" s="5" t="s">
        <v>116</v>
      </c>
      <c r="Z171" s="24">
        <v>0.0</v>
      </c>
      <c r="AA171" s="25">
        <v>0.0</v>
      </c>
      <c r="AB171" s="25">
        <v>0.0</v>
      </c>
      <c r="AC171" s="16" t="s">
        <v>2030</v>
      </c>
      <c r="AD171" s="26">
        <v>13.35</v>
      </c>
      <c r="AE171" s="26">
        <v>1.3</v>
      </c>
      <c r="AF171" s="26">
        <f t="shared" si="3"/>
        <v>12.05</v>
      </c>
      <c r="AG171" s="16" t="str">
        <f t="shared" si="4"/>
        <v>Yes</v>
      </c>
      <c r="AH171" s="15" t="str">
        <f t="shared" si="5"/>
        <v>Yes</v>
      </c>
      <c r="AI171" s="32">
        <v>8.7</v>
      </c>
      <c r="AJ171" s="16" t="s">
        <v>230</v>
      </c>
      <c r="AK171" s="15"/>
      <c r="AL171" s="15"/>
      <c r="AM171" s="15"/>
      <c r="AN171" s="9"/>
      <c r="AO171" s="9">
        <f t="shared" si="16"/>
        <v>6</v>
      </c>
      <c r="AP171" s="9">
        <f t="shared" si="17"/>
        <v>80.1</v>
      </c>
      <c r="AQ171" s="9">
        <f t="shared" si="18"/>
        <v>19</v>
      </c>
      <c r="AR171" s="9">
        <f t="shared" si="19"/>
        <v>41.8</v>
      </c>
      <c r="AS171" s="16" t="s">
        <v>230</v>
      </c>
      <c r="AT171" s="15"/>
      <c r="AU171" s="15"/>
    </row>
    <row r="172" ht="15.75" customHeight="1">
      <c r="A172" s="15" t="str">
        <f t="shared" si="1"/>
        <v/>
      </c>
      <c r="B172" s="15" t="str">
        <f t="shared" si="15"/>
        <v/>
      </c>
      <c r="C172" s="15"/>
      <c r="D172" s="16" t="s">
        <v>141</v>
      </c>
      <c r="E172" s="15"/>
      <c r="F172" s="12" t="s">
        <v>2131</v>
      </c>
      <c r="G172" s="11" t="s">
        <v>2132</v>
      </c>
      <c r="H172" s="12">
        <v>25134.0</v>
      </c>
      <c r="I172" s="13" t="s">
        <v>128</v>
      </c>
      <c r="J172" s="17" t="s">
        <v>715</v>
      </c>
      <c r="K172" s="18">
        <v>7.0</v>
      </c>
      <c r="L172" s="18">
        <v>13.0</v>
      </c>
      <c r="M172" s="18">
        <v>0.0</v>
      </c>
      <c r="N172" s="19">
        <v>1.65</v>
      </c>
      <c r="O172" s="40"/>
      <c r="P172" s="21">
        <v>0.0</v>
      </c>
      <c r="Q172" s="41"/>
      <c r="R172" s="35"/>
      <c r="S172" s="5">
        <v>38.15021197</v>
      </c>
      <c r="T172" s="5">
        <v>-81.44792341</v>
      </c>
      <c r="U172" s="1">
        <v>1.0</v>
      </c>
      <c r="V172" s="5" t="s">
        <v>180</v>
      </c>
      <c r="W172" s="5">
        <v>0.0</v>
      </c>
      <c r="X172" s="5">
        <v>0.0</v>
      </c>
      <c r="Y172" s="5" t="s">
        <v>116</v>
      </c>
      <c r="Z172" s="24">
        <v>0.0</v>
      </c>
      <c r="AA172" s="25">
        <v>1.0</v>
      </c>
      <c r="AB172" s="25">
        <v>2.0</v>
      </c>
      <c r="AC172" s="16" t="s">
        <v>1071</v>
      </c>
      <c r="AD172" s="26">
        <v>5.24</v>
      </c>
      <c r="AE172" s="26">
        <v>1.4</v>
      </c>
      <c r="AF172" s="26">
        <f t="shared" si="3"/>
        <v>3.84</v>
      </c>
      <c r="AG172" s="16" t="str">
        <f t="shared" si="4"/>
        <v>No</v>
      </c>
      <c r="AH172" s="15" t="str">
        <f t="shared" si="5"/>
        <v>No</v>
      </c>
      <c r="AI172" s="32">
        <v>4.7</v>
      </c>
      <c r="AJ172" s="16" t="s">
        <v>230</v>
      </c>
      <c r="AK172" s="15"/>
      <c r="AL172" s="15"/>
      <c r="AM172" s="15"/>
      <c r="AN172" s="9"/>
      <c r="AO172" s="9">
        <f t="shared" si="16"/>
        <v>1.3</v>
      </c>
      <c r="AP172" s="9">
        <f t="shared" si="17"/>
        <v>47.7</v>
      </c>
      <c r="AQ172" s="9" t="str">
        <f t="shared" si="18"/>
        <v/>
      </c>
      <c r="AR172" s="9" t="str">
        <f t="shared" si="19"/>
        <v/>
      </c>
      <c r="AS172" s="16" t="s">
        <v>302</v>
      </c>
      <c r="AT172" s="15"/>
      <c r="AU172" s="15"/>
    </row>
    <row r="173" ht="15.75" customHeight="1">
      <c r="A173" s="15" t="str">
        <f t="shared" si="1"/>
        <v/>
      </c>
      <c r="B173" s="15" t="str">
        <f t="shared" si="15"/>
        <v/>
      </c>
      <c r="C173" s="15"/>
      <c r="D173" s="16" t="s">
        <v>141</v>
      </c>
      <c r="E173" s="15"/>
      <c r="F173" s="12" t="s">
        <v>2133</v>
      </c>
      <c r="G173" s="11" t="s">
        <v>2134</v>
      </c>
      <c r="H173" s="12" t="s">
        <v>1442</v>
      </c>
      <c r="I173" s="13" t="s">
        <v>851</v>
      </c>
      <c r="J173" s="17" t="s">
        <v>1133</v>
      </c>
      <c r="K173" s="18">
        <v>19.0</v>
      </c>
      <c r="L173" s="18">
        <v>31.0</v>
      </c>
      <c r="M173" s="18">
        <v>18.2</v>
      </c>
      <c r="N173" s="39"/>
      <c r="O173" s="20">
        <v>81.0</v>
      </c>
      <c r="P173" s="21">
        <v>0.0</v>
      </c>
      <c r="Q173" s="5">
        <v>0.0</v>
      </c>
      <c r="R173" s="22">
        <v>52619.0</v>
      </c>
      <c r="S173" s="5">
        <v>39.49087145</v>
      </c>
      <c r="T173" s="5">
        <v>-80.904437</v>
      </c>
      <c r="U173" s="1">
        <v>10.0</v>
      </c>
      <c r="V173" s="5" t="s">
        <v>342</v>
      </c>
      <c r="W173" s="5">
        <v>3.0</v>
      </c>
      <c r="X173" s="5">
        <v>0.0</v>
      </c>
      <c r="Y173" s="5" t="s">
        <v>116</v>
      </c>
      <c r="Z173" s="24">
        <v>0.0</v>
      </c>
      <c r="AA173" s="37"/>
      <c r="AB173" s="37"/>
      <c r="AC173" s="16" t="s">
        <v>2135</v>
      </c>
      <c r="AD173" s="26">
        <v>0.58</v>
      </c>
      <c r="AE173" s="26">
        <v>1.6</v>
      </c>
      <c r="AF173" s="26">
        <f t="shared" si="3"/>
        <v>0</v>
      </c>
      <c r="AG173" s="16" t="str">
        <f t="shared" si="4"/>
        <v>No</v>
      </c>
      <c r="AH173" s="15" t="str">
        <f t="shared" si="5"/>
        <v>Verify</v>
      </c>
      <c r="AI173" s="32">
        <v>0.6</v>
      </c>
      <c r="AJ173" s="16" t="s">
        <v>230</v>
      </c>
      <c r="AK173" s="15"/>
      <c r="AL173" s="15"/>
      <c r="AM173" s="15"/>
      <c r="AN173" s="9"/>
      <c r="AO173" s="9">
        <f t="shared" si="16"/>
        <v>3.7</v>
      </c>
      <c r="AP173" s="9" t="str">
        <f t="shared" si="17"/>
        <v/>
      </c>
      <c r="AQ173" s="9">
        <f t="shared" si="18"/>
        <v>10.5</v>
      </c>
      <c r="AR173" s="9" t="str">
        <f t="shared" si="19"/>
        <v/>
      </c>
      <c r="AS173" s="16" t="s">
        <v>302</v>
      </c>
      <c r="AT173" s="15"/>
      <c r="AU173" s="15"/>
    </row>
    <row r="174" ht="15.75" customHeight="1">
      <c r="A174" s="15" t="str">
        <f t="shared" si="1"/>
        <v/>
      </c>
      <c r="B174" s="15" t="str">
        <f t="shared" si="15"/>
        <v/>
      </c>
      <c r="C174" s="15"/>
      <c r="D174" s="16" t="s">
        <v>420</v>
      </c>
      <c r="E174" s="16" t="s">
        <v>230</v>
      </c>
      <c r="F174" s="12" t="s">
        <v>2136</v>
      </c>
      <c r="G174" s="11" t="s">
        <v>2137</v>
      </c>
      <c r="H174" s="12">
        <v>26280.0</v>
      </c>
      <c r="I174" s="13" t="s">
        <v>236</v>
      </c>
      <c r="J174" s="17" t="s">
        <v>663</v>
      </c>
      <c r="K174" s="18">
        <v>31.0</v>
      </c>
      <c r="L174" s="18">
        <v>41.0</v>
      </c>
      <c r="M174" s="18">
        <v>38.3</v>
      </c>
      <c r="N174" s="19">
        <v>0.67</v>
      </c>
      <c r="O174" s="20">
        <v>152.0</v>
      </c>
      <c r="P174" s="21">
        <v>0.0</v>
      </c>
      <c r="Q174" s="5">
        <v>17.3</v>
      </c>
      <c r="R174" s="22">
        <v>19253.0</v>
      </c>
      <c r="S174" s="5">
        <v>38.72983919</v>
      </c>
      <c r="T174" s="5">
        <v>-79.97188312</v>
      </c>
      <c r="U174" s="1">
        <v>5.0</v>
      </c>
      <c r="V174" s="5" t="s">
        <v>540</v>
      </c>
      <c r="W174" s="5">
        <v>1.0</v>
      </c>
      <c r="X174" s="5">
        <v>2.0</v>
      </c>
      <c r="Y174" s="5" t="s">
        <v>619</v>
      </c>
      <c r="Z174" s="24">
        <v>2.0</v>
      </c>
      <c r="AA174" s="25">
        <v>2.0</v>
      </c>
      <c r="AB174" s="25">
        <v>4.0</v>
      </c>
      <c r="AC174" s="15"/>
      <c r="AD174" s="38"/>
      <c r="AE174" s="26">
        <v>3.7</v>
      </c>
      <c r="AF174" s="26" t="str">
        <f t="shared" si="3"/>
        <v/>
      </c>
      <c r="AG174" s="16" t="str">
        <f t="shared" si="4"/>
        <v>Verify</v>
      </c>
      <c r="AH174" s="15" t="str">
        <f t="shared" si="5"/>
        <v>No</v>
      </c>
      <c r="AI174" s="32">
        <v>0.3</v>
      </c>
      <c r="AJ174" s="16" t="s">
        <v>230</v>
      </c>
      <c r="AK174" s="15"/>
      <c r="AL174" s="15"/>
      <c r="AM174" s="15"/>
      <c r="AN174" s="9"/>
      <c r="AO174" s="9">
        <f t="shared" si="16"/>
        <v>6</v>
      </c>
      <c r="AP174" s="9" t="str">
        <f t="shared" si="17"/>
        <v/>
      </c>
      <c r="AQ174" s="9">
        <f t="shared" si="18"/>
        <v>18.4</v>
      </c>
      <c r="AR174" s="9" t="str">
        <f t="shared" si="19"/>
        <v/>
      </c>
      <c r="AS174" s="16" t="s">
        <v>302</v>
      </c>
      <c r="AT174" s="15"/>
      <c r="AU174" s="15"/>
    </row>
    <row r="175" ht="15.75" customHeight="1">
      <c r="A175" s="15">
        <f t="shared" si="1"/>
        <v>74</v>
      </c>
      <c r="B175" s="15" t="str">
        <f t="shared" si="15"/>
        <v>Tier 3</v>
      </c>
      <c r="C175" s="15"/>
      <c r="D175" s="16" t="s">
        <v>141</v>
      </c>
      <c r="E175" s="15"/>
      <c r="F175" s="12" t="s">
        <v>2138</v>
      </c>
      <c r="G175" s="11" t="s">
        <v>2139</v>
      </c>
      <c r="H175" s="12" t="s">
        <v>1450</v>
      </c>
      <c r="I175" s="13" t="s">
        <v>111</v>
      </c>
      <c r="J175" s="17" t="s">
        <v>439</v>
      </c>
      <c r="K175" s="18">
        <v>10.0</v>
      </c>
      <c r="L175" s="18">
        <v>15.0</v>
      </c>
      <c r="M175" s="18">
        <v>6.2</v>
      </c>
      <c r="N175" s="19">
        <v>0.67</v>
      </c>
      <c r="O175" s="20">
        <v>224.0</v>
      </c>
      <c r="P175" s="21">
        <v>103.0</v>
      </c>
      <c r="Q175" s="5">
        <v>12.0</v>
      </c>
      <c r="R175" s="22">
        <v>51848.0</v>
      </c>
      <c r="S175" s="5">
        <v>38.89120751</v>
      </c>
      <c r="T175" s="5">
        <v>-81.83730104</v>
      </c>
      <c r="U175" s="1">
        <v>10.0</v>
      </c>
      <c r="V175" s="5" t="s">
        <v>342</v>
      </c>
      <c r="W175" s="5">
        <v>3.0</v>
      </c>
      <c r="X175" s="5">
        <v>0.0</v>
      </c>
      <c r="Y175" s="5" t="s">
        <v>116</v>
      </c>
      <c r="Z175" s="24">
        <v>0.0</v>
      </c>
      <c r="AA175" s="25">
        <v>2.0</v>
      </c>
      <c r="AB175" s="25">
        <v>4.0</v>
      </c>
      <c r="AC175" s="16" t="s">
        <v>2140</v>
      </c>
      <c r="AD175" s="26">
        <v>5.77</v>
      </c>
      <c r="AE175" s="26">
        <v>1.2</v>
      </c>
      <c r="AF175" s="26">
        <f t="shared" si="3"/>
        <v>4.57</v>
      </c>
      <c r="AG175" s="16" t="str">
        <f t="shared" si="4"/>
        <v>No</v>
      </c>
      <c r="AH175" s="15" t="str">
        <f t="shared" si="5"/>
        <v>No</v>
      </c>
      <c r="AI175" s="32">
        <v>5.9</v>
      </c>
      <c r="AJ175" s="16" t="s">
        <v>230</v>
      </c>
      <c r="AK175" s="15"/>
      <c r="AL175" s="15"/>
      <c r="AM175" s="15"/>
      <c r="AN175" s="9"/>
      <c r="AO175" s="9">
        <f t="shared" si="16"/>
        <v>1.9</v>
      </c>
      <c r="AP175" s="9">
        <f t="shared" si="17"/>
        <v>41.3</v>
      </c>
      <c r="AQ175" s="9">
        <f t="shared" si="18"/>
        <v>17.5</v>
      </c>
      <c r="AR175" s="9">
        <f t="shared" si="19"/>
        <v>22.9</v>
      </c>
      <c r="AS175" s="16" t="s">
        <v>556</v>
      </c>
      <c r="AT175" s="15"/>
      <c r="AU175" s="15"/>
    </row>
    <row r="176" ht="15.75" customHeight="1">
      <c r="A176" s="15" t="str">
        <f t="shared" si="1"/>
        <v/>
      </c>
      <c r="B176" s="15" t="str">
        <f t="shared" si="15"/>
        <v/>
      </c>
      <c r="C176" s="15"/>
      <c r="D176" s="16" t="s">
        <v>420</v>
      </c>
      <c r="E176" s="16" t="s">
        <v>230</v>
      </c>
      <c r="F176" s="12" t="s">
        <v>2141</v>
      </c>
      <c r="G176" s="11" t="s">
        <v>2142</v>
      </c>
      <c r="H176" s="12" t="s">
        <v>1455</v>
      </c>
      <c r="I176" s="13" t="s">
        <v>59</v>
      </c>
      <c r="J176" s="17" t="s">
        <v>715</v>
      </c>
      <c r="K176" s="18">
        <v>115.0</v>
      </c>
      <c r="L176" s="18">
        <v>172.0</v>
      </c>
      <c r="M176" s="18">
        <v>342.8</v>
      </c>
      <c r="N176" s="19">
        <v>0.9</v>
      </c>
      <c r="O176" s="20">
        <v>0.0</v>
      </c>
      <c r="P176" s="21">
        <v>103.0</v>
      </c>
      <c r="Q176" s="5">
        <v>0.0</v>
      </c>
      <c r="R176" s="35"/>
      <c r="S176" s="5">
        <v>38.4341614</v>
      </c>
      <c r="T176" s="5">
        <v>-82.13270794</v>
      </c>
      <c r="U176" s="1">
        <v>1.0</v>
      </c>
      <c r="V176" s="5" t="s">
        <v>180</v>
      </c>
      <c r="W176" s="5">
        <v>0.0</v>
      </c>
      <c r="X176" s="5">
        <v>0.0</v>
      </c>
      <c r="Y176" s="5" t="s">
        <v>116</v>
      </c>
      <c r="Z176" s="24">
        <v>0.0</v>
      </c>
      <c r="AA176" s="25">
        <v>2.0</v>
      </c>
      <c r="AB176" s="25">
        <v>4.0</v>
      </c>
      <c r="AC176" s="16" t="s">
        <v>727</v>
      </c>
      <c r="AD176" s="26">
        <v>6.76</v>
      </c>
      <c r="AE176" s="26">
        <v>3.2</v>
      </c>
      <c r="AF176" s="26">
        <f t="shared" si="3"/>
        <v>3.56</v>
      </c>
      <c r="AG176" s="16" t="str">
        <f t="shared" si="4"/>
        <v>No</v>
      </c>
      <c r="AH176" s="15" t="str">
        <f t="shared" si="5"/>
        <v>No</v>
      </c>
      <c r="AI176" s="32">
        <v>0.2</v>
      </c>
      <c r="AJ176" s="16" t="s">
        <v>230</v>
      </c>
      <c r="AK176" s="15"/>
      <c r="AL176" s="15"/>
      <c r="AM176" s="15"/>
      <c r="AN176" s="9"/>
      <c r="AO176" s="9">
        <f t="shared" si="16"/>
        <v>22.2</v>
      </c>
      <c r="AP176" s="9">
        <f t="shared" si="17"/>
        <v>44.3</v>
      </c>
      <c r="AQ176" s="9" t="str">
        <f t="shared" si="18"/>
        <v/>
      </c>
      <c r="AR176" s="9" t="str">
        <f t="shared" si="19"/>
        <v/>
      </c>
      <c r="AS176" s="16" t="s">
        <v>302</v>
      </c>
      <c r="AT176" s="15"/>
      <c r="AU176" s="15"/>
    </row>
    <row r="177" ht="15.75" customHeight="1">
      <c r="A177" s="15">
        <f t="shared" si="1"/>
        <v>72</v>
      </c>
      <c r="B177" s="15" t="str">
        <f t="shared" si="15"/>
        <v>Tier 3</v>
      </c>
      <c r="C177" s="15"/>
      <c r="D177" s="16" t="s">
        <v>141</v>
      </c>
      <c r="E177" s="15"/>
      <c r="F177" s="12" t="s">
        <v>2143</v>
      </c>
      <c r="G177" s="11" t="s">
        <v>2144</v>
      </c>
      <c r="H177" s="12" t="s">
        <v>1457</v>
      </c>
      <c r="I177" s="13" t="s">
        <v>268</v>
      </c>
      <c r="J177" s="17" t="s">
        <v>439</v>
      </c>
      <c r="K177" s="18">
        <v>70.0</v>
      </c>
      <c r="L177" s="18">
        <v>105.0</v>
      </c>
      <c r="M177" s="18">
        <v>102.6</v>
      </c>
      <c r="N177" s="19">
        <v>0.82</v>
      </c>
      <c r="O177" s="20">
        <v>0.0</v>
      </c>
      <c r="P177" s="21">
        <v>6.0</v>
      </c>
      <c r="Q177" s="5">
        <v>0.0</v>
      </c>
      <c r="R177" s="22">
        <v>10822.0</v>
      </c>
      <c r="S177" s="5">
        <v>39.17964518</v>
      </c>
      <c r="T177" s="5">
        <v>-81.51682578</v>
      </c>
      <c r="U177" s="1">
        <v>2.0</v>
      </c>
      <c r="V177" s="5" t="s">
        <v>180</v>
      </c>
      <c r="W177" s="5">
        <v>0.0</v>
      </c>
      <c r="X177" s="5">
        <v>0.0</v>
      </c>
      <c r="Y177" s="5" t="s">
        <v>116</v>
      </c>
      <c r="Z177" s="24">
        <v>0.0</v>
      </c>
      <c r="AA177" s="25">
        <v>2.0</v>
      </c>
      <c r="AB177" s="25">
        <v>4.0</v>
      </c>
      <c r="AC177" s="16" t="s">
        <v>2145</v>
      </c>
      <c r="AD177" s="26">
        <v>3.56</v>
      </c>
      <c r="AE177" s="26">
        <v>3.3</v>
      </c>
      <c r="AF177" s="26">
        <f t="shared" si="3"/>
        <v>0.26</v>
      </c>
      <c r="AG177" s="16" t="str">
        <f t="shared" si="4"/>
        <v>No</v>
      </c>
      <c r="AH177" s="15" t="str">
        <f t="shared" si="5"/>
        <v>No</v>
      </c>
      <c r="AI177" s="32">
        <v>3.0</v>
      </c>
      <c r="AJ177" s="16" t="s">
        <v>302</v>
      </c>
      <c r="AK177" s="15"/>
      <c r="AL177" s="15"/>
      <c r="AM177" s="15"/>
      <c r="AN177" s="9"/>
      <c r="AO177" s="9">
        <f t="shared" si="16"/>
        <v>13.5</v>
      </c>
      <c r="AP177" s="9">
        <f t="shared" si="17"/>
        <v>34.7</v>
      </c>
      <c r="AQ177" s="9">
        <f t="shared" si="18"/>
        <v>15.2</v>
      </c>
      <c r="AR177" s="9">
        <f t="shared" si="19"/>
        <v>23.3</v>
      </c>
      <c r="AS177" s="16" t="s">
        <v>556</v>
      </c>
      <c r="AT177" s="15"/>
      <c r="AU177" s="15"/>
    </row>
    <row r="178" ht="15.75" customHeight="1">
      <c r="A178" s="15">
        <f t="shared" si="1"/>
        <v>97</v>
      </c>
      <c r="B178" s="15" t="str">
        <f t="shared" si="15"/>
        <v>Tier 3</v>
      </c>
      <c r="C178" s="15"/>
      <c r="D178" s="16" t="s">
        <v>420</v>
      </c>
      <c r="E178" s="16" t="s">
        <v>230</v>
      </c>
      <c r="F178" s="12" t="s">
        <v>2146</v>
      </c>
      <c r="G178" s="11" t="s">
        <v>2147</v>
      </c>
      <c r="H178" s="12" t="s">
        <v>1461</v>
      </c>
      <c r="I178" s="13" t="s">
        <v>74</v>
      </c>
      <c r="J178" s="17" t="s">
        <v>392</v>
      </c>
      <c r="K178" s="18">
        <v>26.0</v>
      </c>
      <c r="L178" s="18">
        <v>40.0</v>
      </c>
      <c r="M178" s="18">
        <v>73.0</v>
      </c>
      <c r="N178" s="19">
        <v>0.1</v>
      </c>
      <c r="O178" s="20">
        <v>0.0</v>
      </c>
      <c r="P178" s="21">
        <v>0.0</v>
      </c>
      <c r="Q178" s="5">
        <v>0.0</v>
      </c>
      <c r="R178" s="22">
        <v>120466.0</v>
      </c>
      <c r="S178" s="5">
        <v>38.17904378</v>
      </c>
      <c r="T178" s="5">
        <v>-81.33522718</v>
      </c>
      <c r="U178" s="1">
        <v>2.0</v>
      </c>
      <c r="V178" s="5" t="s">
        <v>180</v>
      </c>
      <c r="W178" s="5">
        <v>0.0</v>
      </c>
      <c r="X178" s="5">
        <v>0.0</v>
      </c>
      <c r="Y178" s="5" t="s">
        <v>116</v>
      </c>
      <c r="Z178" s="24">
        <v>0.0</v>
      </c>
      <c r="AA178" s="25">
        <v>6.0</v>
      </c>
      <c r="AB178" s="25">
        <v>8.0</v>
      </c>
      <c r="AC178" s="16" t="s">
        <v>2148</v>
      </c>
      <c r="AD178" s="26">
        <v>0.6</v>
      </c>
      <c r="AE178" s="26">
        <v>2.0</v>
      </c>
      <c r="AF178" s="26">
        <f t="shared" si="3"/>
        <v>0</v>
      </c>
      <c r="AG178" s="16" t="str">
        <f t="shared" si="4"/>
        <v>No</v>
      </c>
      <c r="AH178" s="15" t="str">
        <f t="shared" si="5"/>
        <v>No</v>
      </c>
      <c r="AI178" s="32">
        <v>1.8</v>
      </c>
      <c r="AJ178" s="16" t="s">
        <v>230</v>
      </c>
      <c r="AK178" s="15"/>
      <c r="AL178" s="15"/>
      <c r="AM178" s="15"/>
      <c r="AN178" s="9"/>
      <c r="AO178" s="9">
        <f t="shared" si="16"/>
        <v>5</v>
      </c>
      <c r="AP178" s="9">
        <f t="shared" si="17"/>
        <v>4.8</v>
      </c>
      <c r="AQ178" s="9">
        <f t="shared" si="18"/>
        <v>0</v>
      </c>
      <c r="AR178" s="9">
        <f t="shared" si="19"/>
        <v>3.8</v>
      </c>
      <c r="AS178" s="16" t="s">
        <v>556</v>
      </c>
      <c r="AT178" s="15"/>
      <c r="AU178" s="15"/>
    </row>
    <row r="179" ht="15.75" customHeight="1">
      <c r="A179" s="15">
        <f t="shared" si="1"/>
        <v>51</v>
      </c>
      <c r="B179" s="15" t="str">
        <f t="shared" si="15"/>
        <v>Tier 3</v>
      </c>
      <c r="C179" s="15"/>
      <c r="D179" s="16" t="s">
        <v>141</v>
      </c>
      <c r="E179" s="15"/>
      <c r="F179" s="12" t="s">
        <v>2149</v>
      </c>
      <c r="G179" s="11" t="s">
        <v>2150</v>
      </c>
      <c r="H179" s="12" t="s">
        <v>1465</v>
      </c>
      <c r="I179" s="13" t="s">
        <v>90</v>
      </c>
      <c r="J179" s="17" t="s">
        <v>663</v>
      </c>
      <c r="K179" s="18">
        <v>208.0</v>
      </c>
      <c r="L179" s="18">
        <v>307.0</v>
      </c>
      <c r="M179" s="18">
        <v>165.2</v>
      </c>
      <c r="N179" s="19">
        <v>0.28</v>
      </c>
      <c r="O179" s="20">
        <v>252.0</v>
      </c>
      <c r="P179" s="21">
        <v>152.0</v>
      </c>
      <c r="Q179" s="5">
        <v>13.6</v>
      </c>
      <c r="R179" s="22">
        <v>51383.0</v>
      </c>
      <c r="S179" s="5">
        <v>39.07385523</v>
      </c>
      <c r="T179" s="5">
        <v>-78.96647713</v>
      </c>
      <c r="U179" s="1">
        <v>10.0</v>
      </c>
      <c r="V179" s="5" t="s">
        <v>342</v>
      </c>
      <c r="W179" s="5">
        <v>3.0</v>
      </c>
      <c r="X179" s="5">
        <v>0.0</v>
      </c>
      <c r="Y179" s="5" t="s">
        <v>116</v>
      </c>
      <c r="Z179" s="24">
        <v>0.0</v>
      </c>
      <c r="AA179" s="25">
        <v>2.0</v>
      </c>
      <c r="AB179" s="25">
        <v>4.0</v>
      </c>
      <c r="AC179" s="16" t="s">
        <v>2151</v>
      </c>
      <c r="AD179" s="26">
        <v>0.0</v>
      </c>
      <c r="AE179" s="26">
        <v>5.2</v>
      </c>
      <c r="AF179" s="26">
        <f t="shared" si="3"/>
        <v>0</v>
      </c>
      <c r="AG179" s="16" t="str">
        <f t="shared" si="4"/>
        <v>No</v>
      </c>
      <c r="AH179" s="15" t="str">
        <f t="shared" si="5"/>
        <v>No</v>
      </c>
      <c r="AI179" s="32">
        <v>0.1</v>
      </c>
      <c r="AJ179" s="16" t="s">
        <v>230</v>
      </c>
      <c r="AK179" s="15"/>
      <c r="AL179" s="15"/>
      <c r="AM179" s="15"/>
      <c r="AN179" s="9"/>
      <c r="AO179" s="9">
        <f t="shared" si="16"/>
        <v>40.1</v>
      </c>
      <c r="AP179" s="9">
        <f t="shared" si="17"/>
        <v>24</v>
      </c>
      <c r="AQ179" s="9">
        <f t="shared" si="18"/>
        <v>19.7</v>
      </c>
      <c r="AR179" s="9">
        <f t="shared" si="19"/>
        <v>28.4</v>
      </c>
      <c r="AS179" s="16" t="s">
        <v>556</v>
      </c>
      <c r="AT179" s="15"/>
      <c r="AU179" s="15"/>
    </row>
    <row r="180" ht="15.75" customHeight="1">
      <c r="A180" s="15" t="str">
        <f t="shared" si="1"/>
        <v/>
      </c>
      <c r="B180" s="15" t="str">
        <f t="shared" si="15"/>
        <v/>
      </c>
      <c r="C180" s="15"/>
      <c r="D180" s="16" t="s">
        <v>141</v>
      </c>
      <c r="E180" s="15"/>
      <c r="F180" s="12" t="s">
        <v>2152</v>
      </c>
      <c r="G180" s="11" t="s">
        <v>2153</v>
      </c>
      <c r="H180" s="12">
        <v>26508.0</v>
      </c>
      <c r="I180" s="13" t="s">
        <v>169</v>
      </c>
      <c r="J180" s="17" t="s">
        <v>169</v>
      </c>
      <c r="K180" s="18">
        <v>252.0</v>
      </c>
      <c r="L180" s="18">
        <v>389.0</v>
      </c>
      <c r="M180" s="18">
        <v>867.2</v>
      </c>
      <c r="N180" s="19">
        <v>17.31</v>
      </c>
      <c r="O180" s="20">
        <v>0.0</v>
      </c>
      <c r="P180" s="21">
        <v>0.0</v>
      </c>
      <c r="Q180" s="5">
        <v>0.0</v>
      </c>
      <c r="R180" s="35"/>
      <c r="S180" s="5">
        <v>39.67400821</v>
      </c>
      <c r="T180" s="5">
        <v>-79.85214135</v>
      </c>
      <c r="U180" s="1">
        <v>1.0</v>
      </c>
      <c r="V180" s="5" t="s">
        <v>180</v>
      </c>
      <c r="W180" s="5">
        <v>0.0</v>
      </c>
      <c r="X180" s="5">
        <v>0.0</v>
      </c>
      <c r="Y180" s="5" t="s">
        <v>116</v>
      </c>
      <c r="Z180" s="24">
        <v>0.0</v>
      </c>
      <c r="AA180" s="25">
        <v>2.0</v>
      </c>
      <c r="AB180" s="25">
        <v>4.0</v>
      </c>
      <c r="AC180" s="16" t="s">
        <v>2154</v>
      </c>
      <c r="AD180" s="26">
        <v>2.89</v>
      </c>
      <c r="AE180" s="26">
        <v>5.7</v>
      </c>
      <c r="AF180" s="26">
        <f t="shared" si="3"/>
        <v>0</v>
      </c>
      <c r="AG180" s="16" t="str">
        <f t="shared" si="4"/>
        <v>No</v>
      </c>
      <c r="AH180" s="15" t="str">
        <f t="shared" si="5"/>
        <v>No</v>
      </c>
      <c r="AI180" s="32">
        <v>2.9</v>
      </c>
      <c r="AJ180" s="16" t="s">
        <v>230</v>
      </c>
      <c r="AK180" s="15"/>
      <c r="AL180" s="15"/>
      <c r="AM180" s="15"/>
      <c r="AN180" s="9"/>
      <c r="AO180" s="9">
        <f t="shared" si="16"/>
        <v>48.6</v>
      </c>
      <c r="AP180" s="9">
        <f t="shared" si="17"/>
        <v>32.7</v>
      </c>
      <c r="AQ180" s="9" t="str">
        <f t="shared" si="18"/>
        <v/>
      </c>
      <c r="AR180" s="9" t="str">
        <f t="shared" si="19"/>
        <v/>
      </c>
      <c r="AS180" s="16" t="s">
        <v>302</v>
      </c>
      <c r="AT180" s="15"/>
      <c r="AU180" s="15"/>
    </row>
    <row r="181" ht="15.75" customHeight="1">
      <c r="A181" s="15" t="str">
        <f t="shared" si="1"/>
        <v/>
      </c>
      <c r="B181" s="15" t="str">
        <f t="shared" si="15"/>
        <v/>
      </c>
      <c r="C181" s="15"/>
      <c r="D181" s="16" t="s">
        <v>141</v>
      </c>
      <c r="E181" s="15"/>
      <c r="F181" s="12" t="s">
        <v>2155</v>
      </c>
      <c r="G181" s="11" t="s">
        <v>2156</v>
      </c>
      <c r="H181" s="12" t="s">
        <v>1471</v>
      </c>
      <c r="I181" s="13" t="s">
        <v>169</v>
      </c>
      <c r="J181" s="17" t="s">
        <v>169</v>
      </c>
      <c r="K181" s="18">
        <v>252.0</v>
      </c>
      <c r="L181" s="18">
        <v>389.0</v>
      </c>
      <c r="M181" s="18">
        <v>867.2</v>
      </c>
      <c r="N181" s="19">
        <v>2.43</v>
      </c>
      <c r="O181" s="20">
        <v>0.0</v>
      </c>
      <c r="P181" s="21">
        <v>218.0</v>
      </c>
      <c r="Q181" s="5">
        <v>0.0</v>
      </c>
      <c r="R181" s="35"/>
      <c r="S181" s="5">
        <v>39.60741721</v>
      </c>
      <c r="T181" s="5">
        <v>-79.8919219</v>
      </c>
      <c r="U181" s="1">
        <v>1.0</v>
      </c>
      <c r="V181" s="5" t="s">
        <v>180</v>
      </c>
      <c r="W181" s="5">
        <v>0.0</v>
      </c>
      <c r="X181" s="5">
        <v>0.0</v>
      </c>
      <c r="Y181" s="5" t="s">
        <v>116</v>
      </c>
      <c r="Z181" s="24">
        <v>0.0</v>
      </c>
      <c r="AA181" s="37"/>
      <c r="AB181" s="37"/>
      <c r="AC181" s="16" t="s">
        <v>2157</v>
      </c>
      <c r="AD181" s="26">
        <v>1.62</v>
      </c>
      <c r="AE181" s="26">
        <v>0.7</v>
      </c>
      <c r="AF181" s="26">
        <f t="shared" si="3"/>
        <v>0.92</v>
      </c>
      <c r="AG181" s="16" t="str">
        <f t="shared" si="4"/>
        <v>No</v>
      </c>
      <c r="AH181" s="15" t="str">
        <f t="shared" si="5"/>
        <v>Verify</v>
      </c>
      <c r="AI181" s="32">
        <v>2.0</v>
      </c>
      <c r="AJ181" s="16" t="s">
        <v>230</v>
      </c>
      <c r="AK181" s="15"/>
      <c r="AL181" s="15"/>
      <c r="AM181" s="15"/>
      <c r="AN181" s="9"/>
      <c r="AO181" s="9">
        <f t="shared" si="16"/>
        <v>48.6</v>
      </c>
      <c r="AP181" s="9" t="str">
        <f t="shared" si="17"/>
        <v/>
      </c>
      <c r="AQ181" s="9" t="str">
        <f t="shared" si="18"/>
        <v/>
      </c>
      <c r="AR181" s="9" t="str">
        <f t="shared" si="19"/>
        <v/>
      </c>
      <c r="AS181" s="16" t="s">
        <v>302</v>
      </c>
      <c r="AT181" s="15"/>
      <c r="AU181" s="15"/>
    </row>
    <row r="182" ht="15.75" customHeight="1">
      <c r="A182" s="15">
        <f t="shared" si="1"/>
        <v>42</v>
      </c>
      <c r="B182" s="15" t="str">
        <f t="shared" si="15"/>
        <v>Tier 2</v>
      </c>
      <c r="C182" s="15"/>
      <c r="D182" s="16" t="s">
        <v>141</v>
      </c>
      <c r="E182" s="15"/>
      <c r="F182" s="12" t="s">
        <v>2158</v>
      </c>
      <c r="G182" s="11" t="s">
        <v>2159</v>
      </c>
      <c r="H182" s="12" t="s">
        <v>1473</v>
      </c>
      <c r="I182" s="13" t="s">
        <v>169</v>
      </c>
      <c r="J182" s="17" t="s">
        <v>169</v>
      </c>
      <c r="K182" s="18">
        <v>292.0</v>
      </c>
      <c r="L182" s="18">
        <v>449.0</v>
      </c>
      <c r="M182" s="18">
        <v>802.9</v>
      </c>
      <c r="N182" s="19">
        <v>2.1</v>
      </c>
      <c r="O182" s="20">
        <v>0.0</v>
      </c>
      <c r="P182" s="21">
        <v>0.0</v>
      </c>
      <c r="Q182" s="5">
        <v>0.0</v>
      </c>
      <c r="R182" s="22">
        <v>39643.0</v>
      </c>
      <c r="S182" s="5">
        <v>39.61121609</v>
      </c>
      <c r="T182" s="5">
        <v>-79.92199798</v>
      </c>
      <c r="U182" s="1">
        <v>1.0</v>
      </c>
      <c r="V182" s="5" t="s">
        <v>180</v>
      </c>
      <c r="W182" s="5">
        <v>0.0</v>
      </c>
      <c r="X182" s="5">
        <v>0.0</v>
      </c>
      <c r="Y182" s="5" t="s">
        <v>116</v>
      </c>
      <c r="Z182" s="24">
        <v>0.0</v>
      </c>
      <c r="AA182" s="25">
        <v>2.0</v>
      </c>
      <c r="AB182" s="25">
        <v>4.0</v>
      </c>
      <c r="AC182" s="16" t="s">
        <v>2157</v>
      </c>
      <c r="AD182" s="26">
        <v>0.0</v>
      </c>
      <c r="AE182" s="26">
        <v>3.1</v>
      </c>
      <c r="AF182" s="26">
        <f t="shared" si="3"/>
        <v>0</v>
      </c>
      <c r="AG182" s="16" t="str">
        <f t="shared" si="4"/>
        <v>No</v>
      </c>
      <c r="AH182" s="15" t="str">
        <f t="shared" si="5"/>
        <v>No</v>
      </c>
      <c r="AI182" s="32">
        <v>0.8</v>
      </c>
      <c r="AJ182" s="16" t="s">
        <v>230</v>
      </c>
      <c r="AK182" s="15"/>
      <c r="AL182" s="15"/>
      <c r="AM182" s="15"/>
      <c r="AN182" s="9"/>
      <c r="AO182" s="9">
        <f t="shared" si="16"/>
        <v>56.3</v>
      </c>
      <c r="AP182" s="9">
        <f t="shared" si="17"/>
        <v>24</v>
      </c>
      <c r="AQ182" s="9">
        <f t="shared" si="18"/>
        <v>11.1</v>
      </c>
      <c r="AR182" s="9">
        <f t="shared" si="19"/>
        <v>31.9</v>
      </c>
      <c r="AS182" s="16" t="s">
        <v>302</v>
      </c>
      <c r="AT182" s="15"/>
      <c r="AU182" s="15"/>
    </row>
    <row r="183" ht="15.75" customHeight="1">
      <c r="A183" s="15" t="str">
        <f t="shared" si="1"/>
        <v/>
      </c>
      <c r="B183" s="15" t="str">
        <f t="shared" si="15"/>
        <v/>
      </c>
      <c r="C183" s="15"/>
      <c r="D183" s="16" t="s">
        <v>141</v>
      </c>
      <c r="E183" s="15"/>
      <c r="F183" s="12" t="s">
        <v>2160</v>
      </c>
      <c r="G183" s="11" t="s">
        <v>2161</v>
      </c>
      <c r="H183" s="12" t="s">
        <v>1475</v>
      </c>
      <c r="I183" s="13" t="s">
        <v>169</v>
      </c>
      <c r="J183" s="17" t="s">
        <v>169</v>
      </c>
      <c r="K183" s="18">
        <v>252.0</v>
      </c>
      <c r="L183" s="18">
        <v>389.0</v>
      </c>
      <c r="M183" s="18">
        <v>867.2</v>
      </c>
      <c r="N183" s="19">
        <v>2.1</v>
      </c>
      <c r="O183" s="20">
        <v>0.0</v>
      </c>
      <c r="P183" s="21">
        <v>0.0</v>
      </c>
      <c r="Q183" s="5">
        <v>0.0</v>
      </c>
      <c r="R183" s="35"/>
      <c r="S183" s="5">
        <v>39.51521952</v>
      </c>
      <c r="T183" s="5">
        <v>-79.90999673</v>
      </c>
      <c r="U183" s="1">
        <v>1.0</v>
      </c>
      <c r="V183" s="5" t="s">
        <v>180</v>
      </c>
      <c r="W183" s="5">
        <v>0.0</v>
      </c>
      <c r="X183" s="5">
        <v>0.0</v>
      </c>
      <c r="Y183" s="5" t="s">
        <v>116</v>
      </c>
      <c r="Z183" s="24">
        <v>0.0</v>
      </c>
      <c r="AA183" s="25">
        <v>0.0</v>
      </c>
      <c r="AB183" s="25">
        <v>0.0</v>
      </c>
      <c r="AC183" s="16" t="s">
        <v>2162</v>
      </c>
      <c r="AD183" s="26">
        <v>5.98</v>
      </c>
      <c r="AE183" s="26">
        <v>5.9</v>
      </c>
      <c r="AF183" s="26">
        <f t="shared" si="3"/>
        <v>0.08</v>
      </c>
      <c r="AG183" s="16" t="str">
        <f t="shared" si="4"/>
        <v>No</v>
      </c>
      <c r="AH183" s="15" t="str">
        <f t="shared" si="5"/>
        <v>Yes</v>
      </c>
      <c r="AI183" s="32">
        <v>5.1</v>
      </c>
      <c r="AJ183" s="16" t="s">
        <v>230</v>
      </c>
      <c r="AK183" s="15"/>
      <c r="AL183" s="15"/>
      <c r="AM183" s="15"/>
      <c r="AN183" s="9"/>
      <c r="AO183" s="9">
        <f t="shared" si="16"/>
        <v>48.6</v>
      </c>
      <c r="AP183" s="9">
        <f t="shared" si="17"/>
        <v>57.9</v>
      </c>
      <c r="AQ183" s="9" t="str">
        <f t="shared" si="18"/>
        <v/>
      </c>
      <c r="AR183" s="9" t="str">
        <f t="shared" si="19"/>
        <v/>
      </c>
      <c r="AS183" s="16" t="s">
        <v>302</v>
      </c>
      <c r="AT183" s="15"/>
      <c r="AU183" s="15"/>
    </row>
    <row r="184" ht="15.75" customHeight="1">
      <c r="A184" s="15" t="str">
        <f t="shared" si="1"/>
        <v/>
      </c>
      <c r="B184" s="15" t="str">
        <f t="shared" si="15"/>
        <v/>
      </c>
      <c r="C184" s="15"/>
      <c r="D184" s="16" t="s">
        <v>141</v>
      </c>
      <c r="E184" s="15"/>
      <c r="F184" s="12" t="s">
        <v>2163</v>
      </c>
      <c r="G184" s="11" t="s">
        <v>2164</v>
      </c>
      <c r="H184" s="12" t="s">
        <v>1478</v>
      </c>
      <c r="I184" s="13" t="s">
        <v>169</v>
      </c>
      <c r="J184" s="17" t="s">
        <v>169</v>
      </c>
      <c r="K184" s="18">
        <v>292.0</v>
      </c>
      <c r="L184" s="18">
        <v>449.0</v>
      </c>
      <c r="M184" s="18">
        <v>802.9</v>
      </c>
      <c r="N184" s="19">
        <v>0.58</v>
      </c>
      <c r="O184" s="20">
        <v>0.0</v>
      </c>
      <c r="P184" s="21">
        <v>0.0</v>
      </c>
      <c r="Q184" s="5">
        <v>0.0</v>
      </c>
      <c r="R184" s="22">
        <v>39643.0</v>
      </c>
      <c r="S184" s="5">
        <v>39.62907455</v>
      </c>
      <c r="T184" s="5">
        <v>-79.95642501</v>
      </c>
      <c r="U184" s="1">
        <v>1.0</v>
      </c>
      <c r="V184" s="5" t="s">
        <v>180</v>
      </c>
      <c r="W184" s="5">
        <v>0.0</v>
      </c>
      <c r="X184" s="5">
        <v>0.0</v>
      </c>
      <c r="Y184" s="5" t="s">
        <v>116</v>
      </c>
      <c r="Z184" s="24">
        <v>0.0</v>
      </c>
      <c r="AA184" s="37"/>
      <c r="AB184" s="37"/>
      <c r="AC184" s="16" t="s">
        <v>2165</v>
      </c>
      <c r="AD184" s="26">
        <v>1.53</v>
      </c>
      <c r="AE184" s="26">
        <v>1.8</v>
      </c>
      <c r="AF184" s="26">
        <f t="shared" si="3"/>
        <v>0</v>
      </c>
      <c r="AG184" s="16" t="str">
        <f t="shared" si="4"/>
        <v>No</v>
      </c>
      <c r="AH184" s="15" t="str">
        <f t="shared" si="5"/>
        <v>Verify</v>
      </c>
      <c r="AI184" s="32">
        <v>1.3</v>
      </c>
      <c r="AJ184" s="16" t="s">
        <v>230</v>
      </c>
      <c r="AK184" s="15"/>
      <c r="AL184" s="15"/>
      <c r="AM184" s="15"/>
      <c r="AN184" s="9"/>
      <c r="AO184" s="9">
        <f t="shared" si="16"/>
        <v>56.3</v>
      </c>
      <c r="AP184" s="9" t="str">
        <f t="shared" si="17"/>
        <v/>
      </c>
      <c r="AQ184" s="9">
        <f t="shared" si="18"/>
        <v>11.1</v>
      </c>
      <c r="AR184" s="9" t="str">
        <f t="shared" si="19"/>
        <v/>
      </c>
      <c r="AS184" s="16" t="s">
        <v>302</v>
      </c>
      <c r="AT184" s="15"/>
      <c r="AU184" s="15"/>
    </row>
    <row r="185" ht="15.75" customHeight="1">
      <c r="A185" s="15" t="str">
        <f t="shared" si="1"/>
        <v/>
      </c>
      <c r="B185" s="15" t="str">
        <f t="shared" si="15"/>
        <v/>
      </c>
      <c r="C185" s="15"/>
      <c r="D185" s="16" t="s">
        <v>141</v>
      </c>
      <c r="E185" s="15"/>
      <c r="F185" s="12" t="s">
        <v>2166</v>
      </c>
      <c r="G185" s="11" t="s">
        <v>2167</v>
      </c>
      <c r="H185" s="12" t="s">
        <v>1482</v>
      </c>
      <c r="I185" s="13" t="s">
        <v>164</v>
      </c>
      <c r="J185" s="17" t="s">
        <v>1133</v>
      </c>
      <c r="K185" s="18">
        <v>221.0</v>
      </c>
      <c r="L185" s="18">
        <v>317.0</v>
      </c>
      <c r="M185" s="18">
        <v>291.9</v>
      </c>
      <c r="N185" s="19">
        <v>0.69</v>
      </c>
      <c r="O185" s="20">
        <v>15.0</v>
      </c>
      <c r="P185" s="21">
        <v>0.0</v>
      </c>
      <c r="Q185" s="5">
        <v>0.0</v>
      </c>
      <c r="R185" s="35"/>
      <c r="S185" s="5">
        <v>39.9256084</v>
      </c>
      <c r="T185" s="5">
        <v>-80.73698743</v>
      </c>
      <c r="U185" s="1">
        <v>4.0</v>
      </c>
      <c r="V185" s="5" t="s">
        <v>540</v>
      </c>
      <c r="W185" s="5">
        <v>1.0</v>
      </c>
      <c r="X185" s="5">
        <v>0.0</v>
      </c>
      <c r="Y185" s="5" t="s">
        <v>116</v>
      </c>
      <c r="Z185" s="24">
        <v>0.0</v>
      </c>
      <c r="AA185" s="25">
        <v>1.0</v>
      </c>
      <c r="AB185" s="25">
        <v>2.0</v>
      </c>
      <c r="AC185" s="16" t="s">
        <v>2128</v>
      </c>
      <c r="AD185" s="26">
        <v>0.71</v>
      </c>
      <c r="AE185" s="26">
        <v>3.1</v>
      </c>
      <c r="AF185" s="26">
        <f t="shared" si="3"/>
        <v>0</v>
      </c>
      <c r="AG185" s="16" t="str">
        <f t="shared" si="4"/>
        <v>No</v>
      </c>
      <c r="AH185" s="15" t="str">
        <f t="shared" si="5"/>
        <v>No</v>
      </c>
      <c r="AI185" s="32">
        <v>0.6</v>
      </c>
      <c r="AJ185" s="16" t="s">
        <v>230</v>
      </c>
      <c r="AK185" s="15"/>
      <c r="AL185" s="15"/>
      <c r="AM185" s="15"/>
      <c r="AN185" s="9"/>
      <c r="AO185" s="9">
        <f t="shared" si="16"/>
        <v>42.6</v>
      </c>
      <c r="AP185" s="9">
        <f t="shared" si="17"/>
        <v>34.1</v>
      </c>
      <c r="AQ185" s="9" t="str">
        <f t="shared" si="18"/>
        <v/>
      </c>
      <c r="AR185" s="9" t="str">
        <f t="shared" si="19"/>
        <v/>
      </c>
      <c r="AS185" s="16" t="s">
        <v>302</v>
      </c>
      <c r="AT185" s="15"/>
      <c r="AU185" s="15"/>
    </row>
    <row r="186" ht="15.75" customHeight="1">
      <c r="A186" s="15" t="str">
        <f t="shared" si="1"/>
        <v/>
      </c>
      <c r="B186" s="15" t="str">
        <f t="shared" si="15"/>
        <v/>
      </c>
      <c r="C186" s="15"/>
      <c r="D186" s="16" t="s">
        <v>141</v>
      </c>
      <c r="E186" s="15"/>
      <c r="F186" s="12" t="s">
        <v>2168</v>
      </c>
      <c r="G186" s="11" t="s">
        <v>2169</v>
      </c>
      <c r="H186" s="12" t="s">
        <v>1485</v>
      </c>
      <c r="I186" s="13" t="s">
        <v>101</v>
      </c>
      <c r="J186" s="17" t="s">
        <v>169</v>
      </c>
      <c r="K186" s="18">
        <v>21.0</v>
      </c>
      <c r="L186" s="18">
        <v>34.0</v>
      </c>
      <c r="M186" s="18">
        <v>26.7</v>
      </c>
      <c r="N186" s="19">
        <v>0.69</v>
      </c>
      <c r="O186" s="20">
        <v>0.0</v>
      </c>
      <c r="P186" s="21">
        <v>37.0</v>
      </c>
      <c r="Q186" s="5">
        <v>0.0</v>
      </c>
      <c r="R186" s="35"/>
      <c r="S186" s="5">
        <v>39.20792774</v>
      </c>
      <c r="T186" s="5">
        <v>-80.28689329</v>
      </c>
      <c r="U186" s="1">
        <v>5.0</v>
      </c>
      <c r="V186" s="5" t="s">
        <v>540</v>
      </c>
      <c r="W186" s="5">
        <v>1.0</v>
      </c>
      <c r="X186" s="5">
        <v>0.0</v>
      </c>
      <c r="Y186" s="5" t="s">
        <v>116</v>
      </c>
      <c r="Z186" s="24">
        <v>0.0</v>
      </c>
      <c r="AA186" s="37"/>
      <c r="AB186" s="37"/>
      <c r="AC186" s="16" t="s">
        <v>2170</v>
      </c>
      <c r="AD186" s="26">
        <v>4.03</v>
      </c>
      <c r="AE186" s="26">
        <v>1.3</v>
      </c>
      <c r="AF186" s="26">
        <f t="shared" si="3"/>
        <v>2.73</v>
      </c>
      <c r="AG186" s="16" t="str">
        <f t="shared" si="4"/>
        <v>No</v>
      </c>
      <c r="AH186" s="15" t="str">
        <f t="shared" si="5"/>
        <v>Verify</v>
      </c>
      <c r="AI186" s="32">
        <v>3.6</v>
      </c>
      <c r="AJ186" s="16" t="s">
        <v>230</v>
      </c>
      <c r="AK186" s="15"/>
      <c r="AL186" s="15"/>
      <c r="AM186" s="15"/>
      <c r="AN186" s="9"/>
      <c r="AO186" s="9">
        <f t="shared" si="16"/>
        <v>4</v>
      </c>
      <c r="AP186" s="9" t="str">
        <f t="shared" si="17"/>
        <v/>
      </c>
      <c r="AQ186" s="9" t="str">
        <f t="shared" si="18"/>
        <v/>
      </c>
      <c r="AR186" s="9" t="str">
        <f t="shared" si="19"/>
        <v/>
      </c>
      <c r="AS186" s="16" t="s">
        <v>302</v>
      </c>
      <c r="AT186" s="15"/>
      <c r="AU186" s="15"/>
    </row>
    <row r="187" ht="15.75" customHeight="1">
      <c r="A187" s="15" t="str">
        <f t="shared" si="1"/>
        <v/>
      </c>
      <c r="B187" s="15" t="str">
        <f t="shared" si="15"/>
        <v/>
      </c>
      <c r="C187" s="15"/>
      <c r="D187" s="16" t="s">
        <v>141</v>
      </c>
      <c r="E187" s="15"/>
      <c r="F187" s="12" t="s">
        <v>2171</v>
      </c>
      <c r="G187" s="11" t="s">
        <v>2172</v>
      </c>
      <c r="H187" s="12">
        <v>25880.0</v>
      </c>
      <c r="I187" s="13" t="s">
        <v>74</v>
      </c>
      <c r="J187" s="17" t="s">
        <v>392</v>
      </c>
      <c r="K187" s="18">
        <v>110.0</v>
      </c>
      <c r="L187" s="18">
        <v>176.0</v>
      </c>
      <c r="M187" s="18">
        <v>126.6</v>
      </c>
      <c r="N187" s="19">
        <v>0.69</v>
      </c>
      <c r="O187" s="20">
        <v>1086.0</v>
      </c>
      <c r="P187" s="21">
        <v>0.0</v>
      </c>
      <c r="Q187" s="5">
        <v>23.6</v>
      </c>
      <c r="R187" s="22">
        <v>72738.0</v>
      </c>
      <c r="S187" s="5">
        <v>37.89221176</v>
      </c>
      <c r="T187" s="5">
        <v>-81.16150367</v>
      </c>
      <c r="U187" s="1">
        <v>1.0</v>
      </c>
      <c r="V187" s="5" t="s">
        <v>180</v>
      </c>
      <c r="W187" s="5">
        <v>0.0</v>
      </c>
      <c r="X187" s="5">
        <v>0.0</v>
      </c>
      <c r="Y187" s="5" t="s">
        <v>116</v>
      </c>
      <c r="Z187" s="24">
        <v>0.0</v>
      </c>
      <c r="AA187" s="25">
        <v>1.0</v>
      </c>
      <c r="AB187" s="25">
        <v>2.0</v>
      </c>
      <c r="AC187" s="15"/>
      <c r="AD187" s="38"/>
      <c r="AE187" s="26">
        <v>2.2</v>
      </c>
      <c r="AF187" s="26" t="str">
        <f t="shared" si="3"/>
        <v/>
      </c>
      <c r="AG187" s="16" t="str">
        <f t="shared" si="4"/>
        <v>Verify</v>
      </c>
      <c r="AH187" s="15" t="str">
        <f t="shared" si="5"/>
        <v>No</v>
      </c>
      <c r="AI187" s="32">
        <v>5.8</v>
      </c>
      <c r="AJ187" s="16" t="s">
        <v>230</v>
      </c>
      <c r="AK187" s="15"/>
      <c r="AL187" s="15"/>
      <c r="AM187" s="15"/>
      <c r="AN187" s="9"/>
      <c r="AO187" s="9">
        <f t="shared" si="16"/>
        <v>21.2</v>
      </c>
      <c r="AP187" s="9" t="str">
        <f t="shared" si="17"/>
        <v/>
      </c>
      <c r="AQ187" s="9">
        <f t="shared" si="18"/>
        <v>25.5</v>
      </c>
      <c r="AR187" s="9" t="str">
        <f t="shared" si="19"/>
        <v/>
      </c>
      <c r="AS187" s="16" t="s">
        <v>302</v>
      </c>
      <c r="AT187" s="15"/>
      <c r="AU187" s="15"/>
    </row>
    <row r="188" ht="15.75" customHeight="1">
      <c r="A188" s="15">
        <f t="shared" si="1"/>
        <v>23</v>
      </c>
      <c r="B188" s="15" t="str">
        <f t="shared" si="15"/>
        <v>Tier 1</v>
      </c>
      <c r="C188" s="15"/>
      <c r="D188" s="16" t="s">
        <v>141</v>
      </c>
      <c r="E188" s="15"/>
      <c r="F188" s="12" t="s">
        <v>2173</v>
      </c>
      <c r="G188" s="11" t="s">
        <v>2174</v>
      </c>
      <c r="H188" s="12" t="s">
        <v>1490</v>
      </c>
      <c r="I188" s="13" t="s">
        <v>198</v>
      </c>
      <c r="J188" s="17" t="s">
        <v>331</v>
      </c>
      <c r="K188" s="18">
        <v>110.0</v>
      </c>
      <c r="L188" s="18">
        <v>25.0</v>
      </c>
      <c r="M188" s="18">
        <v>20.5</v>
      </c>
      <c r="N188" s="19">
        <v>0.69</v>
      </c>
      <c r="O188" s="20">
        <v>1086.0</v>
      </c>
      <c r="P188" s="21">
        <v>0.0</v>
      </c>
      <c r="Q188" s="5">
        <v>23.6</v>
      </c>
      <c r="R188" s="22">
        <v>72738.0</v>
      </c>
      <c r="S188" s="5">
        <v>37.86285877</v>
      </c>
      <c r="T188" s="5">
        <v>-81.19580876</v>
      </c>
      <c r="U188" s="1">
        <v>1.0</v>
      </c>
      <c r="V188" s="5" t="s">
        <v>180</v>
      </c>
      <c r="W188" s="5">
        <v>0.0</v>
      </c>
      <c r="X188" s="5">
        <v>0.0</v>
      </c>
      <c r="Y188" s="5" t="s">
        <v>116</v>
      </c>
      <c r="Z188" s="24">
        <v>0.0</v>
      </c>
      <c r="AA188" s="25">
        <v>0.0</v>
      </c>
      <c r="AB188" s="25">
        <v>0.0</v>
      </c>
      <c r="AC188" s="16" t="s">
        <v>963</v>
      </c>
      <c r="AD188" s="26">
        <v>4.99</v>
      </c>
      <c r="AE188" s="26">
        <v>1.2</v>
      </c>
      <c r="AF188" s="26">
        <f t="shared" si="3"/>
        <v>3.79</v>
      </c>
      <c r="AG188" s="16" t="str">
        <f t="shared" si="4"/>
        <v>No</v>
      </c>
      <c r="AH188" s="15" t="str">
        <f t="shared" si="5"/>
        <v>Yes</v>
      </c>
      <c r="AI188" s="32">
        <v>3.8</v>
      </c>
      <c r="AJ188" s="16" t="s">
        <v>230</v>
      </c>
      <c r="AK188" s="15"/>
      <c r="AL188" s="15"/>
      <c r="AM188" s="15"/>
      <c r="AN188" s="9"/>
      <c r="AO188" s="9">
        <f t="shared" si="16"/>
        <v>21.2</v>
      </c>
      <c r="AP188" s="9">
        <f t="shared" si="17"/>
        <v>55</v>
      </c>
      <c r="AQ188" s="9">
        <f t="shared" si="18"/>
        <v>25.5</v>
      </c>
      <c r="AR188" s="9">
        <f t="shared" si="19"/>
        <v>37.2</v>
      </c>
      <c r="AS188" s="16" t="s">
        <v>230</v>
      </c>
      <c r="AT188" s="15"/>
      <c r="AU188" s="15"/>
    </row>
    <row r="189" ht="15.75" customHeight="1">
      <c r="A189" s="15" t="str">
        <f t="shared" si="1"/>
        <v/>
      </c>
      <c r="B189" s="15" t="str">
        <f t="shared" si="15"/>
        <v/>
      </c>
      <c r="C189" s="15"/>
      <c r="D189" s="16" t="s">
        <v>141</v>
      </c>
      <c r="E189" s="15"/>
      <c r="F189" s="12" t="s">
        <v>2175</v>
      </c>
      <c r="G189" s="11" t="s">
        <v>2176</v>
      </c>
      <c r="H189" s="12" t="s">
        <v>1492</v>
      </c>
      <c r="I189" s="13" t="s">
        <v>198</v>
      </c>
      <c r="J189" s="17" t="s">
        <v>331</v>
      </c>
      <c r="K189" s="18">
        <v>26.0</v>
      </c>
      <c r="L189" s="18">
        <v>39.0</v>
      </c>
      <c r="M189" s="18">
        <v>24.3</v>
      </c>
      <c r="N189" s="19">
        <v>1.02</v>
      </c>
      <c r="O189" s="20">
        <v>42.0</v>
      </c>
      <c r="P189" s="21">
        <v>20.0</v>
      </c>
      <c r="Q189" s="5">
        <v>2.9</v>
      </c>
      <c r="R189" s="22">
        <v>28750.0</v>
      </c>
      <c r="S189" s="5">
        <v>38.19719533</v>
      </c>
      <c r="T189" s="5">
        <v>-80.85823667</v>
      </c>
      <c r="U189" s="1">
        <v>10.0</v>
      </c>
      <c r="V189" s="5" t="s">
        <v>342</v>
      </c>
      <c r="W189" s="5">
        <v>3.0</v>
      </c>
      <c r="X189" s="5">
        <v>0.0</v>
      </c>
      <c r="Y189" s="5" t="s">
        <v>116</v>
      </c>
      <c r="Z189" s="24">
        <v>0.0</v>
      </c>
      <c r="AA189" s="37"/>
      <c r="AB189" s="37"/>
      <c r="AC189" s="16" t="s">
        <v>2177</v>
      </c>
      <c r="AD189" s="26">
        <v>5.35</v>
      </c>
      <c r="AE189" s="26">
        <v>3.3</v>
      </c>
      <c r="AF189" s="26">
        <f t="shared" si="3"/>
        <v>2.05</v>
      </c>
      <c r="AG189" s="16" t="str">
        <f t="shared" si="4"/>
        <v>No</v>
      </c>
      <c r="AH189" s="15" t="str">
        <f t="shared" si="5"/>
        <v>Verify</v>
      </c>
      <c r="AI189" s="32">
        <v>5.3</v>
      </c>
      <c r="AJ189" s="16" t="s">
        <v>230</v>
      </c>
      <c r="AK189" s="15"/>
      <c r="AL189" s="15"/>
      <c r="AM189" s="15"/>
      <c r="AN189" s="9"/>
      <c r="AO189" s="9">
        <f t="shared" si="16"/>
        <v>5</v>
      </c>
      <c r="AP189" s="9" t="str">
        <f t="shared" si="17"/>
        <v/>
      </c>
      <c r="AQ189" s="9">
        <f t="shared" si="18"/>
        <v>14.2</v>
      </c>
      <c r="AR189" s="9" t="str">
        <f t="shared" si="19"/>
        <v/>
      </c>
      <c r="AS189" s="16" t="s">
        <v>302</v>
      </c>
      <c r="AT189" s="15"/>
      <c r="AU189" s="15"/>
    </row>
    <row r="190" ht="15.75" customHeight="1">
      <c r="A190" s="15" t="str">
        <f t="shared" si="1"/>
        <v/>
      </c>
      <c r="B190" s="15" t="str">
        <f t="shared" si="15"/>
        <v/>
      </c>
      <c r="C190" s="15"/>
      <c r="D190" s="16" t="s">
        <v>141</v>
      </c>
      <c r="E190" s="15"/>
      <c r="F190" s="12" t="s">
        <v>2178</v>
      </c>
      <c r="G190" s="11" t="s">
        <v>2179</v>
      </c>
      <c r="H190" s="12">
        <v>26739.0</v>
      </c>
      <c r="I190" s="13" t="s">
        <v>717</v>
      </c>
      <c r="J190" s="17" t="s">
        <v>663</v>
      </c>
      <c r="K190" s="18">
        <v>9.0</v>
      </c>
      <c r="L190" s="18">
        <v>15.0</v>
      </c>
      <c r="M190" s="18">
        <v>48.3</v>
      </c>
      <c r="N190" s="19">
        <v>1.35</v>
      </c>
      <c r="O190" s="20">
        <v>0.0</v>
      </c>
      <c r="P190" s="21">
        <v>20.0</v>
      </c>
      <c r="Q190" s="5">
        <v>0.0</v>
      </c>
      <c r="R190" s="35"/>
      <c r="S190" s="5">
        <v>39.27668578</v>
      </c>
      <c r="T190" s="5">
        <v>-79.24147653</v>
      </c>
      <c r="U190" s="1">
        <v>10.0</v>
      </c>
      <c r="V190" s="5" t="s">
        <v>342</v>
      </c>
      <c r="W190" s="5">
        <v>3.0</v>
      </c>
      <c r="X190" s="5">
        <v>4.0</v>
      </c>
      <c r="Y190" s="5" t="s">
        <v>1190</v>
      </c>
      <c r="Z190" s="24">
        <v>4.0</v>
      </c>
      <c r="AA190" s="25">
        <v>2.0</v>
      </c>
      <c r="AB190" s="25">
        <v>4.0</v>
      </c>
      <c r="AC190" s="15"/>
      <c r="AD190" s="38"/>
      <c r="AE190" s="26">
        <v>4.4</v>
      </c>
      <c r="AF190" s="26" t="str">
        <f t="shared" si="3"/>
        <v/>
      </c>
      <c r="AG190" s="16" t="str">
        <f t="shared" si="4"/>
        <v>Verify</v>
      </c>
      <c r="AH190" s="15" t="str">
        <f t="shared" si="5"/>
        <v>No</v>
      </c>
      <c r="AI190" s="32">
        <v>11.4</v>
      </c>
      <c r="AJ190" s="16" t="s">
        <v>230</v>
      </c>
      <c r="AK190" s="15"/>
      <c r="AL190" s="15"/>
      <c r="AM190" s="15"/>
      <c r="AN190" s="9"/>
      <c r="AO190" s="9">
        <f t="shared" si="16"/>
        <v>1.7</v>
      </c>
      <c r="AP190" s="9" t="str">
        <f t="shared" si="17"/>
        <v/>
      </c>
      <c r="AQ190" s="9" t="str">
        <f t="shared" si="18"/>
        <v/>
      </c>
      <c r="AR190" s="9" t="str">
        <f t="shared" si="19"/>
        <v/>
      </c>
      <c r="AS190" s="16" t="s">
        <v>302</v>
      </c>
      <c r="AT190" s="15"/>
      <c r="AU190" s="15"/>
    </row>
    <row r="191" ht="15.75" customHeight="1">
      <c r="A191" s="15">
        <f t="shared" si="1"/>
        <v>77</v>
      </c>
      <c r="B191" s="15" t="str">
        <f t="shared" si="15"/>
        <v>Tier 3</v>
      </c>
      <c r="C191" s="15"/>
      <c r="D191" s="16" t="s">
        <v>141</v>
      </c>
      <c r="E191" s="15"/>
      <c r="F191" s="12" t="s">
        <v>2180</v>
      </c>
      <c r="G191" s="11" t="s">
        <v>2181</v>
      </c>
      <c r="H191" s="12" t="s">
        <v>1507</v>
      </c>
      <c r="I191" s="13" t="s">
        <v>895</v>
      </c>
      <c r="J191" s="17" t="s">
        <v>392</v>
      </c>
      <c r="K191" s="18">
        <v>18.0</v>
      </c>
      <c r="L191" s="18">
        <v>28.0</v>
      </c>
      <c r="M191" s="18">
        <v>27.6</v>
      </c>
      <c r="N191" s="19">
        <v>1.35</v>
      </c>
      <c r="O191" s="20">
        <v>691.0</v>
      </c>
      <c r="P191" s="21">
        <v>0.0</v>
      </c>
      <c r="Q191" s="5">
        <v>26.3</v>
      </c>
      <c r="R191" s="22">
        <v>73537.0</v>
      </c>
      <c r="S191" s="5">
        <v>37.58351309</v>
      </c>
      <c r="T191" s="5">
        <v>-81.38119924</v>
      </c>
      <c r="U191" s="1">
        <v>2.0</v>
      </c>
      <c r="V191" s="5" t="s">
        <v>180</v>
      </c>
      <c r="W191" s="5">
        <v>0.0</v>
      </c>
      <c r="X191" s="5">
        <v>0.0</v>
      </c>
      <c r="Y191" s="5" t="s">
        <v>116</v>
      </c>
      <c r="Z191" s="24">
        <v>0.0</v>
      </c>
      <c r="AA191" s="25">
        <v>1.0</v>
      </c>
      <c r="AB191" s="25">
        <v>2.0</v>
      </c>
      <c r="AC191" s="16" t="s">
        <v>2182</v>
      </c>
      <c r="AD191" s="26">
        <v>0.97</v>
      </c>
      <c r="AE191" s="26">
        <v>2.3</v>
      </c>
      <c r="AF191" s="26">
        <f t="shared" si="3"/>
        <v>0</v>
      </c>
      <c r="AG191" s="16" t="str">
        <f t="shared" si="4"/>
        <v>No</v>
      </c>
      <c r="AH191" s="15" t="str">
        <f t="shared" si="5"/>
        <v>No</v>
      </c>
      <c r="AI191" s="32">
        <v>0.3</v>
      </c>
      <c r="AJ191" s="16" t="s">
        <v>230</v>
      </c>
      <c r="AK191" s="15"/>
      <c r="AL191" s="15"/>
      <c r="AM191" s="15"/>
      <c r="AN191" s="9"/>
      <c r="AO191" s="9">
        <f t="shared" si="16"/>
        <v>3.5</v>
      </c>
      <c r="AP191" s="9">
        <f t="shared" si="17"/>
        <v>34.9</v>
      </c>
      <c r="AQ191" s="9">
        <f t="shared" si="18"/>
        <v>20</v>
      </c>
      <c r="AR191" s="9">
        <f t="shared" si="19"/>
        <v>21.1</v>
      </c>
      <c r="AS191" s="16" t="s">
        <v>556</v>
      </c>
      <c r="AT191" s="15"/>
      <c r="AU191" s="15"/>
    </row>
    <row r="192" ht="15.75" customHeight="1">
      <c r="A192" s="15" t="str">
        <f t="shared" si="1"/>
        <v/>
      </c>
      <c r="B192" s="15" t="str">
        <f t="shared" si="15"/>
        <v/>
      </c>
      <c r="C192" s="15"/>
      <c r="D192" s="16" t="s">
        <v>141</v>
      </c>
      <c r="E192" s="15"/>
      <c r="F192" s="12" t="s">
        <v>2183</v>
      </c>
      <c r="G192" s="11" t="s">
        <v>2184</v>
      </c>
      <c r="H192" s="12">
        <v>26681.0</v>
      </c>
      <c r="I192" s="13" t="s">
        <v>198</v>
      </c>
      <c r="J192" s="17" t="s">
        <v>331</v>
      </c>
      <c r="K192" s="18">
        <v>36.0</v>
      </c>
      <c r="L192" s="18">
        <v>61.0</v>
      </c>
      <c r="M192" s="18">
        <v>57.1</v>
      </c>
      <c r="N192" s="19">
        <v>1.35</v>
      </c>
      <c r="O192" s="20">
        <v>0.0</v>
      </c>
      <c r="P192" s="21">
        <v>395.0</v>
      </c>
      <c r="Q192" s="5">
        <v>0.0</v>
      </c>
      <c r="R192" s="35"/>
      <c r="S192" s="5">
        <v>38.22408575</v>
      </c>
      <c r="T192" s="5">
        <v>-80.6867795</v>
      </c>
      <c r="U192" s="1">
        <v>10.0</v>
      </c>
      <c r="V192" s="5" t="s">
        <v>342</v>
      </c>
      <c r="W192" s="5">
        <v>3.0</v>
      </c>
      <c r="X192" s="5">
        <v>0.0</v>
      </c>
      <c r="Y192" s="5" t="s">
        <v>116</v>
      </c>
      <c r="Z192" s="24">
        <v>0.0</v>
      </c>
      <c r="AA192" s="37"/>
      <c r="AB192" s="37"/>
      <c r="AC192" s="15"/>
      <c r="AD192" s="38"/>
      <c r="AE192" s="26">
        <v>2.5</v>
      </c>
      <c r="AF192" s="26" t="str">
        <f t="shared" si="3"/>
        <v/>
      </c>
      <c r="AG192" s="16" t="str">
        <f t="shared" si="4"/>
        <v>Verify</v>
      </c>
      <c r="AH192" s="15" t="str">
        <f t="shared" si="5"/>
        <v>Verify</v>
      </c>
      <c r="AI192" s="32">
        <v>7.5</v>
      </c>
      <c r="AJ192" s="16" t="s">
        <v>230</v>
      </c>
      <c r="AK192" s="15"/>
      <c r="AL192" s="15"/>
      <c r="AM192" s="15"/>
      <c r="AN192" s="9"/>
      <c r="AO192" s="9">
        <f t="shared" si="16"/>
        <v>6.9</v>
      </c>
      <c r="AP192" s="9" t="str">
        <f t="shared" si="17"/>
        <v/>
      </c>
      <c r="AQ192" s="9" t="str">
        <f t="shared" si="18"/>
        <v/>
      </c>
      <c r="AR192" s="9" t="str">
        <f t="shared" si="19"/>
        <v/>
      </c>
      <c r="AS192" s="16" t="s">
        <v>302</v>
      </c>
      <c r="AT192" s="15"/>
      <c r="AU192" s="15"/>
    </row>
    <row r="193" ht="15.75" customHeight="1">
      <c r="A193" s="15">
        <f t="shared" si="1"/>
        <v>91</v>
      </c>
      <c r="B193" s="15" t="str">
        <f t="shared" si="15"/>
        <v>Tier 3</v>
      </c>
      <c r="C193" s="15"/>
      <c r="D193" s="16" t="s">
        <v>141</v>
      </c>
      <c r="E193" s="15"/>
      <c r="F193" s="12" t="s">
        <v>2185</v>
      </c>
      <c r="G193" s="11" t="s">
        <v>2186</v>
      </c>
      <c r="H193" s="12" t="s">
        <v>1510</v>
      </c>
      <c r="I193" s="13" t="s">
        <v>921</v>
      </c>
      <c r="J193" s="17" t="s">
        <v>1133</v>
      </c>
      <c r="K193" s="18">
        <v>46.0</v>
      </c>
      <c r="L193" s="18">
        <v>65.0</v>
      </c>
      <c r="M193" s="18">
        <v>80.6</v>
      </c>
      <c r="N193" s="19">
        <v>4.44</v>
      </c>
      <c r="O193" s="20">
        <v>575.0</v>
      </c>
      <c r="P193" s="21">
        <v>0.0</v>
      </c>
      <c r="Q193" s="5">
        <v>78.1</v>
      </c>
      <c r="R193" s="22">
        <v>44588.0</v>
      </c>
      <c r="S193" s="5">
        <v>40.4948375</v>
      </c>
      <c r="T193" s="5">
        <v>-80.60495438</v>
      </c>
      <c r="U193" s="1">
        <v>2.0</v>
      </c>
      <c r="V193" s="5" t="s">
        <v>180</v>
      </c>
      <c r="W193" s="5">
        <v>0.0</v>
      </c>
      <c r="X193" s="5">
        <v>0.0</v>
      </c>
      <c r="Y193" s="5" t="s">
        <v>116</v>
      </c>
      <c r="Z193" s="24">
        <v>0.0</v>
      </c>
      <c r="AA193" s="25">
        <v>4.0</v>
      </c>
      <c r="AB193" s="25">
        <v>6.0</v>
      </c>
      <c r="AC193" s="16" t="s">
        <v>2187</v>
      </c>
      <c r="AD193" s="26">
        <v>0.94</v>
      </c>
      <c r="AE193" s="26">
        <v>2.8</v>
      </c>
      <c r="AF193" s="26">
        <f t="shared" si="3"/>
        <v>0</v>
      </c>
      <c r="AG193" s="16" t="str">
        <f t="shared" si="4"/>
        <v>No</v>
      </c>
      <c r="AH193" s="15" t="str">
        <f t="shared" si="5"/>
        <v>No</v>
      </c>
      <c r="AI193" s="32">
        <v>1.0</v>
      </c>
      <c r="AJ193" s="16" t="s">
        <v>230</v>
      </c>
      <c r="AK193" s="15"/>
      <c r="AL193" s="15"/>
      <c r="AM193" s="15"/>
      <c r="AN193" s="9"/>
      <c r="AO193" s="9">
        <f t="shared" si="16"/>
        <v>8.9</v>
      </c>
      <c r="AP193" s="9">
        <f t="shared" si="17"/>
        <v>13.8</v>
      </c>
      <c r="AQ193" s="9">
        <f t="shared" si="18"/>
        <v>29.4</v>
      </c>
      <c r="AR193" s="9">
        <f t="shared" si="19"/>
        <v>15.6</v>
      </c>
      <c r="AS193" s="16" t="s">
        <v>556</v>
      </c>
      <c r="AT193" s="15"/>
      <c r="AU193" s="15"/>
    </row>
    <row r="194" ht="15.75" customHeight="1">
      <c r="A194" s="15" t="str">
        <f t="shared" si="1"/>
        <v/>
      </c>
      <c r="B194" s="15" t="str">
        <f t="shared" si="15"/>
        <v/>
      </c>
      <c r="C194" s="15"/>
      <c r="D194" s="16" t="s">
        <v>141</v>
      </c>
      <c r="E194" s="15"/>
      <c r="F194" s="12" t="s">
        <v>2188</v>
      </c>
      <c r="G194" s="11" t="s">
        <v>2189</v>
      </c>
      <c r="H194" s="12" t="s">
        <v>1514</v>
      </c>
      <c r="I194" s="13" t="s">
        <v>168</v>
      </c>
      <c r="J194" s="17" t="s">
        <v>439</v>
      </c>
      <c r="K194" s="18">
        <v>22.0</v>
      </c>
      <c r="L194" s="18">
        <v>41.0</v>
      </c>
      <c r="M194" s="18">
        <v>20.6</v>
      </c>
      <c r="N194" s="19">
        <v>2.62</v>
      </c>
      <c r="O194" s="20">
        <v>0.0</v>
      </c>
      <c r="P194" s="21">
        <v>0.0</v>
      </c>
      <c r="Q194" s="5">
        <v>0.0</v>
      </c>
      <c r="R194" s="35"/>
      <c r="S194" s="5">
        <v>38.98701895</v>
      </c>
      <c r="T194" s="5">
        <v>-81.97445497</v>
      </c>
      <c r="U194" s="1">
        <v>5.0</v>
      </c>
      <c r="V194" s="5" t="s">
        <v>540</v>
      </c>
      <c r="W194" s="5">
        <v>1.0</v>
      </c>
      <c r="X194" s="5">
        <v>0.0</v>
      </c>
      <c r="Y194" s="5" t="s">
        <v>116</v>
      </c>
      <c r="Z194" s="24">
        <v>0.0</v>
      </c>
      <c r="AA194" s="25">
        <v>4.0</v>
      </c>
      <c r="AB194" s="25">
        <v>6.0</v>
      </c>
      <c r="AC194" s="16" t="s">
        <v>2140</v>
      </c>
      <c r="AD194" s="26">
        <v>11.61</v>
      </c>
      <c r="AE194" s="26">
        <v>1.0</v>
      </c>
      <c r="AF194" s="26">
        <f t="shared" si="3"/>
        <v>10.61</v>
      </c>
      <c r="AG194" s="16" t="str">
        <f t="shared" si="4"/>
        <v>Yes</v>
      </c>
      <c r="AH194" s="15" t="str">
        <f t="shared" si="5"/>
        <v>No</v>
      </c>
      <c r="AI194" s="32">
        <v>3.6</v>
      </c>
      <c r="AJ194" s="16" t="s">
        <v>230</v>
      </c>
      <c r="AK194" s="15"/>
      <c r="AL194" s="15"/>
      <c r="AM194" s="15"/>
      <c r="AN194" s="9"/>
      <c r="AO194" s="9">
        <f t="shared" si="16"/>
        <v>4.2</v>
      </c>
      <c r="AP194" s="9">
        <f t="shared" si="17"/>
        <v>45.8</v>
      </c>
      <c r="AQ194" s="9" t="str">
        <f t="shared" si="18"/>
        <v/>
      </c>
      <c r="AR194" s="9" t="str">
        <f t="shared" si="19"/>
        <v/>
      </c>
      <c r="AS194" s="16" t="s">
        <v>302</v>
      </c>
      <c r="AT194" s="15"/>
      <c r="AU194" s="15"/>
    </row>
    <row r="195" ht="15.75" customHeight="1">
      <c r="A195" s="15" t="str">
        <f t="shared" si="1"/>
        <v/>
      </c>
      <c r="B195" s="15" t="str">
        <f t="shared" si="15"/>
        <v/>
      </c>
      <c r="C195" s="15"/>
      <c r="D195" s="16" t="s">
        <v>141</v>
      </c>
      <c r="E195" s="15"/>
      <c r="F195" s="12" t="s">
        <v>2190</v>
      </c>
      <c r="G195" s="11" t="s">
        <v>2191</v>
      </c>
      <c r="H195" s="12">
        <v>26056.0</v>
      </c>
      <c r="I195" s="13" t="s">
        <v>921</v>
      </c>
      <c r="J195" s="17" t="s">
        <v>1133</v>
      </c>
      <c r="K195" s="18">
        <v>1.0</v>
      </c>
      <c r="L195" s="18">
        <v>3.0</v>
      </c>
      <c r="M195" s="18">
        <v>1.5</v>
      </c>
      <c r="N195" s="19">
        <v>0.81</v>
      </c>
      <c r="O195" s="20">
        <v>0.0</v>
      </c>
      <c r="P195" s="21">
        <v>0.0</v>
      </c>
      <c r="Q195" s="5">
        <v>0.0</v>
      </c>
      <c r="R195" s="22">
        <v>44474.0</v>
      </c>
      <c r="S195" s="5">
        <v>40.53252075</v>
      </c>
      <c r="T195" s="5">
        <v>-80.58096011</v>
      </c>
      <c r="U195" s="1">
        <v>2.0</v>
      </c>
      <c r="V195" s="5" t="s">
        <v>180</v>
      </c>
      <c r="W195" s="5">
        <v>0.0</v>
      </c>
      <c r="X195" s="5">
        <v>0.0</v>
      </c>
      <c r="Y195" s="5" t="s">
        <v>116</v>
      </c>
      <c r="Z195" s="24">
        <v>0.0</v>
      </c>
      <c r="AA195" s="25">
        <v>1.0</v>
      </c>
      <c r="AB195" s="25">
        <v>2.0</v>
      </c>
      <c r="AC195" s="15"/>
      <c r="AD195" s="38"/>
      <c r="AE195" s="26">
        <v>1.2</v>
      </c>
      <c r="AF195" s="26" t="str">
        <f t="shared" si="3"/>
        <v/>
      </c>
      <c r="AG195" s="16" t="str">
        <f t="shared" si="4"/>
        <v>Verify</v>
      </c>
      <c r="AH195" s="15" t="str">
        <f t="shared" si="5"/>
        <v>No</v>
      </c>
      <c r="AI195" s="32">
        <v>2.5</v>
      </c>
      <c r="AJ195" s="16" t="s">
        <v>230</v>
      </c>
      <c r="AK195" s="15"/>
      <c r="AL195" s="15"/>
      <c r="AM195" s="15"/>
      <c r="AN195" s="9"/>
      <c r="AO195" s="9">
        <f t="shared" si="16"/>
        <v>0.2</v>
      </c>
      <c r="AP195" s="9" t="str">
        <f t="shared" si="17"/>
        <v/>
      </c>
      <c r="AQ195" s="9">
        <f t="shared" si="18"/>
        <v>10.4</v>
      </c>
      <c r="AR195" s="9" t="str">
        <f t="shared" si="19"/>
        <v/>
      </c>
      <c r="AS195" s="16" t="s">
        <v>302</v>
      </c>
      <c r="AT195" s="15"/>
      <c r="AU195" s="15"/>
    </row>
    <row r="196" ht="15.75" customHeight="1">
      <c r="A196" s="15" t="str">
        <f t="shared" si="1"/>
        <v/>
      </c>
      <c r="B196" s="15" t="str">
        <f t="shared" si="15"/>
        <v/>
      </c>
      <c r="C196" s="15"/>
      <c r="D196" s="16" t="s">
        <v>141</v>
      </c>
      <c r="E196" s="15"/>
      <c r="F196" s="12" t="s">
        <v>2192</v>
      </c>
      <c r="G196" s="11" t="s">
        <v>2193</v>
      </c>
      <c r="H196" s="12" t="s">
        <v>1517</v>
      </c>
      <c r="I196" s="13" t="s">
        <v>263</v>
      </c>
      <c r="J196" s="17" t="s">
        <v>1133</v>
      </c>
      <c r="K196" s="18">
        <v>136.0</v>
      </c>
      <c r="L196" s="18">
        <v>215.0</v>
      </c>
      <c r="M196" s="18">
        <v>221.6</v>
      </c>
      <c r="N196" s="19">
        <v>0.81</v>
      </c>
      <c r="O196" s="20">
        <v>22.0</v>
      </c>
      <c r="P196" s="21">
        <v>0.0</v>
      </c>
      <c r="Q196" s="5">
        <v>0.0</v>
      </c>
      <c r="R196" s="35"/>
      <c r="S196" s="5">
        <v>39.67608389</v>
      </c>
      <c r="T196" s="5">
        <v>-80.85746965</v>
      </c>
      <c r="U196" s="1">
        <v>7.0</v>
      </c>
      <c r="V196" s="5" t="s">
        <v>1254</v>
      </c>
      <c r="W196" s="5">
        <v>2.0</v>
      </c>
      <c r="X196" s="5">
        <v>0.0</v>
      </c>
      <c r="Y196" s="5" t="s">
        <v>116</v>
      </c>
      <c r="Z196" s="24">
        <v>0.0</v>
      </c>
      <c r="AA196" s="25">
        <v>1.0</v>
      </c>
      <c r="AB196" s="25">
        <v>2.0</v>
      </c>
      <c r="AC196" s="16" t="s">
        <v>2194</v>
      </c>
      <c r="AD196" s="26">
        <v>1.39</v>
      </c>
      <c r="AE196" s="26">
        <v>5.9</v>
      </c>
      <c r="AF196" s="26">
        <f t="shared" si="3"/>
        <v>0</v>
      </c>
      <c r="AG196" s="16" t="str">
        <f t="shared" si="4"/>
        <v>No</v>
      </c>
      <c r="AH196" s="15" t="str">
        <f t="shared" si="5"/>
        <v>No</v>
      </c>
      <c r="AI196" s="32">
        <v>1.3</v>
      </c>
      <c r="AJ196" s="16" t="s">
        <v>230</v>
      </c>
      <c r="AK196" s="15"/>
      <c r="AL196" s="15"/>
      <c r="AM196" s="15"/>
      <c r="AN196" s="9"/>
      <c r="AO196" s="9">
        <f t="shared" si="16"/>
        <v>26.2</v>
      </c>
      <c r="AP196" s="9">
        <f t="shared" si="17"/>
        <v>36.2</v>
      </c>
      <c r="AQ196" s="9" t="str">
        <f t="shared" si="18"/>
        <v/>
      </c>
      <c r="AR196" s="9" t="str">
        <f t="shared" si="19"/>
        <v/>
      </c>
      <c r="AS196" s="16" t="s">
        <v>302</v>
      </c>
      <c r="AT196" s="15"/>
      <c r="AU196" s="15"/>
    </row>
    <row r="197" ht="15.75" customHeight="1">
      <c r="A197" s="15" t="str">
        <f t="shared" si="1"/>
        <v/>
      </c>
      <c r="B197" s="15" t="str">
        <f t="shared" si="15"/>
        <v/>
      </c>
      <c r="C197" s="15"/>
      <c r="D197" s="16" t="s">
        <v>141</v>
      </c>
      <c r="E197" s="15"/>
      <c r="F197" s="12" t="s">
        <v>2195</v>
      </c>
      <c r="G197" s="11" t="s">
        <v>2196</v>
      </c>
      <c r="H197" s="12" t="s">
        <v>1521</v>
      </c>
      <c r="I197" s="13" t="s">
        <v>921</v>
      </c>
      <c r="J197" s="17" t="s">
        <v>1133</v>
      </c>
      <c r="K197" s="18">
        <v>16.0</v>
      </c>
      <c r="L197" s="18">
        <v>26.0</v>
      </c>
      <c r="M197" s="18">
        <v>35.8</v>
      </c>
      <c r="N197" s="19">
        <v>0.66</v>
      </c>
      <c r="O197" s="20">
        <v>0.0</v>
      </c>
      <c r="P197" s="21">
        <v>0.0</v>
      </c>
      <c r="Q197" s="5">
        <v>0.0</v>
      </c>
      <c r="R197" s="35"/>
      <c r="S197" s="5">
        <v>40.61564807</v>
      </c>
      <c r="T197" s="5">
        <v>-80.61809353</v>
      </c>
      <c r="U197" s="1">
        <v>10.0</v>
      </c>
      <c r="V197" s="5" t="s">
        <v>342</v>
      </c>
      <c r="W197" s="5">
        <v>3.0</v>
      </c>
      <c r="X197" s="5">
        <v>0.0</v>
      </c>
      <c r="Y197" s="5" t="s">
        <v>116</v>
      </c>
      <c r="Z197" s="24">
        <v>0.0</v>
      </c>
      <c r="AA197" s="25">
        <v>0.0</v>
      </c>
      <c r="AB197" s="25">
        <v>0.0</v>
      </c>
      <c r="AC197" s="16" t="s">
        <v>1436</v>
      </c>
      <c r="AD197" s="26">
        <v>2.47</v>
      </c>
      <c r="AE197" s="26">
        <v>0.5</v>
      </c>
      <c r="AF197" s="26">
        <f t="shared" si="3"/>
        <v>1.97</v>
      </c>
      <c r="AG197" s="16" t="str">
        <f t="shared" si="4"/>
        <v>No</v>
      </c>
      <c r="AH197" s="15" t="str">
        <f t="shared" si="5"/>
        <v>Yes</v>
      </c>
      <c r="AI197" s="32">
        <v>1.0</v>
      </c>
      <c r="AJ197" s="16" t="s">
        <v>230</v>
      </c>
      <c r="AK197" s="15"/>
      <c r="AL197" s="15"/>
      <c r="AM197" s="15"/>
      <c r="AN197" s="9"/>
      <c r="AO197" s="9">
        <f t="shared" si="16"/>
        <v>3.1</v>
      </c>
      <c r="AP197" s="9">
        <f t="shared" si="17"/>
        <v>47.4</v>
      </c>
      <c r="AQ197" s="9" t="str">
        <f t="shared" si="18"/>
        <v/>
      </c>
      <c r="AR197" s="9" t="str">
        <f t="shared" si="19"/>
        <v/>
      </c>
      <c r="AS197" s="16" t="s">
        <v>302</v>
      </c>
      <c r="AT197" s="15"/>
      <c r="AU197" s="15"/>
    </row>
    <row r="198" ht="15.0" customHeight="1">
      <c r="A198" s="15" t="str">
        <f t="shared" si="1"/>
        <v/>
      </c>
      <c r="B198" s="15" t="str">
        <f t="shared" si="15"/>
        <v/>
      </c>
      <c r="C198" s="15"/>
      <c r="D198" s="16" t="s">
        <v>141</v>
      </c>
      <c r="E198" s="15"/>
      <c r="F198" s="12" t="s">
        <v>2197</v>
      </c>
      <c r="G198" s="11" t="s">
        <v>2198</v>
      </c>
      <c r="H198" s="12">
        <v>25978.0</v>
      </c>
      <c r="I198" s="13" t="s">
        <v>486</v>
      </c>
      <c r="J198" s="17" t="s">
        <v>392</v>
      </c>
      <c r="K198" s="18">
        <v>6.0</v>
      </c>
      <c r="L198" s="18">
        <v>9.0</v>
      </c>
      <c r="M198" s="18">
        <v>6.0</v>
      </c>
      <c r="N198" s="19">
        <v>0.66</v>
      </c>
      <c r="O198" s="20">
        <v>339.0</v>
      </c>
      <c r="P198" s="21">
        <v>0.0</v>
      </c>
      <c r="Q198" s="5">
        <v>8.8</v>
      </c>
      <c r="R198" s="22">
        <v>70365.0</v>
      </c>
      <c r="S198" s="5">
        <v>37.65095542</v>
      </c>
      <c r="T198" s="5">
        <v>-80.96845294</v>
      </c>
      <c r="U198" s="1">
        <v>3.0</v>
      </c>
      <c r="V198" s="5" t="s">
        <v>180</v>
      </c>
      <c r="W198" s="5">
        <v>0.0</v>
      </c>
      <c r="X198" s="5">
        <v>0.0</v>
      </c>
      <c r="Y198" s="5" t="s">
        <v>116</v>
      </c>
      <c r="Z198" s="24">
        <v>0.0</v>
      </c>
      <c r="AA198" s="25">
        <v>1.0</v>
      </c>
      <c r="AB198" s="25">
        <v>2.0</v>
      </c>
      <c r="AC198" s="15"/>
      <c r="AD198" s="38"/>
      <c r="AE198" s="26">
        <v>1.9</v>
      </c>
      <c r="AF198" s="26" t="str">
        <f t="shared" si="3"/>
        <v/>
      </c>
      <c r="AG198" s="16" t="str">
        <f t="shared" si="4"/>
        <v>Verify</v>
      </c>
      <c r="AH198" s="15" t="str">
        <f t="shared" si="5"/>
        <v>No</v>
      </c>
      <c r="AI198" s="32">
        <v>4.2</v>
      </c>
      <c r="AJ198" s="16" t="s">
        <v>230</v>
      </c>
      <c r="AK198" s="15"/>
      <c r="AL198" s="15"/>
      <c r="AM198" s="15"/>
      <c r="AN198" s="9"/>
      <c r="AO198" s="9">
        <f t="shared" si="16"/>
        <v>1.2</v>
      </c>
      <c r="AP198" s="9" t="str">
        <f t="shared" si="17"/>
        <v/>
      </c>
      <c r="AQ198" s="9">
        <f t="shared" si="18"/>
        <v>13</v>
      </c>
      <c r="AR198" s="9" t="str">
        <f t="shared" si="19"/>
        <v/>
      </c>
      <c r="AS198" s="16" t="s">
        <v>302</v>
      </c>
      <c r="AT198" s="15"/>
      <c r="AU198" s="15"/>
    </row>
    <row r="199" ht="15.75" customHeight="1">
      <c r="A199" s="15" t="str">
        <f t="shared" si="1"/>
        <v/>
      </c>
      <c r="B199" s="15" t="str">
        <f t="shared" si="15"/>
        <v/>
      </c>
      <c r="C199" s="15"/>
      <c r="D199" s="16" t="s">
        <v>141</v>
      </c>
      <c r="E199" s="15"/>
      <c r="F199" s="12" t="s">
        <v>2199</v>
      </c>
      <c r="G199" s="11" t="s">
        <v>2200</v>
      </c>
      <c r="H199" s="12">
        <v>25143.0</v>
      </c>
      <c r="I199" s="13" t="s">
        <v>128</v>
      </c>
      <c r="J199" s="17" t="s">
        <v>715</v>
      </c>
      <c r="K199" s="18">
        <v>114.0</v>
      </c>
      <c r="L199" s="18">
        <v>162.0</v>
      </c>
      <c r="M199" s="18">
        <v>214.0</v>
      </c>
      <c r="N199" s="19">
        <v>0.66</v>
      </c>
      <c r="O199" s="20">
        <v>0.0</v>
      </c>
      <c r="P199" s="21">
        <v>0.0</v>
      </c>
      <c r="Q199" s="5">
        <v>0.0</v>
      </c>
      <c r="R199" s="35"/>
      <c r="S199" s="5">
        <v>38.39922313</v>
      </c>
      <c r="T199" s="5">
        <v>-81.83589191</v>
      </c>
      <c r="U199" s="1">
        <v>1.0</v>
      </c>
      <c r="V199" s="5" t="s">
        <v>180</v>
      </c>
      <c r="W199" s="5">
        <v>0.0</v>
      </c>
      <c r="X199" s="5">
        <v>0.0</v>
      </c>
      <c r="Y199" s="5" t="s">
        <v>116</v>
      </c>
      <c r="Z199" s="24">
        <v>0.0</v>
      </c>
      <c r="AA199" s="25">
        <v>6.0</v>
      </c>
      <c r="AB199" s="25">
        <v>8.0</v>
      </c>
      <c r="AC199" s="16" t="s">
        <v>2201</v>
      </c>
      <c r="AD199" s="26">
        <v>0.88</v>
      </c>
      <c r="AE199" s="26">
        <v>1.7</v>
      </c>
      <c r="AF199" s="26">
        <f t="shared" si="3"/>
        <v>0</v>
      </c>
      <c r="AG199" s="16" t="str">
        <f t="shared" si="4"/>
        <v>No</v>
      </c>
      <c r="AH199" s="15" t="str">
        <f t="shared" si="5"/>
        <v>No</v>
      </c>
      <c r="AI199" s="32">
        <v>1.0</v>
      </c>
      <c r="AJ199" s="16" t="s">
        <v>230</v>
      </c>
      <c r="AK199" s="15"/>
      <c r="AL199" s="15"/>
      <c r="AM199" s="15"/>
      <c r="AN199" s="9"/>
      <c r="AO199" s="9">
        <f t="shared" si="16"/>
        <v>22</v>
      </c>
      <c r="AP199" s="9">
        <f t="shared" si="17"/>
        <v>5.6</v>
      </c>
      <c r="AQ199" s="9" t="str">
        <f t="shared" si="18"/>
        <v/>
      </c>
      <c r="AR199" s="9" t="str">
        <f t="shared" si="19"/>
        <v/>
      </c>
      <c r="AS199" s="16" t="s">
        <v>302</v>
      </c>
      <c r="AT199" s="15"/>
      <c r="AU199" s="15"/>
    </row>
    <row r="200" ht="14.25" customHeight="1">
      <c r="A200" s="15" t="str">
        <f t="shared" si="1"/>
        <v/>
      </c>
      <c r="B200" s="15" t="str">
        <f t="shared" si="15"/>
        <v/>
      </c>
      <c r="C200" s="15"/>
      <c r="D200" s="16" t="s">
        <v>141</v>
      </c>
      <c r="E200" s="15"/>
      <c r="F200" s="12" t="s">
        <v>2202</v>
      </c>
      <c r="G200" s="11" t="s">
        <v>2203</v>
      </c>
      <c r="H200" s="12" t="s">
        <v>1529</v>
      </c>
      <c r="I200" s="13" t="s">
        <v>128</v>
      </c>
      <c r="J200" s="17" t="s">
        <v>715</v>
      </c>
      <c r="K200" s="18">
        <v>114.0</v>
      </c>
      <c r="L200" s="18">
        <v>162.0</v>
      </c>
      <c r="M200" s="18">
        <v>214.0</v>
      </c>
      <c r="N200" s="19">
        <v>0.76</v>
      </c>
      <c r="O200" s="20">
        <v>0.0</v>
      </c>
      <c r="P200" s="21">
        <v>147.0</v>
      </c>
      <c r="Q200" s="5">
        <v>0.0</v>
      </c>
      <c r="R200" s="35"/>
      <c r="S200" s="5">
        <v>38.43311339</v>
      </c>
      <c r="T200" s="5">
        <v>-81.83698595</v>
      </c>
      <c r="U200" s="1">
        <v>1.0</v>
      </c>
      <c r="V200" s="41"/>
      <c r="W200" s="5">
        <v>0.0</v>
      </c>
      <c r="X200" s="5">
        <v>0.0</v>
      </c>
      <c r="Y200" s="5" t="s">
        <v>116</v>
      </c>
      <c r="Z200" s="24">
        <v>0.0</v>
      </c>
      <c r="AA200" s="25">
        <v>4.0</v>
      </c>
      <c r="AB200" s="25">
        <v>6.0</v>
      </c>
      <c r="AC200" s="16" t="s">
        <v>2204</v>
      </c>
      <c r="AD200" s="26">
        <v>2.4</v>
      </c>
      <c r="AE200" s="26">
        <v>1.1</v>
      </c>
      <c r="AF200" s="26">
        <f t="shared" si="3"/>
        <v>1.3</v>
      </c>
      <c r="AG200" s="16" t="str">
        <f t="shared" si="4"/>
        <v>No</v>
      </c>
      <c r="AH200" s="15" t="str">
        <f t="shared" si="5"/>
        <v>No</v>
      </c>
      <c r="AI200" s="32">
        <v>2.2</v>
      </c>
      <c r="AJ200" s="16" t="s">
        <v>230</v>
      </c>
      <c r="AK200" s="15"/>
      <c r="AL200" s="15"/>
      <c r="AM200" s="15"/>
      <c r="AN200" s="9"/>
      <c r="AO200" s="9">
        <f t="shared" si="16"/>
        <v>22</v>
      </c>
      <c r="AP200" s="9">
        <f t="shared" si="17"/>
        <v>18.2</v>
      </c>
      <c r="AQ200" s="9" t="str">
        <f t="shared" si="18"/>
        <v/>
      </c>
      <c r="AR200" s="9" t="str">
        <f t="shared" si="19"/>
        <v/>
      </c>
      <c r="AS200" s="16" t="s">
        <v>302</v>
      </c>
      <c r="AT200" s="15"/>
      <c r="AU200" s="15"/>
    </row>
    <row r="201" ht="15.75" customHeight="1">
      <c r="A201" s="15" t="str">
        <f t="shared" si="1"/>
        <v/>
      </c>
      <c r="B201" s="15" t="str">
        <f t="shared" si="15"/>
        <v/>
      </c>
      <c r="C201" s="15"/>
      <c r="D201" s="16" t="s">
        <v>141</v>
      </c>
      <c r="E201" s="15"/>
      <c r="F201" s="12" t="s">
        <v>2205</v>
      </c>
      <c r="G201" s="11" t="s">
        <v>2206</v>
      </c>
      <c r="H201" s="12" t="s">
        <v>1531</v>
      </c>
      <c r="I201" s="13" t="s">
        <v>74</v>
      </c>
      <c r="J201" s="17" t="s">
        <v>392</v>
      </c>
      <c r="K201" s="18">
        <v>182.0</v>
      </c>
      <c r="L201" s="18">
        <v>286.0</v>
      </c>
      <c r="M201" s="18">
        <v>392.2</v>
      </c>
      <c r="N201" s="19">
        <v>2.08</v>
      </c>
      <c r="O201" s="20">
        <v>390.0</v>
      </c>
      <c r="P201" s="21">
        <v>0.0</v>
      </c>
      <c r="Q201" s="5">
        <v>5.0</v>
      </c>
      <c r="R201" s="22">
        <v>75256.0</v>
      </c>
      <c r="S201" s="5">
        <v>37.97480537</v>
      </c>
      <c r="T201" s="5">
        <v>-81.15484564</v>
      </c>
      <c r="U201" s="1">
        <v>1.0</v>
      </c>
      <c r="V201" s="5" t="s">
        <v>180</v>
      </c>
      <c r="W201" s="5">
        <v>0.0</v>
      </c>
      <c r="X201" s="5">
        <v>0.0</v>
      </c>
      <c r="Y201" s="5" t="s">
        <v>116</v>
      </c>
      <c r="Z201" s="24">
        <v>0.0</v>
      </c>
      <c r="AA201" s="37"/>
      <c r="AB201" s="37"/>
      <c r="AC201" s="16" t="s">
        <v>401</v>
      </c>
      <c r="AD201" s="26">
        <v>0.45</v>
      </c>
      <c r="AE201" s="26">
        <v>3.7</v>
      </c>
      <c r="AF201" s="26">
        <f t="shared" si="3"/>
        <v>0</v>
      </c>
      <c r="AG201" s="16" t="str">
        <f t="shared" si="4"/>
        <v>No</v>
      </c>
      <c r="AH201" s="15" t="str">
        <f t="shared" si="5"/>
        <v>Verify</v>
      </c>
      <c r="AI201" s="32">
        <v>0.4</v>
      </c>
      <c r="AJ201" s="16" t="s">
        <v>230</v>
      </c>
      <c r="AK201" s="15"/>
      <c r="AL201" s="15"/>
      <c r="AM201" s="15"/>
      <c r="AN201" s="9"/>
      <c r="AO201" s="9">
        <f t="shared" si="16"/>
        <v>35.1</v>
      </c>
      <c r="AP201" s="9" t="str">
        <f t="shared" si="17"/>
        <v/>
      </c>
      <c r="AQ201" s="9">
        <f t="shared" si="18"/>
        <v>12.5</v>
      </c>
      <c r="AR201" s="9" t="str">
        <f t="shared" si="19"/>
        <v/>
      </c>
      <c r="AS201" s="16" t="s">
        <v>302</v>
      </c>
      <c r="AT201" s="15"/>
      <c r="AU201" s="15"/>
    </row>
    <row r="202" ht="15.75" customHeight="1">
      <c r="A202" s="15">
        <f t="shared" si="1"/>
        <v>83</v>
      </c>
      <c r="B202" s="15" t="str">
        <f t="shared" si="15"/>
        <v>Tier 3</v>
      </c>
      <c r="C202" s="15"/>
      <c r="D202" s="16" t="s">
        <v>141</v>
      </c>
      <c r="E202" s="15"/>
      <c r="F202" s="12" t="s">
        <v>2207</v>
      </c>
      <c r="G202" s="11" t="s">
        <v>2208</v>
      </c>
      <c r="H202" s="12" t="s">
        <v>1535</v>
      </c>
      <c r="I202" s="13" t="s">
        <v>74</v>
      </c>
      <c r="J202" s="17" t="s">
        <v>392</v>
      </c>
      <c r="K202" s="18">
        <v>182.0</v>
      </c>
      <c r="L202" s="18">
        <v>286.0</v>
      </c>
      <c r="M202" s="18">
        <v>392.2</v>
      </c>
      <c r="N202" s="39"/>
      <c r="O202" s="20">
        <v>390.0</v>
      </c>
      <c r="P202" s="21">
        <v>40.0</v>
      </c>
      <c r="Q202" s="5">
        <v>5.0</v>
      </c>
      <c r="R202" s="22">
        <v>75256.0</v>
      </c>
      <c r="S202" s="5">
        <v>37.99933276</v>
      </c>
      <c r="T202" s="5">
        <v>-81.13142896</v>
      </c>
      <c r="U202" s="1">
        <v>1.0</v>
      </c>
      <c r="V202" s="5" t="s">
        <v>180</v>
      </c>
      <c r="W202" s="5">
        <v>0.0</v>
      </c>
      <c r="X202" s="5">
        <v>0.0</v>
      </c>
      <c r="Y202" s="5" t="s">
        <v>116</v>
      </c>
      <c r="Z202" s="24">
        <v>0.0</v>
      </c>
      <c r="AA202" s="25">
        <v>5.0</v>
      </c>
      <c r="AB202" s="25">
        <v>7.0</v>
      </c>
      <c r="AC202" s="16" t="s">
        <v>401</v>
      </c>
      <c r="AD202" s="26">
        <v>1.91</v>
      </c>
      <c r="AE202" s="26">
        <v>4.4</v>
      </c>
      <c r="AF202" s="26">
        <f t="shared" si="3"/>
        <v>0</v>
      </c>
      <c r="AG202" s="16" t="str">
        <f t="shared" si="4"/>
        <v>No</v>
      </c>
      <c r="AH202" s="15" t="str">
        <f t="shared" si="5"/>
        <v>No</v>
      </c>
      <c r="AI202" s="32">
        <v>0.9</v>
      </c>
      <c r="AJ202" s="16" t="s">
        <v>230</v>
      </c>
      <c r="AK202" s="15"/>
      <c r="AL202" s="15"/>
      <c r="AM202" s="15"/>
      <c r="AN202" s="9"/>
      <c r="AO202" s="9">
        <f t="shared" si="16"/>
        <v>35.1</v>
      </c>
      <c r="AP202" s="9">
        <f t="shared" si="17"/>
        <v>10.2</v>
      </c>
      <c r="AQ202" s="9">
        <f t="shared" si="18"/>
        <v>13.8</v>
      </c>
      <c r="AR202" s="9">
        <f t="shared" si="19"/>
        <v>19.3</v>
      </c>
      <c r="AS202" s="16" t="s">
        <v>556</v>
      </c>
      <c r="AT202" s="15"/>
      <c r="AU202" s="15"/>
    </row>
    <row r="203" ht="15.75" customHeight="1">
      <c r="A203" s="15" t="str">
        <f t="shared" si="1"/>
        <v/>
      </c>
      <c r="B203" s="15" t="str">
        <f t="shared" si="15"/>
        <v/>
      </c>
      <c r="C203" s="15"/>
      <c r="D203" s="16" t="s">
        <v>141</v>
      </c>
      <c r="E203" s="15"/>
      <c r="F203" s="12" t="s">
        <v>2209</v>
      </c>
      <c r="G203" s="11" t="s">
        <v>2210</v>
      </c>
      <c r="H203" s="12">
        <v>24870.0</v>
      </c>
      <c r="I203" s="13" t="s">
        <v>895</v>
      </c>
      <c r="J203" s="17" t="s">
        <v>392</v>
      </c>
      <c r="K203" s="18">
        <v>52.0</v>
      </c>
      <c r="L203" s="18">
        <v>79.0</v>
      </c>
      <c r="M203" s="18">
        <v>33.4</v>
      </c>
      <c r="N203" s="19">
        <v>0.92</v>
      </c>
      <c r="O203" s="20">
        <v>0.0</v>
      </c>
      <c r="P203" s="21">
        <v>11.0</v>
      </c>
      <c r="Q203" s="5">
        <v>0.0</v>
      </c>
      <c r="R203" s="35"/>
      <c r="S203" s="5">
        <v>37.69231833</v>
      </c>
      <c r="T203" s="5">
        <v>-81.623468</v>
      </c>
      <c r="U203" s="1">
        <v>2.0</v>
      </c>
      <c r="V203" s="5" t="s">
        <v>180</v>
      </c>
      <c r="W203" s="5">
        <v>0.0</v>
      </c>
      <c r="X203" s="5">
        <v>0.0</v>
      </c>
      <c r="Y203" s="5" t="s">
        <v>116</v>
      </c>
      <c r="Z203" s="24">
        <v>0.0</v>
      </c>
      <c r="AA203" s="25">
        <v>6.0</v>
      </c>
      <c r="AB203" s="25">
        <v>8.0</v>
      </c>
      <c r="AC203" s="16" t="s">
        <v>2182</v>
      </c>
      <c r="AD203" s="26">
        <v>15.93</v>
      </c>
      <c r="AE203" s="26">
        <v>5.9</v>
      </c>
      <c r="AF203" s="26">
        <f t="shared" si="3"/>
        <v>10.03</v>
      </c>
      <c r="AG203" s="16" t="str">
        <f t="shared" si="4"/>
        <v>Yes</v>
      </c>
      <c r="AH203" s="15" t="str">
        <f t="shared" si="5"/>
        <v>No</v>
      </c>
      <c r="AI203" s="32">
        <v>1.6</v>
      </c>
      <c r="AJ203" s="16" t="s">
        <v>230</v>
      </c>
      <c r="AK203" s="15"/>
      <c r="AL203" s="15"/>
      <c r="AM203" s="15"/>
      <c r="AN203" s="9"/>
      <c r="AO203" s="9">
        <f t="shared" si="16"/>
        <v>10</v>
      </c>
      <c r="AP203" s="9">
        <f t="shared" si="17"/>
        <v>50.8</v>
      </c>
      <c r="AQ203" s="9" t="str">
        <f t="shared" si="18"/>
        <v/>
      </c>
      <c r="AR203" s="9" t="str">
        <f t="shared" si="19"/>
        <v/>
      </c>
      <c r="AS203" s="16" t="s">
        <v>302</v>
      </c>
      <c r="AT203" s="15"/>
      <c r="AU203" s="15"/>
    </row>
    <row r="204" ht="15.75" customHeight="1">
      <c r="A204" s="15">
        <f t="shared" si="1"/>
        <v>85</v>
      </c>
      <c r="B204" s="15" t="str">
        <f t="shared" si="15"/>
        <v>Tier 3</v>
      </c>
      <c r="C204" s="15"/>
      <c r="D204" s="16" t="s">
        <v>141</v>
      </c>
      <c r="E204" s="15"/>
      <c r="F204" s="12" t="s">
        <v>2211</v>
      </c>
      <c r="G204" s="11" t="s">
        <v>2212</v>
      </c>
      <c r="H204" s="12">
        <v>25545.0</v>
      </c>
      <c r="I204" s="13" t="s">
        <v>59</v>
      </c>
      <c r="J204" s="17" t="s">
        <v>715</v>
      </c>
      <c r="K204" s="18">
        <v>46.0</v>
      </c>
      <c r="L204" s="18">
        <v>74.0</v>
      </c>
      <c r="M204" s="18">
        <v>72.4</v>
      </c>
      <c r="N204" s="19">
        <v>0.92</v>
      </c>
      <c r="O204" s="20">
        <v>1463.0</v>
      </c>
      <c r="P204" s="21">
        <v>54.0</v>
      </c>
      <c r="Q204" s="5">
        <v>150.6</v>
      </c>
      <c r="R204" s="22">
        <v>48516.0</v>
      </c>
      <c r="S204" s="5">
        <v>38.41974016</v>
      </c>
      <c r="T204" s="5">
        <v>-82.22642721</v>
      </c>
      <c r="U204" s="1">
        <v>1.0</v>
      </c>
      <c r="V204" s="5" t="s">
        <v>180</v>
      </c>
      <c r="W204" s="5">
        <v>0.0</v>
      </c>
      <c r="X204" s="5">
        <v>0.0</v>
      </c>
      <c r="Y204" s="5" t="s">
        <v>116</v>
      </c>
      <c r="Z204" s="24">
        <v>0.0</v>
      </c>
      <c r="AA204" s="25">
        <v>5.0</v>
      </c>
      <c r="AB204" s="25">
        <v>7.0</v>
      </c>
      <c r="AC204" s="16" t="s">
        <v>727</v>
      </c>
      <c r="AD204" s="26">
        <v>1.68</v>
      </c>
      <c r="AE204" s="26">
        <v>2.7</v>
      </c>
      <c r="AF204" s="26">
        <f t="shared" si="3"/>
        <v>0</v>
      </c>
      <c r="AG204" s="16" t="str">
        <f t="shared" si="4"/>
        <v>No</v>
      </c>
      <c r="AH204" s="15" t="str">
        <f t="shared" si="5"/>
        <v>No</v>
      </c>
      <c r="AI204" s="32">
        <v>1.6</v>
      </c>
      <c r="AJ204" s="16" t="s">
        <v>230</v>
      </c>
      <c r="AK204" s="15"/>
      <c r="AL204" s="15"/>
      <c r="AM204" s="15"/>
      <c r="AN204" s="9"/>
      <c r="AO204" s="9">
        <f t="shared" si="16"/>
        <v>8.9</v>
      </c>
      <c r="AP204" s="9">
        <f t="shared" si="17"/>
        <v>9.5</v>
      </c>
      <c r="AQ204" s="9">
        <f t="shared" si="18"/>
        <v>53.3</v>
      </c>
      <c r="AR204" s="9">
        <f t="shared" si="19"/>
        <v>19</v>
      </c>
      <c r="AS204" s="16" t="s">
        <v>556</v>
      </c>
      <c r="AT204" s="15"/>
      <c r="AU204" s="15"/>
    </row>
    <row r="205" ht="15.75" customHeight="1">
      <c r="A205" s="15" t="str">
        <f t="shared" si="1"/>
        <v/>
      </c>
      <c r="B205" s="15"/>
      <c r="C205" s="15"/>
      <c r="D205" s="16" t="s">
        <v>420</v>
      </c>
      <c r="E205" s="16" t="s">
        <v>230</v>
      </c>
      <c r="F205" s="12" t="s">
        <v>30</v>
      </c>
      <c r="G205" s="45" t="s">
        <v>1538</v>
      </c>
      <c r="H205" s="12">
        <v>26159.0</v>
      </c>
      <c r="I205" s="13"/>
      <c r="J205" s="17"/>
      <c r="K205" s="18"/>
      <c r="L205" s="18"/>
      <c r="M205" s="18"/>
      <c r="N205" s="19"/>
      <c r="O205" s="20"/>
      <c r="P205" s="21"/>
      <c r="Q205" s="5"/>
      <c r="R205" s="22"/>
      <c r="S205" s="5">
        <v>39.60406292</v>
      </c>
      <c r="T205" s="5">
        <v>-80.93378573</v>
      </c>
      <c r="U205" s="1">
        <v>10.0</v>
      </c>
      <c r="V205" s="5"/>
      <c r="W205" s="5">
        <v>3.0</v>
      </c>
      <c r="X205" s="5">
        <v>0.0</v>
      </c>
      <c r="Y205" s="5" t="s">
        <v>116</v>
      </c>
      <c r="Z205" s="24">
        <v>0.0</v>
      </c>
      <c r="AA205" s="25"/>
      <c r="AB205" s="25"/>
      <c r="AC205" s="16"/>
      <c r="AD205" s="26"/>
      <c r="AE205" s="26">
        <v>0.2</v>
      </c>
      <c r="AF205" s="26" t="str">
        <f t="shared" si="3"/>
        <v/>
      </c>
      <c r="AG205" s="16" t="str">
        <f t="shared" si="4"/>
        <v>Verify</v>
      </c>
      <c r="AH205" s="15" t="str">
        <f t="shared" si="5"/>
        <v>Verify</v>
      </c>
      <c r="AI205" s="32">
        <v>4.4</v>
      </c>
      <c r="AJ205" s="16"/>
      <c r="AK205" s="15"/>
      <c r="AL205" s="15"/>
      <c r="AM205" s="15"/>
      <c r="AN205" s="9"/>
      <c r="AO205" s="9"/>
      <c r="AP205" s="9"/>
      <c r="AQ205" s="9"/>
      <c r="AR205" s="9"/>
      <c r="AS205" s="16" t="s">
        <v>302</v>
      </c>
      <c r="AT205" s="15"/>
      <c r="AU205" s="15"/>
    </row>
    <row r="206" ht="15.75" customHeight="1">
      <c r="A206" s="15" t="str">
        <f t="shared" si="1"/>
        <v/>
      </c>
      <c r="B206" s="15" t="str">
        <f t="shared" ref="B206:B255" si="20">IF(A206="","",IF(A206&lt;=25,"Tier 1",IF(A206&lt;=50,"Tier 2",IF(A206&lt;=100,"Tier 3",""))))</f>
        <v/>
      </c>
      <c r="C206" s="15"/>
      <c r="D206" s="16" t="s">
        <v>141</v>
      </c>
      <c r="E206" s="15"/>
      <c r="F206" s="12" t="s">
        <v>2213</v>
      </c>
      <c r="G206" s="11" t="s">
        <v>2214</v>
      </c>
      <c r="H206" s="12" t="s">
        <v>1542</v>
      </c>
      <c r="I206" s="13" t="s">
        <v>268</v>
      </c>
      <c r="J206" s="17" t="s">
        <v>439</v>
      </c>
      <c r="K206" s="18">
        <v>488.0</v>
      </c>
      <c r="L206" s="18">
        <v>748.0</v>
      </c>
      <c r="M206" s="18">
        <v>1308.8</v>
      </c>
      <c r="N206" s="19">
        <v>0.97</v>
      </c>
      <c r="O206" s="20">
        <v>19.0</v>
      </c>
      <c r="P206" s="21">
        <v>37.0</v>
      </c>
      <c r="Q206" s="5">
        <v>0.0</v>
      </c>
      <c r="R206" s="22">
        <v>28953.0</v>
      </c>
      <c r="S206" s="5">
        <v>39.26399836</v>
      </c>
      <c r="T206" s="5">
        <v>-81.54831351</v>
      </c>
      <c r="U206" s="1">
        <v>1.0</v>
      </c>
      <c r="V206" s="5" t="s">
        <v>180</v>
      </c>
      <c r="W206" s="5">
        <v>0.0</v>
      </c>
      <c r="X206" s="5">
        <v>0.0</v>
      </c>
      <c r="Y206" s="5" t="s">
        <v>116</v>
      </c>
      <c r="Z206" s="24">
        <v>0.0</v>
      </c>
      <c r="AA206" s="37"/>
      <c r="AB206" s="37"/>
      <c r="AC206" s="16" t="s">
        <v>2215</v>
      </c>
      <c r="AD206" s="26">
        <v>0.43</v>
      </c>
      <c r="AE206" s="26">
        <v>3.3</v>
      </c>
      <c r="AF206" s="26">
        <f t="shared" si="3"/>
        <v>0</v>
      </c>
      <c r="AG206" s="16" t="str">
        <f t="shared" si="4"/>
        <v>No</v>
      </c>
      <c r="AH206" s="15" t="str">
        <f t="shared" si="5"/>
        <v>Verify</v>
      </c>
      <c r="AI206" s="32">
        <v>0.5</v>
      </c>
      <c r="AJ206" s="16" t="s">
        <v>230</v>
      </c>
      <c r="AK206" s="15"/>
      <c r="AL206" s="15"/>
      <c r="AM206" s="15"/>
      <c r="AN206" s="9"/>
      <c r="AO206" s="9">
        <f t="shared" ref="AO206:AO255" si="21">IF(K206="","",ROUND((K206/MAX($K$2:$K$319))*100,1))</f>
        <v>94</v>
      </c>
      <c r="AP206" s="9" t="str">
        <f t="shared" ref="AP206:AP255" si="22">IF(OR(AA206="",AB206="",AD206=""),"",ROUND(
(MIN(AD206,20)/20*100)*0.6+
(MAX(0,1-MIN(AA206,5)/5)*100)*0.25+
(MAX(0,1-MIN(AB206,10)/10)*100)*0.15
,1))</f>
        <v/>
      </c>
      <c r="AQ206" s="9">
        <f t="shared" ref="AQ206:AQ255" si="23">IF(OR(O206="",P206="",Q206="",R206=""),"",ROUND(
(MIN(Q206/MAX($Q$2:$Q$319),1)*100)*0.4+
(MIN(O206/MAX($O$2:$O$319),1)*100)*0.25+
(MIN(P206/MAX($P$2:$P$319),1)*100)*0.2+
((1-(R206-MIN($R$2:$R$319))/(MAX($R$2:$R$319)-MIN($R$2:$R$319)))*100)*0.15
,1))</f>
        <v>14</v>
      </c>
      <c r="AR206" s="9" t="str">
        <f t="shared" ref="AR206:AR255" si="24">IF(OR(AO206="",AP206="",AQ206=""),"",ROUND((AO206*30+AP206*40+AQ206*20)/90,1))</f>
        <v/>
      </c>
      <c r="AS206" s="16" t="s">
        <v>302</v>
      </c>
      <c r="AT206" s="15"/>
      <c r="AU206" s="15"/>
    </row>
    <row r="207" ht="15.75" customHeight="1">
      <c r="A207" s="15" t="str">
        <f t="shared" si="1"/>
        <v/>
      </c>
      <c r="B207" s="15" t="str">
        <f t="shared" si="20"/>
        <v/>
      </c>
      <c r="C207" s="15"/>
      <c r="D207" s="16" t="s">
        <v>141</v>
      </c>
      <c r="E207" s="15"/>
      <c r="F207" s="12" t="s">
        <v>2216</v>
      </c>
      <c r="G207" s="11" t="s">
        <v>2217</v>
      </c>
      <c r="H207" s="12" t="s">
        <v>1544</v>
      </c>
      <c r="I207" s="13" t="s">
        <v>268</v>
      </c>
      <c r="J207" s="17" t="s">
        <v>439</v>
      </c>
      <c r="K207" s="18">
        <v>218.0</v>
      </c>
      <c r="L207" s="18">
        <v>356.0</v>
      </c>
      <c r="M207" s="18">
        <v>387.1</v>
      </c>
      <c r="N207" s="19">
        <v>0.97</v>
      </c>
      <c r="O207" s="20">
        <v>137.0</v>
      </c>
      <c r="P207" s="21">
        <v>22.0</v>
      </c>
      <c r="Q207" s="5">
        <v>0.0</v>
      </c>
      <c r="R207" s="35"/>
      <c r="S207" s="5">
        <v>39.22170852</v>
      </c>
      <c r="T207" s="5">
        <v>-81.50483404</v>
      </c>
      <c r="U207" s="1">
        <v>1.0</v>
      </c>
      <c r="V207" s="5" t="s">
        <v>180</v>
      </c>
      <c r="W207" s="5">
        <v>0.0</v>
      </c>
      <c r="X207" s="5">
        <v>0.0</v>
      </c>
      <c r="Y207" s="5" t="s">
        <v>116</v>
      </c>
      <c r="Z207" s="24">
        <v>0.0</v>
      </c>
      <c r="AA207" s="25">
        <v>1.0</v>
      </c>
      <c r="AB207" s="25">
        <v>2.0</v>
      </c>
      <c r="AC207" s="16" t="s">
        <v>2145</v>
      </c>
      <c r="AD207" s="26">
        <v>1.98</v>
      </c>
      <c r="AE207" s="26">
        <v>4.2</v>
      </c>
      <c r="AF207" s="26">
        <f t="shared" si="3"/>
        <v>0</v>
      </c>
      <c r="AG207" s="16" t="str">
        <f t="shared" si="4"/>
        <v>No</v>
      </c>
      <c r="AH207" s="15" t="str">
        <f t="shared" si="5"/>
        <v>No</v>
      </c>
      <c r="AI207" s="32">
        <v>2.2</v>
      </c>
      <c r="AJ207" s="16" t="s">
        <v>230</v>
      </c>
      <c r="AK207" s="15"/>
      <c r="AL207" s="15"/>
      <c r="AM207" s="15"/>
      <c r="AN207" s="9"/>
      <c r="AO207" s="9">
        <f t="shared" si="21"/>
        <v>42</v>
      </c>
      <c r="AP207" s="9">
        <f t="shared" si="22"/>
        <v>37.9</v>
      </c>
      <c r="AQ207" s="9" t="str">
        <f t="shared" si="23"/>
        <v/>
      </c>
      <c r="AR207" s="9" t="str">
        <f t="shared" si="24"/>
        <v/>
      </c>
      <c r="AS207" s="16" t="s">
        <v>302</v>
      </c>
      <c r="AT207" s="15"/>
      <c r="AU207" s="15"/>
    </row>
    <row r="208" ht="15.75" customHeight="1">
      <c r="A208" s="15" t="str">
        <f t="shared" si="1"/>
        <v/>
      </c>
      <c r="B208" s="15" t="str">
        <f t="shared" si="20"/>
        <v/>
      </c>
      <c r="C208" s="15"/>
      <c r="D208" s="16" t="s">
        <v>420</v>
      </c>
      <c r="E208" s="16" t="s">
        <v>230</v>
      </c>
      <c r="F208" s="12" t="s">
        <v>2218</v>
      </c>
      <c r="G208" s="11" t="s">
        <v>2219</v>
      </c>
      <c r="H208" s="12">
        <v>26101.0</v>
      </c>
      <c r="I208" s="13" t="s">
        <v>268</v>
      </c>
      <c r="J208" s="17" t="s">
        <v>439</v>
      </c>
      <c r="K208" s="18">
        <v>488.0</v>
      </c>
      <c r="L208" s="18">
        <v>748.0</v>
      </c>
      <c r="M208" s="18">
        <v>1308.8</v>
      </c>
      <c r="N208" s="19">
        <v>0.53</v>
      </c>
      <c r="O208" s="20">
        <v>19.0</v>
      </c>
      <c r="P208" s="21">
        <v>13.0</v>
      </c>
      <c r="Q208" s="5">
        <v>0.0</v>
      </c>
      <c r="R208" s="22">
        <v>28953.0</v>
      </c>
      <c r="S208" s="5">
        <v>39.24738261</v>
      </c>
      <c r="T208" s="5">
        <v>-81.61423138</v>
      </c>
      <c r="U208" s="1">
        <v>1.0</v>
      </c>
      <c r="V208" s="5" t="s">
        <v>180</v>
      </c>
      <c r="W208" s="5">
        <v>0.0</v>
      </c>
      <c r="X208" s="5">
        <v>0.0</v>
      </c>
      <c r="Y208" s="5" t="s">
        <v>116</v>
      </c>
      <c r="Z208" s="24">
        <v>0.0</v>
      </c>
      <c r="AA208" s="37"/>
      <c r="AB208" s="37"/>
      <c r="AC208" s="15"/>
      <c r="AD208" s="38"/>
      <c r="AE208" s="26">
        <v>2.2</v>
      </c>
      <c r="AF208" s="26" t="str">
        <f t="shared" si="3"/>
        <v/>
      </c>
      <c r="AG208" s="16" t="str">
        <f t="shared" si="4"/>
        <v>Verify</v>
      </c>
      <c r="AH208" s="15" t="str">
        <f t="shared" si="5"/>
        <v>Verify</v>
      </c>
      <c r="AI208" s="32">
        <v>2.6</v>
      </c>
      <c r="AJ208" s="16" t="s">
        <v>230</v>
      </c>
      <c r="AK208" s="15"/>
      <c r="AL208" s="15"/>
      <c r="AM208" s="15"/>
      <c r="AN208" s="9"/>
      <c r="AO208" s="9">
        <f t="shared" si="21"/>
        <v>94</v>
      </c>
      <c r="AP208" s="9" t="str">
        <f t="shared" si="22"/>
        <v/>
      </c>
      <c r="AQ208" s="9">
        <f t="shared" si="23"/>
        <v>13.2</v>
      </c>
      <c r="AR208" s="9" t="str">
        <f t="shared" si="24"/>
        <v/>
      </c>
      <c r="AS208" s="16" t="s">
        <v>302</v>
      </c>
      <c r="AT208" s="15"/>
      <c r="AU208" s="15"/>
    </row>
    <row r="209" ht="15.75" customHeight="1">
      <c r="A209" s="15" t="str">
        <f t="shared" si="1"/>
        <v/>
      </c>
      <c r="B209" s="15" t="str">
        <f t="shared" si="20"/>
        <v/>
      </c>
      <c r="C209" s="15"/>
      <c r="D209" s="16" t="s">
        <v>141</v>
      </c>
      <c r="E209" s="15"/>
      <c r="F209" s="12" t="s">
        <v>2220</v>
      </c>
      <c r="G209" s="11" t="s">
        <v>2221</v>
      </c>
      <c r="H209" s="12" t="s">
        <v>1547</v>
      </c>
      <c r="I209" s="13" t="s">
        <v>268</v>
      </c>
      <c r="J209" s="17" t="s">
        <v>439</v>
      </c>
      <c r="K209" s="18">
        <v>488.0</v>
      </c>
      <c r="L209" s="18">
        <v>748.0</v>
      </c>
      <c r="M209" s="18">
        <v>1308.8</v>
      </c>
      <c r="N209" s="19">
        <v>0.53</v>
      </c>
      <c r="O209" s="20">
        <v>19.0</v>
      </c>
      <c r="P209" s="21">
        <v>13.0</v>
      </c>
      <c r="Q209" s="5">
        <v>0.0</v>
      </c>
      <c r="R209" s="22">
        <v>28953.0</v>
      </c>
      <c r="S209" s="5">
        <v>39.23641511</v>
      </c>
      <c r="T209" s="5">
        <v>-81.5419526</v>
      </c>
      <c r="U209" s="1">
        <v>1.0</v>
      </c>
      <c r="V209" s="5" t="s">
        <v>180</v>
      </c>
      <c r="W209" s="5">
        <v>0.0</v>
      </c>
      <c r="X209" s="5">
        <v>0.0</v>
      </c>
      <c r="Y209" s="5" t="s">
        <v>116</v>
      </c>
      <c r="Z209" s="24">
        <v>0.0</v>
      </c>
      <c r="AA209" s="37"/>
      <c r="AB209" s="37"/>
      <c r="AC209" s="16" t="s">
        <v>2145</v>
      </c>
      <c r="AD209" s="26">
        <v>0.61</v>
      </c>
      <c r="AE209" s="26">
        <v>2.4</v>
      </c>
      <c r="AF209" s="26">
        <f t="shared" si="3"/>
        <v>0</v>
      </c>
      <c r="AG209" s="16" t="str">
        <f t="shared" si="4"/>
        <v>No</v>
      </c>
      <c r="AH209" s="15" t="str">
        <f t="shared" si="5"/>
        <v>Verify</v>
      </c>
      <c r="AI209" s="32">
        <v>0.1</v>
      </c>
      <c r="AJ209" s="16" t="s">
        <v>230</v>
      </c>
      <c r="AK209" s="15"/>
      <c r="AL209" s="15"/>
      <c r="AM209" s="15"/>
      <c r="AN209" s="9"/>
      <c r="AO209" s="9">
        <f t="shared" si="21"/>
        <v>94</v>
      </c>
      <c r="AP209" s="9" t="str">
        <f t="shared" si="22"/>
        <v/>
      </c>
      <c r="AQ209" s="9">
        <f t="shared" si="23"/>
        <v>13.2</v>
      </c>
      <c r="AR209" s="9" t="str">
        <f t="shared" si="24"/>
        <v/>
      </c>
      <c r="AS209" s="16" t="s">
        <v>302</v>
      </c>
      <c r="AT209" s="15"/>
      <c r="AU209" s="15"/>
    </row>
    <row r="210" ht="15.75" customHeight="1">
      <c r="A210" s="15" t="str">
        <f t="shared" si="1"/>
        <v/>
      </c>
      <c r="B210" s="15" t="str">
        <f t="shared" si="20"/>
        <v/>
      </c>
      <c r="C210" s="15"/>
      <c r="D210" s="16" t="s">
        <v>141</v>
      </c>
      <c r="E210" s="15"/>
      <c r="F210" s="12" t="s">
        <v>2222</v>
      </c>
      <c r="G210" s="11" t="s">
        <v>2223</v>
      </c>
      <c r="H210" s="12" t="s">
        <v>1551</v>
      </c>
      <c r="I210" s="13" t="s">
        <v>268</v>
      </c>
      <c r="J210" s="17" t="s">
        <v>439</v>
      </c>
      <c r="K210" s="18">
        <v>218.0</v>
      </c>
      <c r="L210" s="18">
        <v>356.0</v>
      </c>
      <c r="M210" s="18">
        <v>387.1</v>
      </c>
      <c r="N210" s="19">
        <v>0.15</v>
      </c>
      <c r="O210" s="20">
        <v>137.0</v>
      </c>
      <c r="P210" s="21">
        <v>13.0</v>
      </c>
      <c r="Q210" s="5">
        <v>0.0</v>
      </c>
      <c r="R210" s="35"/>
      <c r="S210" s="5">
        <v>39.28381335</v>
      </c>
      <c r="T210" s="5">
        <v>-81.53658512</v>
      </c>
      <c r="U210" s="1">
        <v>1.0</v>
      </c>
      <c r="V210" s="5" t="s">
        <v>180</v>
      </c>
      <c r="W210" s="5">
        <v>0.0</v>
      </c>
      <c r="X210" s="5">
        <v>0.0</v>
      </c>
      <c r="Y210" s="5" t="s">
        <v>116</v>
      </c>
      <c r="Z210" s="24">
        <v>0.0</v>
      </c>
      <c r="AA210" s="25">
        <v>0.0</v>
      </c>
      <c r="AB210" s="25">
        <v>0.0</v>
      </c>
      <c r="AC210" s="16" t="s">
        <v>2215</v>
      </c>
      <c r="AD210" s="26">
        <v>1.21</v>
      </c>
      <c r="AE210" s="26">
        <v>3.3</v>
      </c>
      <c r="AF210" s="26">
        <f t="shared" si="3"/>
        <v>0</v>
      </c>
      <c r="AG210" s="16" t="str">
        <f t="shared" si="4"/>
        <v>No</v>
      </c>
      <c r="AH210" s="15" t="str">
        <f t="shared" si="5"/>
        <v>Yes</v>
      </c>
      <c r="AI210" s="32">
        <v>0.6</v>
      </c>
      <c r="AJ210" s="16" t="s">
        <v>230</v>
      </c>
      <c r="AK210" s="15"/>
      <c r="AL210" s="15"/>
      <c r="AM210" s="15"/>
      <c r="AN210" s="9"/>
      <c r="AO210" s="9">
        <f t="shared" si="21"/>
        <v>42</v>
      </c>
      <c r="AP210" s="9">
        <f t="shared" si="22"/>
        <v>43.6</v>
      </c>
      <c r="AQ210" s="9" t="str">
        <f t="shared" si="23"/>
        <v/>
      </c>
      <c r="AR210" s="9" t="str">
        <f t="shared" si="24"/>
        <v/>
      </c>
      <c r="AS210" s="16" t="s">
        <v>302</v>
      </c>
      <c r="AT210" s="15"/>
      <c r="AU210" s="15"/>
    </row>
    <row r="211" ht="15.75" customHeight="1">
      <c r="A211" s="15" t="str">
        <f t="shared" si="1"/>
        <v/>
      </c>
      <c r="B211" s="15" t="str">
        <f t="shared" si="20"/>
        <v/>
      </c>
      <c r="C211" s="15"/>
      <c r="D211" s="16" t="s">
        <v>141</v>
      </c>
      <c r="E211" s="15"/>
      <c r="F211" s="12" t="s">
        <v>2224</v>
      </c>
      <c r="G211" s="11" t="s">
        <v>2225</v>
      </c>
      <c r="H211" s="12" t="s">
        <v>1553</v>
      </c>
      <c r="I211" s="13" t="s">
        <v>268</v>
      </c>
      <c r="J211" s="17" t="s">
        <v>439</v>
      </c>
      <c r="K211" s="18">
        <v>218.0</v>
      </c>
      <c r="L211" s="18">
        <v>356.0</v>
      </c>
      <c r="M211" s="18">
        <v>387.1</v>
      </c>
      <c r="N211" s="19">
        <v>0.15</v>
      </c>
      <c r="O211" s="20">
        <v>137.0</v>
      </c>
      <c r="P211" s="21">
        <v>0.0</v>
      </c>
      <c r="Q211" s="5">
        <v>0.0</v>
      </c>
      <c r="R211" s="35"/>
      <c r="S211" s="5">
        <v>39.29883825</v>
      </c>
      <c r="T211" s="5">
        <v>-81.51402821</v>
      </c>
      <c r="U211" s="1">
        <v>1.0</v>
      </c>
      <c r="V211" s="5" t="s">
        <v>180</v>
      </c>
      <c r="W211" s="5">
        <v>0.0</v>
      </c>
      <c r="X211" s="5">
        <v>0.0</v>
      </c>
      <c r="Y211" s="5" t="s">
        <v>116</v>
      </c>
      <c r="Z211" s="24">
        <v>0.0</v>
      </c>
      <c r="AA211" s="25">
        <v>0.0</v>
      </c>
      <c r="AB211" s="25">
        <v>0.0</v>
      </c>
      <c r="AC211" s="16" t="s">
        <v>2226</v>
      </c>
      <c r="AD211" s="26">
        <v>2.04</v>
      </c>
      <c r="AE211" s="26">
        <v>2.5</v>
      </c>
      <c r="AF211" s="26">
        <f t="shared" si="3"/>
        <v>0</v>
      </c>
      <c r="AG211" s="16" t="str">
        <f t="shared" si="4"/>
        <v>No</v>
      </c>
      <c r="AH211" s="15" t="str">
        <f t="shared" si="5"/>
        <v>Yes</v>
      </c>
      <c r="AI211" s="32">
        <v>1.0</v>
      </c>
      <c r="AJ211" s="16" t="s">
        <v>230</v>
      </c>
      <c r="AK211" s="15"/>
      <c r="AL211" s="15"/>
      <c r="AM211" s="15"/>
      <c r="AN211" s="9"/>
      <c r="AO211" s="9">
        <f t="shared" si="21"/>
        <v>42</v>
      </c>
      <c r="AP211" s="9">
        <f t="shared" si="22"/>
        <v>46.1</v>
      </c>
      <c r="AQ211" s="9" t="str">
        <f t="shared" si="23"/>
        <v/>
      </c>
      <c r="AR211" s="9" t="str">
        <f t="shared" si="24"/>
        <v/>
      </c>
      <c r="AS211" s="16" t="s">
        <v>302</v>
      </c>
      <c r="AT211" s="15"/>
      <c r="AU211" s="15"/>
    </row>
    <row r="212" ht="15.75" customHeight="1">
      <c r="A212" s="15" t="str">
        <f t="shared" si="1"/>
        <v/>
      </c>
      <c r="B212" s="15" t="str">
        <f t="shared" si="20"/>
        <v/>
      </c>
      <c r="C212" s="15"/>
      <c r="D212" s="16" t="s">
        <v>141</v>
      </c>
      <c r="E212" s="15"/>
      <c r="F212" s="12" t="s">
        <v>2227</v>
      </c>
      <c r="G212" s="11" t="s">
        <v>2228</v>
      </c>
      <c r="H212" s="12" t="s">
        <v>1555</v>
      </c>
      <c r="I212" s="13" t="s">
        <v>268</v>
      </c>
      <c r="J212" s="17" t="s">
        <v>439</v>
      </c>
      <c r="K212" s="18">
        <v>488.0</v>
      </c>
      <c r="L212" s="18">
        <v>748.0</v>
      </c>
      <c r="M212" s="18">
        <v>1308.8</v>
      </c>
      <c r="N212" s="78"/>
      <c r="O212" s="20">
        <v>19.0</v>
      </c>
      <c r="P212" s="21">
        <v>0.0</v>
      </c>
      <c r="Q212" s="5">
        <v>0.0</v>
      </c>
      <c r="R212" s="22">
        <v>28953.0</v>
      </c>
      <c r="S212" s="5">
        <v>39.24699432</v>
      </c>
      <c r="T212" s="5">
        <v>-81.57783624</v>
      </c>
      <c r="U212" s="1">
        <v>1.0</v>
      </c>
      <c r="V212" s="5" t="s">
        <v>180</v>
      </c>
      <c r="W212" s="5">
        <v>0.0</v>
      </c>
      <c r="X212" s="5">
        <v>0.0</v>
      </c>
      <c r="Y212" s="5" t="s">
        <v>116</v>
      </c>
      <c r="Z212" s="24">
        <v>0.0</v>
      </c>
      <c r="AA212" s="25">
        <v>1.0</v>
      </c>
      <c r="AB212" s="25">
        <v>2.0</v>
      </c>
      <c r="AC212" s="15"/>
      <c r="AD212" s="38"/>
      <c r="AE212" s="26">
        <v>1.5</v>
      </c>
      <c r="AF212" s="26" t="str">
        <f t="shared" si="3"/>
        <v/>
      </c>
      <c r="AG212" s="16" t="str">
        <f t="shared" si="4"/>
        <v>Verify</v>
      </c>
      <c r="AH212" s="15" t="str">
        <f t="shared" si="5"/>
        <v>No</v>
      </c>
      <c r="AI212" s="32">
        <v>1.1</v>
      </c>
      <c r="AJ212" s="16" t="s">
        <v>230</v>
      </c>
      <c r="AK212" s="15"/>
      <c r="AL212" s="15"/>
      <c r="AM212" s="15"/>
      <c r="AN212" s="9"/>
      <c r="AO212" s="9">
        <f t="shared" si="21"/>
        <v>94</v>
      </c>
      <c r="AP212" s="9" t="str">
        <f t="shared" si="22"/>
        <v/>
      </c>
      <c r="AQ212" s="9">
        <f t="shared" si="23"/>
        <v>12.8</v>
      </c>
      <c r="AR212" s="9" t="str">
        <f t="shared" si="24"/>
        <v/>
      </c>
      <c r="AS212" s="16" t="s">
        <v>302</v>
      </c>
      <c r="AT212" s="15"/>
      <c r="AU212" s="15"/>
    </row>
    <row r="213" ht="15.75" customHeight="1">
      <c r="A213" s="15">
        <f t="shared" si="1"/>
        <v>54</v>
      </c>
      <c r="B213" s="15" t="str">
        <f t="shared" si="20"/>
        <v>Tier 3</v>
      </c>
      <c r="C213" s="15"/>
      <c r="D213" s="16" t="s">
        <v>141</v>
      </c>
      <c r="E213" s="15"/>
      <c r="F213" s="12" t="s">
        <v>2229</v>
      </c>
      <c r="G213" s="11" t="s">
        <v>2230</v>
      </c>
      <c r="H213" s="12" t="s">
        <v>1557</v>
      </c>
      <c r="I213" s="13" t="s">
        <v>839</v>
      </c>
      <c r="J213" s="17" t="s">
        <v>663</v>
      </c>
      <c r="K213" s="18">
        <v>35.0</v>
      </c>
      <c r="L213" s="18">
        <v>60.0</v>
      </c>
      <c r="M213" s="18">
        <v>41.7</v>
      </c>
      <c r="N213" s="78"/>
      <c r="O213" s="20">
        <v>1281.0</v>
      </c>
      <c r="P213" s="21">
        <v>0.0</v>
      </c>
      <c r="Q213" s="5">
        <v>51.1</v>
      </c>
      <c r="R213" s="22">
        <v>51341.0</v>
      </c>
      <c r="S213" s="5">
        <v>39.09828849</v>
      </c>
      <c r="T213" s="5">
        <v>-79.67618499</v>
      </c>
      <c r="U213" s="1">
        <v>10.0</v>
      </c>
      <c r="V213" s="5" t="s">
        <v>342</v>
      </c>
      <c r="W213" s="5">
        <v>3.0</v>
      </c>
      <c r="X213" s="5">
        <v>2.0</v>
      </c>
      <c r="Y213" s="5" t="s">
        <v>619</v>
      </c>
      <c r="Z213" s="24">
        <v>2.0</v>
      </c>
      <c r="AA213" s="25">
        <v>0.0</v>
      </c>
      <c r="AB213" s="25">
        <v>0.0</v>
      </c>
      <c r="AC213" s="16" t="s">
        <v>2231</v>
      </c>
      <c r="AD213" s="26">
        <v>0.09</v>
      </c>
      <c r="AE213" s="26">
        <v>4.7</v>
      </c>
      <c r="AF213" s="26">
        <f t="shared" si="3"/>
        <v>0</v>
      </c>
      <c r="AG213" s="16" t="str">
        <f t="shared" si="4"/>
        <v>No</v>
      </c>
      <c r="AH213" s="15" t="str">
        <f t="shared" si="5"/>
        <v>Yes</v>
      </c>
      <c r="AI213" s="32">
        <v>0.1</v>
      </c>
      <c r="AJ213" s="16" t="s">
        <v>230</v>
      </c>
      <c r="AK213" s="15"/>
      <c r="AL213" s="15"/>
      <c r="AM213" s="15"/>
      <c r="AN213" s="9"/>
      <c r="AO213" s="9">
        <f t="shared" si="21"/>
        <v>6.7</v>
      </c>
      <c r="AP213" s="9">
        <f t="shared" si="22"/>
        <v>40.3</v>
      </c>
      <c r="AQ213" s="9">
        <f t="shared" si="23"/>
        <v>35</v>
      </c>
      <c r="AR213" s="9">
        <f t="shared" si="24"/>
        <v>27.9</v>
      </c>
      <c r="AS213" s="16" t="s">
        <v>556</v>
      </c>
      <c r="AT213" s="15"/>
      <c r="AU213" s="15"/>
    </row>
    <row r="214" ht="15.75" customHeight="1">
      <c r="A214" s="15" t="str">
        <f t="shared" si="1"/>
        <v/>
      </c>
      <c r="B214" s="15" t="str">
        <f t="shared" si="20"/>
        <v/>
      </c>
      <c r="C214" s="15"/>
      <c r="D214" s="16" t="s">
        <v>141</v>
      </c>
      <c r="E214" s="15"/>
      <c r="F214" s="79" t="s">
        <v>2232</v>
      </c>
      <c r="G214" s="11" t="s">
        <v>2233</v>
      </c>
      <c r="H214" s="46" t="s">
        <v>1561</v>
      </c>
      <c r="I214" s="13" t="s">
        <v>433</v>
      </c>
      <c r="J214" s="17" t="s">
        <v>576</v>
      </c>
      <c r="K214" s="18">
        <v>32.0</v>
      </c>
      <c r="L214" s="18">
        <v>53.0</v>
      </c>
      <c r="M214" s="18">
        <v>55.3</v>
      </c>
      <c r="N214" s="78"/>
      <c r="O214" s="20">
        <v>0.0</v>
      </c>
      <c r="P214" s="21">
        <v>0.0</v>
      </c>
      <c r="Q214" s="5">
        <v>0.0</v>
      </c>
      <c r="R214" s="22">
        <v>45625.0</v>
      </c>
      <c r="S214" s="5">
        <v>39.53413091</v>
      </c>
      <c r="T214" s="5">
        <v>-78.456143</v>
      </c>
      <c r="U214" s="1">
        <v>2.0</v>
      </c>
      <c r="V214" s="5" t="s">
        <v>180</v>
      </c>
      <c r="W214" s="5">
        <v>0.0</v>
      </c>
      <c r="X214" s="5">
        <v>0.0</v>
      </c>
      <c r="Y214" s="5" t="s">
        <v>116</v>
      </c>
      <c r="Z214" s="24">
        <v>0.0</v>
      </c>
      <c r="AA214" s="37"/>
      <c r="AB214" s="37"/>
      <c r="AC214" s="15"/>
      <c r="AD214" s="38"/>
      <c r="AE214" s="26">
        <v>6.5</v>
      </c>
      <c r="AF214" s="26" t="str">
        <f t="shared" si="3"/>
        <v/>
      </c>
      <c r="AG214" s="16" t="str">
        <f t="shared" si="4"/>
        <v>Verify</v>
      </c>
      <c r="AH214" s="15" t="str">
        <f t="shared" si="5"/>
        <v>Verify</v>
      </c>
      <c r="AI214" s="32">
        <v>12.6</v>
      </c>
      <c r="AJ214" s="16" t="s">
        <v>230</v>
      </c>
      <c r="AK214" s="15"/>
      <c r="AL214" s="15"/>
      <c r="AM214" s="15"/>
      <c r="AN214" s="9"/>
      <c r="AO214" s="9">
        <f t="shared" si="21"/>
        <v>6.2</v>
      </c>
      <c r="AP214" s="9" t="str">
        <f t="shared" si="22"/>
        <v/>
      </c>
      <c r="AQ214" s="9">
        <f t="shared" si="23"/>
        <v>10.2</v>
      </c>
      <c r="AR214" s="9" t="str">
        <f t="shared" si="24"/>
        <v/>
      </c>
      <c r="AS214" s="16" t="s">
        <v>302</v>
      </c>
      <c r="AT214" s="15"/>
      <c r="AU214" s="15"/>
    </row>
    <row r="215" ht="15.75" customHeight="1">
      <c r="A215" s="15" t="str">
        <f t="shared" si="1"/>
        <v/>
      </c>
      <c r="B215" s="15" t="str">
        <f t="shared" si="20"/>
        <v/>
      </c>
      <c r="C215" s="15"/>
      <c r="D215" s="16" t="s">
        <v>141</v>
      </c>
      <c r="E215" s="15"/>
      <c r="F215" s="12" t="s">
        <v>2234</v>
      </c>
      <c r="G215" s="11" t="s">
        <v>2235</v>
      </c>
      <c r="H215" s="12" t="s">
        <v>1563</v>
      </c>
      <c r="I215" s="13" t="s">
        <v>726</v>
      </c>
      <c r="J215" s="17" t="s">
        <v>392</v>
      </c>
      <c r="K215" s="18">
        <v>16.0</v>
      </c>
      <c r="L215" s="18">
        <v>26.0</v>
      </c>
      <c r="M215" s="18">
        <v>14.8</v>
      </c>
      <c r="N215" s="78"/>
      <c r="O215" s="20">
        <v>64.0</v>
      </c>
      <c r="P215" s="21">
        <v>0.0</v>
      </c>
      <c r="Q215" s="5">
        <v>27.2</v>
      </c>
      <c r="R215" s="22">
        <v>32250.0</v>
      </c>
      <c r="S215" s="5">
        <v>37.34171094</v>
      </c>
      <c r="T215" s="5">
        <v>-81.72564048</v>
      </c>
      <c r="U215" s="1">
        <v>10.0</v>
      </c>
      <c r="V215" s="5" t="s">
        <v>342</v>
      </c>
      <c r="W215" s="5">
        <v>3.0</v>
      </c>
      <c r="X215" s="5">
        <v>4.0</v>
      </c>
      <c r="Y215" s="5" t="s">
        <v>1190</v>
      </c>
      <c r="Z215" s="24">
        <v>4.0</v>
      </c>
      <c r="AA215" s="37"/>
      <c r="AB215" s="37"/>
      <c r="AC215" s="15"/>
      <c r="AD215" s="38"/>
      <c r="AE215" s="26">
        <v>8.5</v>
      </c>
      <c r="AF215" s="26" t="str">
        <f t="shared" si="3"/>
        <v/>
      </c>
      <c r="AG215" s="16" t="str">
        <f t="shared" si="4"/>
        <v>Verify</v>
      </c>
      <c r="AH215" s="15" t="str">
        <f t="shared" si="5"/>
        <v>Verify</v>
      </c>
      <c r="AI215" s="32">
        <v>3.4</v>
      </c>
      <c r="AJ215" s="16" t="s">
        <v>230</v>
      </c>
      <c r="AK215" s="15"/>
      <c r="AL215" s="15"/>
      <c r="AM215" s="15"/>
      <c r="AN215" s="9"/>
      <c r="AO215" s="9">
        <f t="shared" si="21"/>
        <v>3.1</v>
      </c>
      <c r="AP215" s="9" t="str">
        <f t="shared" si="22"/>
        <v/>
      </c>
      <c r="AQ215" s="9">
        <f t="shared" si="23"/>
        <v>16.7</v>
      </c>
      <c r="AR215" s="9" t="str">
        <f t="shared" si="24"/>
        <v/>
      </c>
      <c r="AS215" s="16" t="s">
        <v>302</v>
      </c>
      <c r="AT215" s="15"/>
      <c r="AU215" s="15"/>
    </row>
    <row r="216" ht="15.75" customHeight="1">
      <c r="A216" s="15" t="str">
        <f t="shared" si="1"/>
        <v/>
      </c>
      <c r="B216" s="15" t="str">
        <f t="shared" si="20"/>
        <v/>
      </c>
      <c r="C216" s="15"/>
      <c r="D216" s="16" t="s">
        <v>141</v>
      </c>
      <c r="E216" s="15"/>
      <c r="F216" s="12" t="s">
        <v>2236</v>
      </c>
      <c r="G216" s="11" t="s">
        <v>2237</v>
      </c>
      <c r="H216" s="12">
        <v>25547.0</v>
      </c>
      <c r="I216" s="13" t="s">
        <v>153</v>
      </c>
      <c r="J216" s="17" t="s">
        <v>392</v>
      </c>
      <c r="K216" s="18">
        <v>10.0</v>
      </c>
      <c r="L216" s="18">
        <v>17.0</v>
      </c>
      <c r="M216" s="18">
        <v>0.0</v>
      </c>
      <c r="N216" s="78"/>
      <c r="O216" s="40"/>
      <c r="P216" s="21">
        <v>8.0</v>
      </c>
      <c r="Q216" s="41"/>
      <c r="R216" s="35"/>
      <c r="S216" s="5">
        <v>37.92925906</v>
      </c>
      <c r="T216" s="5">
        <v>-81.98162511</v>
      </c>
      <c r="U216" s="1">
        <v>8.0</v>
      </c>
      <c r="V216" s="5" t="s">
        <v>1254</v>
      </c>
      <c r="W216" s="5">
        <v>2.0</v>
      </c>
      <c r="X216" s="5">
        <v>0.0</v>
      </c>
      <c r="Y216" s="5" t="s">
        <v>116</v>
      </c>
      <c r="Z216" s="24">
        <v>0.0</v>
      </c>
      <c r="AA216" s="25">
        <v>0.0</v>
      </c>
      <c r="AB216" s="25">
        <v>0.0</v>
      </c>
      <c r="AC216" s="16" t="s">
        <v>1527</v>
      </c>
      <c r="AD216" s="26">
        <v>23.28</v>
      </c>
      <c r="AE216" s="26">
        <v>2.1</v>
      </c>
      <c r="AF216" s="26">
        <f t="shared" si="3"/>
        <v>21.18</v>
      </c>
      <c r="AG216" s="16" t="str">
        <f t="shared" si="4"/>
        <v>Yes</v>
      </c>
      <c r="AH216" s="15" t="str">
        <f t="shared" si="5"/>
        <v>Yes</v>
      </c>
      <c r="AI216" s="32">
        <v>3.7</v>
      </c>
      <c r="AJ216" s="16" t="s">
        <v>230</v>
      </c>
      <c r="AK216" s="15"/>
      <c r="AL216" s="15"/>
      <c r="AM216" s="15"/>
      <c r="AN216" s="9"/>
      <c r="AO216" s="9">
        <f t="shared" si="21"/>
        <v>1.9</v>
      </c>
      <c r="AP216" s="9">
        <f t="shared" si="22"/>
        <v>100</v>
      </c>
      <c r="AQ216" s="9" t="str">
        <f t="shared" si="23"/>
        <v/>
      </c>
      <c r="AR216" s="9" t="str">
        <f t="shared" si="24"/>
        <v/>
      </c>
      <c r="AS216" s="16" t="s">
        <v>302</v>
      </c>
      <c r="AT216" s="15"/>
      <c r="AU216" s="15"/>
    </row>
    <row r="217" ht="15.75" customHeight="1">
      <c r="A217" s="15">
        <f t="shared" si="1"/>
        <v>68</v>
      </c>
      <c r="B217" s="15" t="str">
        <f t="shared" si="20"/>
        <v>Tier 3</v>
      </c>
      <c r="C217" s="15"/>
      <c r="D217" s="16" t="s">
        <v>141</v>
      </c>
      <c r="E217" s="15"/>
      <c r="F217" s="12" t="s">
        <v>2238</v>
      </c>
      <c r="G217" s="11" t="s">
        <v>2239</v>
      </c>
      <c r="H217" s="12" t="s">
        <v>1568</v>
      </c>
      <c r="I217" s="13" t="s">
        <v>826</v>
      </c>
      <c r="J217" s="17" t="s">
        <v>439</v>
      </c>
      <c r="K217" s="18">
        <v>38.0</v>
      </c>
      <c r="L217" s="18">
        <v>56.0</v>
      </c>
      <c r="M217" s="18">
        <v>45.8</v>
      </c>
      <c r="N217" s="78"/>
      <c r="O217" s="20">
        <v>39.0</v>
      </c>
      <c r="P217" s="21">
        <v>126.0</v>
      </c>
      <c r="Q217" s="5">
        <v>6.1</v>
      </c>
      <c r="R217" s="22">
        <v>34138.0</v>
      </c>
      <c r="S217" s="5">
        <v>39.28485146</v>
      </c>
      <c r="T217" s="5">
        <v>-80.97438644</v>
      </c>
      <c r="U217" s="1">
        <v>10.0</v>
      </c>
      <c r="V217" s="5" t="s">
        <v>342</v>
      </c>
      <c r="W217" s="5">
        <v>3.0</v>
      </c>
      <c r="X217" s="5">
        <v>0.0</v>
      </c>
      <c r="Y217" s="5" t="s">
        <v>116</v>
      </c>
      <c r="Z217" s="24">
        <v>0.0</v>
      </c>
      <c r="AA217" s="25">
        <v>2.0</v>
      </c>
      <c r="AB217" s="25">
        <v>4.0</v>
      </c>
      <c r="AC217" s="16" t="s">
        <v>1991</v>
      </c>
      <c r="AD217" s="26">
        <v>6.0</v>
      </c>
      <c r="AE217" s="26">
        <v>1.9</v>
      </c>
      <c r="AF217" s="26">
        <f t="shared" si="3"/>
        <v>4.1</v>
      </c>
      <c r="AG217" s="16" t="str">
        <f t="shared" si="4"/>
        <v>No</v>
      </c>
      <c r="AH217" s="15" t="str">
        <f t="shared" si="5"/>
        <v>No</v>
      </c>
      <c r="AI217" s="32">
        <v>6.0</v>
      </c>
      <c r="AJ217" s="16" t="s">
        <v>230</v>
      </c>
      <c r="AK217" s="15"/>
      <c r="AL217" s="15"/>
      <c r="AM217" s="15"/>
      <c r="AN217" s="9"/>
      <c r="AO217" s="9">
        <f t="shared" si="21"/>
        <v>7.3</v>
      </c>
      <c r="AP217" s="9">
        <f t="shared" si="22"/>
        <v>42</v>
      </c>
      <c r="AQ217" s="9">
        <f t="shared" si="23"/>
        <v>17.2</v>
      </c>
      <c r="AR217" s="9">
        <f t="shared" si="24"/>
        <v>24.9</v>
      </c>
      <c r="AS217" s="16" t="s">
        <v>556</v>
      </c>
      <c r="AT217" s="15"/>
      <c r="AU217" s="15"/>
    </row>
    <row r="218" ht="15.75" customHeight="1">
      <c r="A218" s="15">
        <f t="shared" si="1"/>
        <v>64</v>
      </c>
      <c r="B218" s="15" t="str">
        <f t="shared" si="20"/>
        <v>Tier 3</v>
      </c>
      <c r="C218" s="15"/>
      <c r="D218" s="16" t="s">
        <v>141</v>
      </c>
      <c r="E218" s="15"/>
      <c r="F218" s="12" t="s">
        <v>2240</v>
      </c>
      <c r="G218" s="11" t="s">
        <v>2241</v>
      </c>
      <c r="H218" s="12" t="s">
        <v>1571</v>
      </c>
      <c r="I218" s="13" t="s">
        <v>717</v>
      </c>
      <c r="J218" s="17" t="s">
        <v>663</v>
      </c>
      <c r="K218" s="18">
        <v>135.0</v>
      </c>
      <c r="L218" s="18">
        <v>201.0</v>
      </c>
      <c r="M218" s="18">
        <v>161.2</v>
      </c>
      <c r="N218" s="78"/>
      <c r="O218" s="20">
        <v>218.0</v>
      </c>
      <c r="P218" s="21">
        <v>26.0</v>
      </c>
      <c r="Q218" s="5">
        <v>6.0</v>
      </c>
      <c r="R218" s="22">
        <v>73719.0</v>
      </c>
      <c r="S218" s="5">
        <v>38.99107279</v>
      </c>
      <c r="T218" s="5">
        <v>-79.12514355</v>
      </c>
      <c r="U218" s="1">
        <v>10.0</v>
      </c>
      <c r="V218" s="5" t="s">
        <v>342</v>
      </c>
      <c r="W218" s="5">
        <v>3.0</v>
      </c>
      <c r="X218" s="5">
        <v>4.0</v>
      </c>
      <c r="Y218" s="5" t="s">
        <v>1190</v>
      </c>
      <c r="Z218" s="24">
        <v>4.0</v>
      </c>
      <c r="AA218" s="25">
        <v>1.0</v>
      </c>
      <c r="AB218" s="25">
        <v>2.0</v>
      </c>
      <c r="AC218" s="16" t="s">
        <v>2242</v>
      </c>
      <c r="AD218" s="26">
        <v>0.65</v>
      </c>
      <c r="AE218" s="26">
        <v>2.0</v>
      </c>
      <c r="AF218" s="26">
        <f t="shared" si="3"/>
        <v>0</v>
      </c>
      <c r="AG218" s="16" t="str">
        <f t="shared" si="4"/>
        <v>No</v>
      </c>
      <c r="AH218" s="15" t="str">
        <f t="shared" si="5"/>
        <v>No</v>
      </c>
      <c r="AI218" s="32">
        <v>0.6</v>
      </c>
      <c r="AJ218" s="16" t="s">
        <v>230</v>
      </c>
      <c r="AK218" s="15"/>
      <c r="AL218" s="15"/>
      <c r="AM218" s="15"/>
      <c r="AN218" s="9"/>
      <c r="AO218" s="9">
        <f t="shared" si="21"/>
        <v>26</v>
      </c>
      <c r="AP218" s="9">
        <f t="shared" si="22"/>
        <v>34</v>
      </c>
      <c r="AQ218" s="9">
        <f t="shared" si="23"/>
        <v>11.2</v>
      </c>
      <c r="AR218" s="9">
        <f t="shared" si="24"/>
        <v>26.3</v>
      </c>
      <c r="AS218" s="16" t="s">
        <v>556</v>
      </c>
      <c r="AT218" s="15"/>
      <c r="AU218" s="15"/>
    </row>
    <row r="219" ht="15.75" customHeight="1">
      <c r="A219" s="15" t="str">
        <f t="shared" si="1"/>
        <v/>
      </c>
      <c r="B219" s="15" t="str">
        <f t="shared" si="20"/>
        <v/>
      </c>
      <c r="C219" s="15"/>
      <c r="D219" s="16" t="s">
        <v>141</v>
      </c>
      <c r="E219" s="15"/>
      <c r="F219" s="12" t="s">
        <v>2243</v>
      </c>
      <c r="G219" s="11" t="s">
        <v>2244</v>
      </c>
      <c r="H219" s="12">
        <v>24963.0</v>
      </c>
      <c r="I219" s="13" t="s">
        <v>982</v>
      </c>
      <c r="J219" s="17" t="s">
        <v>392</v>
      </c>
      <c r="K219" s="18">
        <v>52.0</v>
      </c>
      <c r="L219" s="18">
        <v>86.0</v>
      </c>
      <c r="M219" s="18">
        <v>64.7</v>
      </c>
      <c r="N219" s="78"/>
      <c r="O219" s="20">
        <v>28.0</v>
      </c>
      <c r="P219" s="21">
        <v>47.0</v>
      </c>
      <c r="Q219" s="5">
        <v>28.4</v>
      </c>
      <c r="R219" s="22">
        <v>19938.0</v>
      </c>
      <c r="S219" s="5">
        <v>37.45191556</v>
      </c>
      <c r="T219" s="5">
        <v>-80.77965204</v>
      </c>
      <c r="U219" s="1">
        <v>10.0</v>
      </c>
      <c r="V219" s="5" t="s">
        <v>342</v>
      </c>
      <c r="W219" s="5">
        <v>3.0</v>
      </c>
      <c r="X219" s="5">
        <v>0.0</v>
      </c>
      <c r="Y219" s="5" t="s">
        <v>116</v>
      </c>
      <c r="Z219" s="24">
        <v>0.0</v>
      </c>
      <c r="AA219" s="37"/>
      <c r="AB219" s="37"/>
      <c r="AC219" s="16" t="s">
        <v>543</v>
      </c>
      <c r="AD219" s="26">
        <v>15.83</v>
      </c>
      <c r="AE219" s="26">
        <v>1.6</v>
      </c>
      <c r="AF219" s="26">
        <f t="shared" si="3"/>
        <v>14.23</v>
      </c>
      <c r="AG219" s="16" t="str">
        <f t="shared" si="4"/>
        <v>Yes</v>
      </c>
      <c r="AH219" s="15" t="str">
        <f t="shared" si="5"/>
        <v>Verify</v>
      </c>
      <c r="AI219" s="32">
        <v>5.4</v>
      </c>
      <c r="AJ219" s="16" t="s">
        <v>230</v>
      </c>
      <c r="AK219" s="15"/>
      <c r="AL219" s="15"/>
      <c r="AM219" s="15"/>
      <c r="AN219" s="9"/>
      <c r="AO219" s="9">
        <f t="shared" si="21"/>
        <v>10</v>
      </c>
      <c r="AP219" s="9" t="str">
        <f t="shared" si="22"/>
        <v/>
      </c>
      <c r="AQ219" s="9">
        <f t="shared" si="23"/>
        <v>19.5</v>
      </c>
      <c r="AR219" s="9" t="str">
        <f t="shared" si="24"/>
        <v/>
      </c>
      <c r="AS219" s="16" t="s">
        <v>302</v>
      </c>
      <c r="AT219" s="15"/>
      <c r="AU219" s="15"/>
    </row>
    <row r="220" ht="15.75" customHeight="1">
      <c r="A220" s="15" t="str">
        <f t="shared" si="1"/>
        <v/>
      </c>
      <c r="B220" s="15" t="str">
        <f t="shared" si="20"/>
        <v/>
      </c>
      <c r="C220" s="15"/>
      <c r="D220" s="16" t="s">
        <v>141</v>
      </c>
      <c r="E220" s="15"/>
      <c r="F220" s="12" t="s">
        <v>2245</v>
      </c>
      <c r="G220" s="11" t="s">
        <v>2246</v>
      </c>
      <c r="H220" s="12" t="s">
        <v>1578</v>
      </c>
      <c r="I220" s="13" t="s">
        <v>467</v>
      </c>
      <c r="J220" s="17" t="s">
        <v>663</v>
      </c>
      <c r="K220" s="18">
        <v>104.0</v>
      </c>
      <c r="L220" s="18">
        <v>158.0</v>
      </c>
      <c r="M220" s="18">
        <v>164.3</v>
      </c>
      <c r="N220" s="78"/>
      <c r="O220" s="40"/>
      <c r="P220" s="21">
        <v>0.0</v>
      </c>
      <c r="Q220" s="41"/>
      <c r="R220" s="35"/>
      <c r="S220" s="5">
        <v>39.14497454</v>
      </c>
      <c r="T220" s="5">
        <v>-80.03573307</v>
      </c>
      <c r="U220" s="1">
        <v>10.0</v>
      </c>
      <c r="V220" s="41"/>
      <c r="W220" s="5">
        <v>3.0</v>
      </c>
      <c r="X220" s="5">
        <v>0.0</v>
      </c>
      <c r="Y220" s="5" t="s">
        <v>116</v>
      </c>
      <c r="Z220" s="24">
        <v>0.0</v>
      </c>
      <c r="AA220" s="25">
        <v>1.0</v>
      </c>
      <c r="AB220" s="25">
        <v>2.0</v>
      </c>
      <c r="AC220" s="15"/>
      <c r="AD220" s="38"/>
      <c r="AE220" s="26">
        <v>1.1</v>
      </c>
      <c r="AF220" s="26" t="str">
        <f t="shared" si="3"/>
        <v/>
      </c>
      <c r="AG220" s="16" t="str">
        <f t="shared" si="4"/>
        <v>Verify</v>
      </c>
      <c r="AH220" s="15" t="str">
        <f t="shared" si="5"/>
        <v>No</v>
      </c>
      <c r="AI220" s="32">
        <v>0.0</v>
      </c>
      <c r="AJ220" s="16" t="s">
        <v>230</v>
      </c>
      <c r="AK220" s="15"/>
      <c r="AL220" s="15"/>
      <c r="AM220" s="15"/>
      <c r="AN220" s="9"/>
      <c r="AO220" s="9">
        <f t="shared" si="21"/>
        <v>20</v>
      </c>
      <c r="AP220" s="9" t="str">
        <f t="shared" si="22"/>
        <v/>
      </c>
      <c r="AQ220" s="9" t="str">
        <f t="shared" si="23"/>
        <v/>
      </c>
      <c r="AR220" s="9" t="str">
        <f t="shared" si="24"/>
        <v/>
      </c>
      <c r="AS220" s="16" t="s">
        <v>302</v>
      </c>
      <c r="AT220" s="15"/>
      <c r="AU220" s="15"/>
    </row>
    <row r="221" ht="15.75" customHeight="1">
      <c r="A221" s="15" t="str">
        <f t="shared" si="1"/>
        <v/>
      </c>
      <c r="B221" s="15" t="str">
        <f t="shared" si="20"/>
        <v/>
      </c>
      <c r="C221" s="15"/>
      <c r="D221" s="16" t="s">
        <v>141</v>
      </c>
      <c r="E221" s="15"/>
      <c r="F221" s="12" t="s">
        <v>2247</v>
      </c>
      <c r="G221" s="11" t="s">
        <v>2248</v>
      </c>
      <c r="H221" s="12">
        <v>26419.0</v>
      </c>
      <c r="I221" s="13" t="s">
        <v>263</v>
      </c>
      <c r="J221" s="17" t="s">
        <v>1133</v>
      </c>
      <c r="K221" s="18">
        <v>19.0</v>
      </c>
      <c r="L221" s="18">
        <v>28.0</v>
      </c>
      <c r="M221" s="18">
        <v>22.1</v>
      </c>
      <c r="N221" s="78"/>
      <c r="O221" s="20">
        <v>37.0</v>
      </c>
      <c r="P221" s="21">
        <v>12.0</v>
      </c>
      <c r="Q221" s="5">
        <v>4.9</v>
      </c>
      <c r="R221" s="35"/>
      <c r="S221" s="5">
        <v>39.56325476</v>
      </c>
      <c r="T221" s="5">
        <v>-80.69415105</v>
      </c>
      <c r="U221" s="1">
        <v>10.0</v>
      </c>
      <c r="V221" s="5" t="s">
        <v>342</v>
      </c>
      <c r="W221" s="5">
        <v>3.0</v>
      </c>
      <c r="X221" s="5">
        <v>0.0</v>
      </c>
      <c r="Y221" s="5" t="s">
        <v>116</v>
      </c>
      <c r="Z221" s="24">
        <v>0.0</v>
      </c>
      <c r="AA221" s="25">
        <v>0.0</v>
      </c>
      <c r="AB221" s="25">
        <v>0.0</v>
      </c>
      <c r="AC221" s="15"/>
      <c r="AD221" s="38"/>
      <c r="AE221" s="26">
        <v>4.0</v>
      </c>
      <c r="AF221" s="26" t="str">
        <f t="shared" si="3"/>
        <v/>
      </c>
      <c r="AG221" s="16" t="str">
        <f t="shared" si="4"/>
        <v>Verify</v>
      </c>
      <c r="AH221" s="15" t="str">
        <f t="shared" si="5"/>
        <v>Yes</v>
      </c>
      <c r="AI221" s="32">
        <v>10.6</v>
      </c>
      <c r="AJ221" s="16" t="s">
        <v>230</v>
      </c>
      <c r="AK221" s="15"/>
      <c r="AL221" s="15"/>
      <c r="AM221" s="15"/>
      <c r="AN221" s="9"/>
      <c r="AO221" s="9">
        <f t="shared" si="21"/>
        <v>3.7</v>
      </c>
      <c r="AP221" s="9" t="str">
        <f t="shared" si="22"/>
        <v/>
      </c>
      <c r="AQ221" s="9" t="str">
        <f t="shared" si="23"/>
        <v/>
      </c>
      <c r="AR221" s="9" t="str">
        <f t="shared" si="24"/>
        <v/>
      </c>
      <c r="AS221" s="16" t="s">
        <v>302</v>
      </c>
      <c r="AT221" s="15"/>
      <c r="AU221" s="15"/>
    </row>
    <row r="222" ht="15.75" customHeight="1">
      <c r="A222" s="15" t="str">
        <f t="shared" si="1"/>
        <v/>
      </c>
      <c r="B222" s="15" t="str">
        <f t="shared" si="20"/>
        <v/>
      </c>
      <c r="C222" s="15"/>
      <c r="D222" s="16" t="s">
        <v>141</v>
      </c>
      <c r="E222" s="15"/>
      <c r="F222" s="12" t="s">
        <v>2249</v>
      </c>
      <c r="G222" s="11" t="s">
        <v>2250</v>
      </c>
      <c r="H222" s="12" t="s">
        <v>1582</v>
      </c>
      <c r="I222" s="13" t="s">
        <v>895</v>
      </c>
      <c r="J222" s="17" t="s">
        <v>392</v>
      </c>
      <c r="K222" s="18">
        <v>32.0</v>
      </c>
      <c r="L222" s="18">
        <v>48.0</v>
      </c>
      <c r="M222" s="18">
        <v>111.0</v>
      </c>
      <c r="N222" s="78"/>
      <c r="O222" s="40"/>
      <c r="P222" s="21">
        <v>16.0</v>
      </c>
      <c r="Q222" s="5">
        <v>0.0</v>
      </c>
      <c r="R222" s="35"/>
      <c r="S222" s="5">
        <v>37.60056678</v>
      </c>
      <c r="T222" s="5">
        <v>-81.53275602</v>
      </c>
      <c r="U222" s="1">
        <v>10.0</v>
      </c>
      <c r="V222" s="5" t="s">
        <v>342</v>
      </c>
      <c r="W222" s="5">
        <v>3.0</v>
      </c>
      <c r="X222" s="5">
        <v>0.0</v>
      </c>
      <c r="Y222" s="5" t="s">
        <v>116</v>
      </c>
      <c r="Z222" s="24">
        <v>0.0</v>
      </c>
      <c r="AA222" s="25">
        <v>5.0</v>
      </c>
      <c r="AB222" s="25">
        <v>7.0</v>
      </c>
      <c r="AC222" s="16" t="s">
        <v>2182</v>
      </c>
      <c r="AD222" s="26">
        <v>8.8</v>
      </c>
      <c r="AE222" s="26">
        <v>0.1</v>
      </c>
      <c r="AF222" s="26">
        <f t="shared" si="3"/>
        <v>8.7</v>
      </c>
      <c r="AG222" s="16" t="str">
        <f t="shared" si="4"/>
        <v>No</v>
      </c>
      <c r="AH222" s="15" t="str">
        <f t="shared" si="5"/>
        <v>No</v>
      </c>
      <c r="AI222" s="32">
        <v>0.9</v>
      </c>
      <c r="AJ222" s="16" t="s">
        <v>230</v>
      </c>
      <c r="AK222" s="15"/>
      <c r="AL222" s="15"/>
      <c r="AM222" s="15"/>
      <c r="AN222" s="9"/>
      <c r="AO222" s="9">
        <f t="shared" si="21"/>
        <v>6.2</v>
      </c>
      <c r="AP222" s="9">
        <f t="shared" si="22"/>
        <v>30.9</v>
      </c>
      <c r="AQ222" s="9" t="str">
        <f t="shared" si="23"/>
        <v/>
      </c>
      <c r="AR222" s="9" t="str">
        <f t="shared" si="24"/>
        <v/>
      </c>
      <c r="AS222" s="16" t="s">
        <v>302</v>
      </c>
      <c r="AT222" s="15"/>
      <c r="AU222" s="15"/>
    </row>
    <row r="223" ht="15.75" customHeight="1">
      <c r="A223" s="15">
        <f t="shared" si="1"/>
        <v>84</v>
      </c>
      <c r="B223" s="15" t="str">
        <f t="shared" si="20"/>
        <v>Tier 3</v>
      </c>
      <c r="C223" s="15"/>
      <c r="D223" s="16" t="s">
        <v>141</v>
      </c>
      <c r="E223" s="15"/>
      <c r="F223" s="12" t="s">
        <v>2251</v>
      </c>
      <c r="G223" s="11" t="s">
        <v>2252</v>
      </c>
      <c r="H223" s="12" t="s">
        <v>1586</v>
      </c>
      <c r="I223" s="13" t="s">
        <v>218</v>
      </c>
      <c r="J223" s="17" t="s">
        <v>715</v>
      </c>
      <c r="K223" s="18">
        <v>70.0</v>
      </c>
      <c r="L223" s="18">
        <v>109.0</v>
      </c>
      <c r="M223" s="18">
        <v>75.9</v>
      </c>
      <c r="N223" s="78"/>
      <c r="O223" s="20">
        <v>0.0</v>
      </c>
      <c r="P223" s="21">
        <v>0.0</v>
      </c>
      <c r="Q223" s="5">
        <v>0.0</v>
      </c>
      <c r="R223" s="22">
        <v>48768.0</v>
      </c>
      <c r="S223" s="5">
        <v>38.47297785</v>
      </c>
      <c r="T223" s="5">
        <v>-81.81410069</v>
      </c>
      <c r="U223" s="1">
        <v>1.0</v>
      </c>
      <c r="V223" s="41"/>
      <c r="W223" s="5">
        <v>0.0</v>
      </c>
      <c r="X223" s="5">
        <v>0.0</v>
      </c>
      <c r="Y223" s="5" t="s">
        <v>116</v>
      </c>
      <c r="Z223" s="24">
        <v>0.0</v>
      </c>
      <c r="AA223" s="25">
        <v>3.0</v>
      </c>
      <c r="AB223" s="25">
        <v>5.0</v>
      </c>
      <c r="AC223" s="16" t="s">
        <v>1384</v>
      </c>
      <c r="AD223" s="26">
        <v>3.55</v>
      </c>
      <c r="AE223" s="26">
        <v>3.8</v>
      </c>
      <c r="AF223" s="26">
        <f t="shared" si="3"/>
        <v>0</v>
      </c>
      <c r="AG223" s="16" t="str">
        <f t="shared" si="4"/>
        <v>No</v>
      </c>
      <c r="AH223" s="15" t="str">
        <f t="shared" si="5"/>
        <v>No</v>
      </c>
      <c r="AI223" s="32">
        <v>0.1</v>
      </c>
      <c r="AJ223" s="16" t="s">
        <v>230</v>
      </c>
      <c r="AK223" s="15"/>
      <c r="AL223" s="15"/>
      <c r="AM223" s="15"/>
      <c r="AN223" s="9"/>
      <c r="AO223" s="9">
        <f t="shared" si="21"/>
        <v>13.5</v>
      </c>
      <c r="AP223" s="9">
        <f t="shared" si="22"/>
        <v>28.2</v>
      </c>
      <c r="AQ223" s="9">
        <f t="shared" si="23"/>
        <v>9.8</v>
      </c>
      <c r="AR223" s="9">
        <f t="shared" si="24"/>
        <v>19.2</v>
      </c>
      <c r="AS223" s="16" t="s">
        <v>556</v>
      </c>
      <c r="AT223" s="15"/>
      <c r="AU223" s="15"/>
    </row>
    <row r="224" ht="15.75" customHeight="1">
      <c r="A224" s="15" t="str">
        <f t="shared" si="1"/>
        <v/>
      </c>
      <c r="B224" s="15" t="str">
        <f t="shared" si="20"/>
        <v/>
      </c>
      <c r="C224" s="15"/>
      <c r="D224" s="16" t="s">
        <v>141</v>
      </c>
      <c r="E224" s="15"/>
      <c r="F224" s="12" t="s">
        <v>2253</v>
      </c>
      <c r="G224" s="11" t="s">
        <v>2254</v>
      </c>
      <c r="H224" s="12" t="s">
        <v>1588</v>
      </c>
      <c r="I224" s="13" t="s">
        <v>168</v>
      </c>
      <c r="J224" s="17" t="s">
        <v>439</v>
      </c>
      <c r="K224" s="18">
        <v>110.0</v>
      </c>
      <c r="L224" s="18">
        <v>168.0</v>
      </c>
      <c r="M224" s="18">
        <v>315.9</v>
      </c>
      <c r="N224" s="78"/>
      <c r="O224" s="20">
        <v>44.0</v>
      </c>
      <c r="P224" s="21">
        <v>0.0</v>
      </c>
      <c r="Q224" s="5">
        <v>3.2</v>
      </c>
      <c r="R224" s="35"/>
      <c r="S224" s="5">
        <v>38.84548269</v>
      </c>
      <c r="T224" s="5">
        <v>-82.0663537</v>
      </c>
      <c r="U224" s="1">
        <v>5.0</v>
      </c>
      <c r="V224" s="5" t="s">
        <v>540</v>
      </c>
      <c r="W224" s="5">
        <v>1.0</v>
      </c>
      <c r="X224" s="5">
        <v>0.0</v>
      </c>
      <c r="Y224" s="5" t="s">
        <v>116</v>
      </c>
      <c r="Z224" s="24">
        <v>0.0</v>
      </c>
      <c r="AA224" s="25">
        <v>4.0</v>
      </c>
      <c r="AB224" s="25">
        <v>6.0</v>
      </c>
      <c r="AC224" s="16" t="s">
        <v>1720</v>
      </c>
      <c r="AD224" s="26">
        <v>3.87</v>
      </c>
      <c r="AE224" s="26">
        <v>1.2</v>
      </c>
      <c r="AF224" s="26">
        <f t="shared" si="3"/>
        <v>2.67</v>
      </c>
      <c r="AG224" s="16" t="str">
        <f t="shared" si="4"/>
        <v>No</v>
      </c>
      <c r="AH224" s="15" t="str">
        <f t="shared" si="5"/>
        <v>No</v>
      </c>
      <c r="AI224" s="32">
        <v>3.8</v>
      </c>
      <c r="AJ224" s="16" t="s">
        <v>230</v>
      </c>
      <c r="AK224" s="15"/>
      <c r="AL224" s="15"/>
      <c r="AM224" s="15"/>
      <c r="AN224" s="9"/>
      <c r="AO224" s="9">
        <f t="shared" si="21"/>
        <v>21.2</v>
      </c>
      <c r="AP224" s="9">
        <f t="shared" si="22"/>
        <v>22.6</v>
      </c>
      <c r="AQ224" s="9" t="str">
        <f t="shared" si="23"/>
        <v/>
      </c>
      <c r="AR224" s="9" t="str">
        <f t="shared" si="24"/>
        <v/>
      </c>
      <c r="AS224" s="16" t="s">
        <v>302</v>
      </c>
      <c r="AT224" s="15"/>
      <c r="AU224" s="15"/>
    </row>
    <row r="225" ht="15.75" customHeight="1">
      <c r="A225" s="15" t="str">
        <f t="shared" si="1"/>
        <v/>
      </c>
      <c r="B225" s="15" t="str">
        <f t="shared" si="20"/>
        <v/>
      </c>
      <c r="C225" s="15"/>
      <c r="D225" s="16" t="s">
        <v>420</v>
      </c>
      <c r="E225" s="16" t="s">
        <v>230</v>
      </c>
      <c r="F225" s="12" t="s">
        <v>2255</v>
      </c>
      <c r="G225" s="11" t="s">
        <v>2256</v>
      </c>
      <c r="H225" s="12" t="s">
        <v>1590</v>
      </c>
      <c r="I225" s="13" t="s">
        <v>168</v>
      </c>
      <c r="J225" s="17" t="s">
        <v>439</v>
      </c>
      <c r="K225" s="18">
        <v>110.0</v>
      </c>
      <c r="L225" s="18">
        <v>168.0</v>
      </c>
      <c r="M225" s="18">
        <v>315.9</v>
      </c>
      <c r="N225" s="78"/>
      <c r="O225" s="20">
        <v>44.0</v>
      </c>
      <c r="P225" s="21">
        <v>0.0</v>
      </c>
      <c r="Q225" s="5">
        <v>3.2</v>
      </c>
      <c r="R225" s="35"/>
      <c r="S225" s="5">
        <v>38.8830577</v>
      </c>
      <c r="T225" s="5">
        <v>-82.12442953</v>
      </c>
      <c r="U225" s="1">
        <v>5.0</v>
      </c>
      <c r="V225" s="5" t="s">
        <v>540</v>
      </c>
      <c r="W225" s="5">
        <v>1.0</v>
      </c>
      <c r="X225" s="5">
        <v>0.0</v>
      </c>
      <c r="Y225" s="5" t="s">
        <v>116</v>
      </c>
      <c r="Z225" s="24">
        <v>0.0</v>
      </c>
      <c r="AA225" s="25">
        <v>4.0</v>
      </c>
      <c r="AB225" s="25">
        <v>6.0</v>
      </c>
      <c r="AC225" s="15"/>
      <c r="AD225" s="38"/>
      <c r="AE225" s="26">
        <v>3.4</v>
      </c>
      <c r="AF225" s="26" t="str">
        <f t="shared" si="3"/>
        <v/>
      </c>
      <c r="AG225" s="16" t="str">
        <f t="shared" si="4"/>
        <v>Verify</v>
      </c>
      <c r="AH225" s="15" t="str">
        <f t="shared" si="5"/>
        <v>No</v>
      </c>
      <c r="AI225" s="32">
        <v>3.0</v>
      </c>
      <c r="AJ225" s="16" t="s">
        <v>230</v>
      </c>
      <c r="AK225" s="15"/>
      <c r="AL225" s="15"/>
      <c r="AM225" s="15"/>
      <c r="AN225" s="9"/>
      <c r="AO225" s="9">
        <f t="shared" si="21"/>
        <v>21.2</v>
      </c>
      <c r="AP225" s="9" t="str">
        <f t="shared" si="22"/>
        <v/>
      </c>
      <c r="AQ225" s="9" t="str">
        <f t="shared" si="23"/>
        <v/>
      </c>
      <c r="AR225" s="9" t="str">
        <f t="shared" si="24"/>
        <v/>
      </c>
      <c r="AS225" s="16" t="s">
        <v>302</v>
      </c>
      <c r="AT225" s="15"/>
      <c r="AU225" s="15"/>
    </row>
    <row r="226" ht="15.75" customHeight="1">
      <c r="A226" s="15" t="str">
        <f t="shared" si="1"/>
        <v/>
      </c>
      <c r="B226" s="15" t="str">
        <f t="shared" si="20"/>
        <v/>
      </c>
      <c r="C226" s="15"/>
      <c r="D226" s="16" t="s">
        <v>141</v>
      </c>
      <c r="E226" s="15"/>
      <c r="F226" s="12" t="s">
        <v>2257</v>
      </c>
      <c r="G226" s="11" t="s">
        <v>2258</v>
      </c>
      <c r="H226" s="12" t="s">
        <v>1592</v>
      </c>
      <c r="I226" s="13" t="s">
        <v>168</v>
      </c>
      <c r="J226" s="17" t="s">
        <v>439</v>
      </c>
      <c r="K226" s="18">
        <v>110.0</v>
      </c>
      <c r="L226" s="18">
        <v>168.0</v>
      </c>
      <c r="M226" s="18">
        <v>315.9</v>
      </c>
      <c r="N226" s="78"/>
      <c r="O226" s="20">
        <v>44.0</v>
      </c>
      <c r="P226" s="21">
        <v>0.0</v>
      </c>
      <c r="Q226" s="5">
        <v>3.2</v>
      </c>
      <c r="R226" s="35"/>
      <c r="S226" s="5">
        <v>38.84789344</v>
      </c>
      <c r="T226" s="5">
        <v>-82.1365169</v>
      </c>
      <c r="U226" s="1">
        <v>5.0</v>
      </c>
      <c r="V226" s="5" t="s">
        <v>540</v>
      </c>
      <c r="W226" s="5">
        <v>1.0</v>
      </c>
      <c r="X226" s="5">
        <v>0.0</v>
      </c>
      <c r="Y226" s="5" t="s">
        <v>116</v>
      </c>
      <c r="Z226" s="24">
        <v>0.0</v>
      </c>
      <c r="AA226" s="25">
        <v>5.0</v>
      </c>
      <c r="AB226" s="25">
        <v>7.0</v>
      </c>
      <c r="AC226" s="16" t="s">
        <v>1720</v>
      </c>
      <c r="AD226" s="26">
        <v>0.46</v>
      </c>
      <c r="AE226" s="26">
        <v>3.9</v>
      </c>
      <c r="AF226" s="26">
        <f t="shared" si="3"/>
        <v>0</v>
      </c>
      <c r="AG226" s="16" t="str">
        <f t="shared" si="4"/>
        <v>No</v>
      </c>
      <c r="AH226" s="15" t="str">
        <f t="shared" si="5"/>
        <v>No</v>
      </c>
      <c r="AI226" s="32">
        <v>0.5</v>
      </c>
      <c r="AJ226" s="16" t="s">
        <v>302</v>
      </c>
      <c r="AK226" s="15"/>
      <c r="AL226" s="15"/>
      <c r="AM226" s="15"/>
      <c r="AN226" s="9"/>
      <c r="AO226" s="9">
        <f t="shared" si="21"/>
        <v>21.2</v>
      </c>
      <c r="AP226" s="9">
        <f t="shared" si="22"/>
        <v>5.9</v>
      </c>
      <c r="AQ226" s="9" t="str">
        <f t="shared" si="23"/>
        <v/>
      </c>
      <c r="AR226" s="9" t="str">
        <f t="shared" si="24"/>
        <v/>
      </c>
      <c r="AS226" s="16" t="s">
        <v>302</v>
      </c>
      <c r="AT226" s="15"/>
      <c r="AU226" s="15"/>
    </row>
    <row r="227" ht="15.75" customHeight="1">
      <c r="A227" s="15" t="str">
        <f t="shared" si="1"/>
        <v/>
      </c>
      <c r="B227" s="15" t="str">
        <f t="shared" si="20"/>
        <v/>
      </c>
      <c r="C227" s="15"/>
      <c r="D227" s="16" t="s">
        <v>141</v>
      </c>
      <c r="E227" s="15"/>
      <c r="F227" s="12" t="s">
        <v>2259</v>
      </c>
      <c r="G227" s="11" t="s">
        <v>2260</v>
      </c>
      <c r="H227" s="12">
        <v>25555.0</v>
      </c>
      <c r="I227" s="13" t="s">
        <v>256</v>
      </c>
      <c r="J227" s="17" t="s">
        <v>715</v>
      </c>
      <c r="K227" s="18">
        <v>27.0</v>
      </c>
      <c r="L227" s="18">
        <v>42.0</v>
      </c>
      <c r="M227" s="18">
        <v>161.3</v>
      </c>
      <c r="N227" s="78"/>
      <c r="O227" s="20">
        <v>28.0</v>
      </c>
      <c r="P227" s="21">
        <v>1.0</v>
      </c>
      <c r="Q227" s="5">
        <v>0.0</v>
      </c>
      <c r="R227" s="35"/>
      <c r="S227" s="5">
        <v>38.2436921</v>
      </c>
      <c r="T227" s="5">
        <v>-82.58816818</v>
      </c>
      <c r="U227" s="1">
        <v>2.0</v>
      </c>
      <c r="V227" s="5" t="s">
        <v>180</v>
      </c>
      <c r="W227" s="5">
        <v>0.0</v>
      </c>
      <c r="X227" s="5">
        <v>0.0</v>
      </c>
      <c r="Y227" s="5" t="s">
        <v>116</v>
      </c>
      <c r="Z227" s="24">
        <v>0.0</v>
      </c>
      <c r="AA227" s="25">
        <v>0.0</v>
      </c>
      <c r="AB227" s="25">
        <v>0.0</v>
      </c>
      <c r="AC227" s="16" t="s">
        <v>2072</v>
      </c>
      <c r="AD227" s="26">
        <v>10.76</v>
      </c>
      <c r="AE227" s="26">
        <v>2.9</v>
      </c>
      <c r="AF227" s="26">
        <f t="shared" si="3"/>
        <v>7.86</v>
      </c>
      <c r="AG227" s="16" t="str">
        <f t="shared" si="4"/>
        <v>Yes</v>
      </c>
      <c r="AH227" s="15" t="str">
        <f t="shared" si="5"/>
        <v>Yes</v>
      </c>
      <c r="AI227" s="32">
        <v>8.6</v>
      </c>
      <c r="AJ227" s="16" t="s">
        <v>230</v>
      </c>
      <c r="AK227" s="15"/>
      <c r="AL227" s="15"/>
      <c r="AM227" s="15"/>
      <c r="AN227" s="9"/>
      <c r="AO227" s="9">
        <f t="shared" si="21"/>
        <v>5.2</v>
      </c>
      <c r="AP227" s="9">
        <f t="shared" si="22"/>
        <v>72.3</v>
      </c>
      <c r="AQ227" s="9" t="str">
        <f t="shared" si="23"/>
        <v/>
      </c>
      <c r="AR227" s="9" t="str">
        <f t="shared" si="24"/>
        <v/>
      </c>
      <c r="AS227" s="16" t="s">
        <v>302</v>
      </c>
      <c r="AT227" s="15"/>
      <c r="AU227" s="15"/>
    </row>
    <row r="228" ht="15.75" customHeight="1">
      <c r="A228" s="15">
        <f t="shared" si="1"/>
        <v>58</v>
      </c>
      <c r="B228" s="15" t="str">
        <f t="shared" si="20"/>
        <v>Tier 3</v>
      </c>
      <c r="C228" s="15"/>
      <c r="D228" s="16" t="s">
        <v>141</v>
      </c>
      <c r="E228" s="15"/>
      <c r="F228" s="12" t="s">
        <v>2261</v>
      </c>
      <c r="G228" s="11" t="s">
        <v>2262</v>
      </c>
      <c r="H228" s="12" t="s">
        <v>1597</v>
      </c>
      <c r="I228" s="13" t="s">
        <v>175</v>
      </c>
      <c r="J228" s="17" t="s">
        <v>392</v>
      </c>
      <c r="K228" s="18">
        <v>327.0</v>
      </c>
      <c r="L228" s="18">
        <v>499.0</v>
      </c>
      <c r="M228" s="18">
        <v>548.5</v>
      </c>
      <c r="N228" s="78"/>
      <c r="O228" s="20">
        <v>0.0</v>
      </c>
      <c r="P228" s="21">
        <v>0.0</v>
      </c>
      <c r="Q228" s="5">
        <v>0.0</v>
      </c>
      <c r="R228" s="22">
        <v>30357.0</v>
      </c>
      <c r="S228" s="5">
        <v>37.36591353</v>
      </c>
      <c r="T228" s="5">
        <v>-81.11475881</v>
      </c>
      <c r="U228" s="1">
        <v>4.0</v>
      </c>
      <c r="V228" s="5" t="s">
        <v>540</v>
      </c>
      <c r="W228" s="5">
        <v>1.0</v>
      </c>
      <c r="X228" s="5">
        <v>0.0</v>
      </c>
      <c r="Y228" s="5" t="s">
        <v>116</v>
      </c>
      <c r="Z228" s="24">
        <v>0.0</v>
      </c>
      <c r="AA228" s="25">
        <v>5.0</v>
      </c>
      <c r="AB228" s="25">
        <v>7.0</v>
      </c>
      <c r="AC228" s="16" t="s">
        <v>2263</v>
      </c>
      <c r="AD228" s="26">
        <v>0.87</v>
      </c>
      <c r="AE228" s="26">
        <v>2.6</v>
      </c>
      <c r="AF228" s="26">
        <f t="shared" si="3"/>
        <v>0</v>
      </c>
      <c r="AG228" s="16" t="str">
        <f t="shared" si="4"/>
        <v>No</v>
      </c>
      <c r="AH228" s="15" t="str">
        <f t="shared" si="5"/>
        <v>No</v>
      </c>
      <c r="AI228" s="32">
        <v>0.8</v>
      </c>
      <c r="AJ228" s="16" t="s">
        <v>230</v>
      </c>
      <c r="AK228" s="15"/>
      <c r="AL228" s="15"/>
      <c r="AM228" s="15"/>
      <c r="AN228" s="9"/>
      <c r="AO228" s="9">
        <f t="shared" si="21"/>
        <v>63</v>
      </c>
      <c r="AP228" s="9">
        <f t="shared" si="22"/>
        <v>7.1</v>
      </c>
      <c r="AQ228" s="9">
        <f t="shared" si="23"/>
        <v>12.3</v>
      </c>
      <c r="AR228" s="9">
        <f t="shared" si="24"/>
        <v>26.9</v>
      </c>
      <c r="AS228" s="16" t="s">
        <v>556</v>
      </c>
      <c r="AT228" s="15"/>
      <c r="AU228" s="15"/>
    </row>
    <row r="229" ht="15.75" customHeight="1">
      <c r="A229" s="15">
        <f t="shared" si="1"/>
        <v>14</v>
      </c>
      <c r="B229" s="15" t="str">
        <f t="shared" si="20"/>
        <v>Tier 1</v>
      </c>
      <c r="C229" s="15"/>
      <c r="D229" s="16" t="s">
        <v>141</v>
      </c>
      <c r="E229" s="15"/>
      <c r="F229" s="12" t="s">
        <v>2264</v>
      </c>
      <c r="G229" s="11" t="s">
        <v>2265</v>
      </c>
      <c r="H229" s="12" t="s">
        <v>1600</v>
      </c>
      <c r="I229" s="13" t="s">
        <v>175</v>
      </c>
      <c r="J229" s="17" t="s">
        <v>392</v>
      </c>
      <c r="K229" s="18">
        <v>327.0</v>
      </c>
      <c r="L229" s="18">
        <v>499.0</v>
      </c>
      <c r="M229" s="18">
        <v>548.5</v>
      </c>
      <c r="N229" s="78"/>
      <c r="O229" s="20">
        <v>0.0</v>
      </c>
      <c r="P229" s="21">
        <v>0.0</v>
      </c>
      <c r="Q229" s="5">
        <v>0.0</v>
      </c>
      <c r="R229" s="22">
        <v>30357.0</v>
      </c>
      <c r="S229" s="5">
        <v>37.37386232</v>
      </c>
      <c r="T229" s="5">
        <v>-81.06773682</v>
      </c>
      <c r="U229" s="1">
        <v>4.0</v>
      </c>
      <c r="V229" s="5" t="s">
        <v>540</v>
      </c>
      <c r="W229" s="5">
        <v>1.0</v>
      </c>
      <c r="X229" s="5">
        <v>0.0</v>
      </c>
      <c r="Y229" s="5" t="s">
        <v>116</v>
      </c>
      <c r="Z229" s="24">
        <v>0.0</v>
      </c>
      <c r="AA229" s="25">
        <v>1.0</v>
      </c>
      <c r="AB229" s="25">
        <v>2.0</v>
      </c>
      <c r="AC229" s="16" t="s">
        <v>2266</v>
      </c>
      <c r="AD229" s="26">
        <v>0.46</v>
      </c>
      <c r="AE229" s="26">
        <v>2.9</v>
      </c>
      <c r="AF229" s="26">
        <f t="shared" si="3"/>
        <v>0</v>
      </c>
      <c r="AG229" s="16" t="str">
        <f t="shared" si="4"/>
        <v>No</v>
      </c>
      <c r="AH229" s="15" t="str">
        <f t="shared" si="5"/>
        <v>No</v>
      </c>
      <c r="AI229" s="32">
        <v>0.5</v>
      </c>
      <c r="AJ229" s="16" t="s">
        <v>230</v>
      </c>
      <c r="AK229" s="15"/>
      <c r="AL229" s="15"/>
      <c r="AM229" s="15"/>
      <c r="AN229" s="9"/>
      <c r="AO229" s="9">
        <f t="shared" si="21"/>
        <v>63</v>
      </c>
      <c r="AP229" s="9">
        <f t="shared" si="22"/>
        <v>33.4</v>
      </c>
      <c r="AQ229" s="9">
        <f t="shared" si="23"/>
        <v>12.3</v>
      </c>
      <c r="AR229" s="9">
        <f t="shared" si="24"/>
        <v>38.6</v>
      </c>
      <c r="AS229" s="16" t="s">
        <v>230</v>
      </c>
      <c r="AT229" s="15"/>
      <c r="AU229" s="15"/>
    </row>
    <row r="230" ht="15.75" customHeight="1">
      <c r="A230" s="15">
        <f t="shared" si="1"/>
        <v>12</v>
      </c>
      <c r="B230" s="15" t="str">
        <f t="shared" si="20"/>
        <v>Tier 1</v>
      </c>
      <c r="C230" s="15"/>
      <c r="D230" s="16" t="s">
        <v>141</v>
      </c>
      <c r="E230" s="15"/>
      <c r="F230" s="12" t="s">
        <v>2267</v>
      </c>
      <c r="G230" s="11" t="s">
        <v>2268</v>
      </c>
      <c r="H230" s="12">
        <v>24740.0</v>
      </c>
      <c r="I230" s="13" t="s">
        <v>175</v>
      </c>
      <c r="J230" s="17" t="s">
        <v>392</v>
      </c>
      <c r="K230" s="18">
        <v>327.0</v>
      </c>
      <c r="L230" s="18">
        <v>499.0</v>
      </c>
      <c r="M230" s="18">
        <v>548.5</v>
      </c>
      <c r="N230" s="78"/>
      <c r="O230" s="20">
        <v>0.0</v>
      </c>
      <c r="P230" s="21">
        <v>6.0</v>
      </c>
      <c r="Q230" s="5">
        <v>0.0</v>
      </c>
      <c r="R230" s="22">
        <v>30357.0</v>
      </c>
      <c r="S230" s="5">
        <v>37.38385402</v>
      </c>
      <c r="T230" s="5">
        <v>-81.1218415</v>
      </c>
      <c r="U230" s="1">
        <v>4.0</v>
      </c>
      <c r="V230" s="5" t="s">
        <v>540</v>
      </c>
      <c r="W230" s="5">
        <v>1.0</v>
      </c>
      <c r="X230" s="5">
        <v>0.0</v>
      </c>
      <c r="Y230" s="5" t="s">
        <v>116</v>
      </c>
      <c r="Z230" s="24">
        <v>0.0</v>
      </c>
      <c r="AA230" s="25">
        <v>1.0</v>
      </c>
      <c r="AB230" s="25">
        <v>2.0</v>
      </c>
      <c r="AC230" s="16" t="s">
        <v>2263</v>
      </c>
      <c r="AD230" s="26">
        <v>1.81</v>
      </c>
      <c r="AE230" s="26">
        <v>1.6</v>
      </c>
      <c r="AF230" s="26">
        <f t="shared" si="3"/>
        <v>0.21</v>
      </c>
      <c r="AG230" s="16" t="str">
        <f t="shared" si="4"/>
        <v>No</v>
      </c>
      <c r="AH230" s="15" t="str">
        <f t="shared" si="5"/>
        <v>No</v>
      </c>
      <c r="AI230" s="32">
        <v>1.7</v>
      </c>
      <c r="AJ230" s="16" t="s">
        <v>230</v>
      </c>
      <c r="AK230" s="15"/>
      <c r="AL230" s="15"/>
      <c r="AM230" s="15"/>
      <c r="AN230" s="9"/>
      <c r="AO230" s="9">
        <f t="shared" si="21"/>
        <v>63</v>
      </c>
      <c r="AP230" s="9">
        <f t="shared" si="22"/>
        <v>37.4</v>
      </c>
      <c r="AQ230" s="9">
        <f t="shared" si="23"/>
        <v>12.5</v>
      </c>
      <c r="AR230" s="9">
        <f t="shared" si="24"/>
        <v>40.4</v>
      </c>
      <c r="AS230" s="16" t="s">
        <v>230</v>
      </c>
      <c r="AT230" s="15"/>
      <c r="AU230" s="15"/>
    </row>
    <row r="231" ht="15.75" customHeight="1">
      <c r="A231" s="15">
        <f t="shared" si="1"/>
        <v>16</v>
      </c>
      <c r="B231" s="15" t="str">
        <f t="shared" si="20"/>
        <v>Tier 1</v>
      </c>
      <c r="C231" s="15"/>
      <c r="D231" s="16" t="s">
        <v>141</v>
      </c>
      <c r="E231" s="15"/>
      <c r="F231" s="12" t="s">
        <v>2269</v>
      </c>
      <c r="G231" s="11" t="s">
        <v>2270</v>
      </c>
      <c r="H231" s="12" t="s">
        <v>1603</v>
      </c>
      <c r="I231" s="13" t="s">
        <v>175</v>
      </c>
      <c r="J231" s="17" t="s">
        <v>392</v>
      </c>
      <c r="K231" s="18">
        <v>327.0</v>
      </c>
      <c r="L231" s="18">
        <v>499.0</v>
      </c>
      <c r="M231" s="18">
        <v>548.5</v>
      </c>
      <c r="N231" s="78"/>
      <c r="O231" s="20">
        <v>0.0</v>
      </c>
      <c r="P231" s="21">
        <v>0.0</v>
      </c>
      <c r="Q231" s="5">
        <v>0.0</v>
      </c>
      <c r="R231" s="22">
        <v>30357.0</v>
      </c>
      <c r="S231" s="5">
        <v>37.36236579</v>
      </c>
      <c r="T231" s="5">
        <v>-81.0966948</v>
      </c>
      <c r="U231" s="1">
        <v>4.0</v>
      </c>
      <c r="V231" s="5" t="s">
        <v>540</v>
      </c>
      <c r="W231" s="5">
        <v>1.0</v>
      </c>
      <c r="X231" s="5">
        <v>0.0</v>
      </c>
      <c r="Y231" s="5" t="s">
        <v>116</v>
      </c>
      <c r="Z231" s="24">
        <v>0.0</v>
      </c>
      <c r="AA231" s="25">
        <v>1.0</v>
      </c>
      <c r="AB231" s="25">
        <v>2.0</v>
      </c>
      <c r="AC231" s="16" t="s">
        <v>2263</v>
      </c>
      <c r="AD231" s="26">
        <v>0.22</v>
      </c>
      <c r="AE231" s="26">
        <v>2.9</v>
      </c>
      <c r="AF231" s="26">
        <f t="shared" si="3"/>
        <v>0</v>
      </c>
      <c r="AG231" s="16" t="str">
        <f t="shared" si="4"/>
        <v>No</v>
      </c>
      <c r="AH231" s="15" t="str">
        <f t="shared" si="5"/>
        <v>No</v>
      </c>
      <c r="AI231" s="32">
        <v>0.1</v>
      </c>
      <c r="AJ231" s="16" t="s">
        <v>230</v>
      </c>
      <c r="AK231" s="15"/>
      <c r="AL231" s="15"/>
      <c r="AM231" s="15"/>
      <c r="AN231" s="9"/>
      <c r="AO231" s="9">
        <f t="shared" si="21"/>
        <v>63</v>
      </c>
      <c r="AP231" s="9">
        <f t="shared" si="22"/>
        <v>32.7</v>
      </c>
      <c r="AQ231" s="9">
        <f t="shared" si="23"/>
        <v>12.3</v>
      </c>
      <c r="AR231" s="9">
        <f t="shared" si="24"/>
        <v>38.3</v>
      </c>
      <c r="AS231" s="16" t="s">
        <v>230</v>
      </c>
      <c r="AT231" s="15"/>
      <c r="AU231" s="15"/>
    </row>
    <row r="232" ht="15.75" customHeight="1">
      <c r="A232" s="15" t="str">
        <f t="shared" si="1"/>
        <v/>
      </c>
      <c r="B232" s="15" t="str">
        <f t="shared" si="20"/>
        <v/>
      </c>
      <c r="C232" s="15"/>
      <c r="D232" s="16" t="s">
        <v>420</v>
      </c>
      <c r="E232" s="16" t="s">
        <v>230</v>
      </c>
      <c r="F232" s="12" t="s">
        <v>2271</v>
      </c>
      <c r="G232" s="11" t="s">
        <v>2272</v>
      </c>
      <c r="H232" s="12">
        <v>24739.0</v>
      </c>
      <c r="I232" s="13" t="s">
        <v>175</v>
      </c>
      <c r="J232" s="17" t="s">
        <v>392</v>
      </c>
      <c r="K232" s="18">
        <v>179.0</v>
      </c>
      <c r="L232" s="18">
        <v>287.0</v>
      </c>
      <c r="M232" s="18">
        <v>227.8</v>
      </c>
      <c r="N232" s="78"/>
      <c r="O232" s="20">
        <v>31.0</v>
      </c>
      <c r="P232" s="21">
        <v>0.0</v>
      </c>
      <c r="Q232" s="5">
        <v>4.8</v>
      </c>
      <c r="R232" s="22">
        <v>50329.0</v>
      </c>
      <c r="S232" s="5">
        <v>37.34265886</v>
      </c>
      <c r="T232" s="5">
        <v>-81.13111645</v>
      </c>
      <c r="U232" s="1">
        <v>4.0</v>
      </c>
      <c r="V232" s="5" t="s">
        <v>540</v>
      </c>
      <c r="W232" s="5">
        <v>1.0</v>
      </c>
      <c r="X232" s="5">
        <v>0.0</v>
      </c>
      <c r="Y232" s="5" t="s">
        <v>116</v>
      </c>
      <c r="Z232" s="24">
        <v>0.0</v>
      </c>
      <c r="AA232" s="37"/>
      <c r="AB232" s="37"/>
      <c r="AC232" s="16" t="s">
        <v>2273</v>
      </c>
      <c r="AD232" s="26">
        <v>1.54</v>
      </c>
      <c r="AE232" s="26">
        <v>7.3</v>
      </c>
      <c r="AF232" s="26">
        <f t="shared" si="3"/>
        <v>0</v>
      </c>
      <c r="AG232" s="16" t="str">
        <f t="shared" si="4"/>
        <v>No</v>
      </c>
      <c r="AH232" s="15" t="str">
        <f t="shared" si="5"/>
        <v>Verify</v>
      </c>
      <c r="AI232" s="32">
        <v>1.5</v>
      </c>
      <c r="AJ232" s="16" t="s">
        <v>230</v>
      </c>
      <c r="AK232" s="15"/>
      <c r="AL232" s="15"/>
      <c r="AM232" s="15"/>
      <c r="AN232" s="9"/>
      <c r="AO232" s="9">
        <f t="shared" si="21"/>
        <v>34.5</v>
      </c>
      <c r="AP232" s="9" t="str">
        <f t="shared" si="22"/>
        <v/>
      </c>
      <c r="AQ232" s="9">
        <f t="shared" si="23"/>
        <v>10.7</v>
      </c>
      <c r="AR232" s="9" t="str">
        <f t="shared" si="24"/>
        <v/>
      </c>
      <c r="AS232" s="16" t="s">
        <v>302</v>
      </c>
      <c r="AT232" s="15"/>
      <c r="AU232" s="15"/>
    </row>
    <row r="233" ht="15.75" customHeight="1">
      <c r="A233" s="15" t="str">
        <f t="shared" si="1"/>
        <v/>
      </c>
      <c r="B233" s="15" t="str">
        <f t="shared" si="20"/>
        <v/>
      </c>
      <c r="C233" s="15"/>
      <c r="D233" s="16" t="s">
        <v>141</v>
      </c>
      <c r="E233" s="15"/>
      <c r="F233" s="12" t="s">
        <v>2274</v>
      </c>
      <c r="G233" s="11" t="s">
        <v>2275</v>
      </c>
      <c r="H233" s="12" t="s">
        <v>1608</v>
      </c>
      <c r="I233" s="13" t="s">
        <v>82</v>
      </c>
      <c r="J233" s="17" t="s">
        <v>331</v>
      </c>
      <c r="K233" s="18">
        <v>75.0</v>
      </c>
      <c r="L233" s="18">
        <v>115.0</v>
      </c>
      <c r="M233" s="18">
        <v>76.2</v>
      </c>
      <c r="N233" s="78"/>
      <c r="O233" s="20">
        <v>660.0</v>
      </c>
      <c r="P233" s="21">
        <v>0.0</v>
      </c>
      <c r="Q233" s="5">
        <v>33.4</v>
      </c>
      <c r="R233" s="22">
        <v>56797.0</v>
      </c>
      <c r="S233" s="5">
        <v>37.9676342</v>
      </c>
      <c r="T233" s="5">
        <v>-80.77869332</v>
      </c>
      <c r="U233" s="1">
        <v>10.0</v>
      </c>
      <c r="V233" s="5" t="s">
        <v>342</v>
      </c>
      <c r="W233" s="5">
        <v>3.0</v>
      </c>
      <c r="X233" s="5">
        <v>0.0</v>
      </c>
      <c r="Y233" s="5" t="s">
        <v>116</v>
      </c>
      <c r="Z233" s="24">
        <v>0.0</v>
      </c>
      <c r="AA233" s="37"/>
      <c r="AB233" s="37"/>
      <c r="AC233" s="16" t="s">
        <v>401</v>
      </c>
      <c r="AD233" s="26">
        <v>20.04</v>
      </c>
      <c r="AE233" s="26">
        <v>1.7</v>
      </c>
      <c r="AF233" s="26">
        <f t="shared" si="3"/>
        <v>18.34</v>
      </c>
      <c r="AG233" s="16" t="str">
        <f t="shared" si="4"/>
        <v>Yes</v>
      </c>
      <c r="AH233" s="15" t="str">
        <f t="shared" si="5"/>
        <v>Verify</v>
      </c>
      <c r="AI233" s="32">
        <v>0.2</v>
      </c>
      <c r="AJ233" s="16" t="s">
        <v>302</v>
      </c>
      <c r="AK233" s="15"/>
      <c r="AL233" s="15"/>
      <c r="AM233" s="15"/>
      <c r="AN233" s="9"/>
      <c r="AO233" s="9">
        <f t="shared" si="21"/>
        <v>14.5</v>
      </c>
      <c r="AP233" s="9" t="str">
        <f t="shared" si="22"/>
        <v/>
      </c>
      <c r="AQ233" s="9">
        <f t="shared" si="23"/>
        <v>22.8</v>
      </c>
      <c r="AR233" s="9" t="str">
        <f t="shared" si="24"/>
        <v/>
      </c>
      <c r="AS233" s="16" t="s">
        <v>302</v>
      </c>
      <c r="AT233" s="15"/>
      <c r="AU233" s="15"/>
    </row>
    <row r="234" ht="15.75" customHeight="1">
      <c r="A234" s="15">
        <f t="shared" si="1"/>
        <v>65</v>
      </c>
      <c r="B234" s="15" t="str">
        <f t="shared" si="20"/>
        <v>Tier 3</v>
      </c>
      <c r="C234" s="15"/>
      <c r="D234" s="16" t="s">
        <v>141</v>
      </c>
      <c r="E234" s="15"/>
      <c r="F234" s="12" t="s">
        <v>2276</v>
      </c>
      <c r="G234" s="11" t="s">
        <v>2277</v>
      </c>
      <c r="H234" s="12" t="s">
        <v>1610</v>
      </c>
      <c r="I234" s="13" t="s">
        <v>123</v>
      </c>
      <c r="J234" s="17" t="s">
        <v>576</v>
      </c>
      <c r="K234" s="18">
        <v>108.0</v>
      </c>
      <c r="L234" s="18">
        <v>156.0</v>
      </c>
      <c r="M234" s="18">
        <v>214.5</v>
      </c>
      <c r="N234" s="78"/>
      <c r="O234" s="20">
        <v>98.0</v>
      </c>
      <c r="P234" s="21">
        <v>0.0</v>
      </c>
      <c r="Q234" s="5">
        <v>11.6</v>
      </c>
      <c r="R234" s="22">
        <v>52039.0</v>
      </c>
      <c r="S234" s="5">
        <v>39.30577069</v>
      </c>
      <c r="T234" s="5">
        <v>-77.86382395</v>
      </c>
      <c r="U234" s="1">
        <v>4.0</v>
      </c>
      <c r="V234" s="5" t="s">
        <v>540</v>
      </c>
      <c r="W234" s="5">
        <v>1.0</v>
      </c>
      <c r="X234" s="5">
        <v>0.0</v>
      </c>
      <c r="Y234" s="5" t="s">
        <v>116</v>
      </c>
      <c r="Z234" s="24">
        <v>0.0</v>
      </c>
      <c r="AA234" s="25">
        <v>1.0</v>
      </c>
      <c r="AB234" s="25">
        <v>2.0</v>
      </c>
      <c r="AC234" s="16" t="s">
        <v>2278</v>
      </c>
      <c r="AD234" s="26">
        <v>1.21</v>
      </c>
      <c r="AE234" s="26">
        <v>1.2</v>
      </c>
      <c r="AF234" s="26">
        <f t="shared" si="3"/>
        <v>0.01</v>
      </c>
      <c r="AG234" s="16" t="str">
        <f t="shared" si="4"/>
        <v>No</v>
      </c>
      <c r="AH234" s="15" t="str">
        <f t="shared" si="5"/>
        <v>No</v>
      </c>
      <c r="AI234" s="32">
        <v>1.3</v>
      </c>
      <c r="AJ234" s="16" t="s">
        <v>230</v>
      </c>
      <c r="AK234" s="15"/>
      <c r="AL234" s="15"/>
      <c r="AM234" s="15"/>
      <c r="AN234" s="9"/>
      <c r="AO234" s="9">
        <f t="shared" si="21"/>
        <v>20.8</v>
      </c>
      <c r="AP234" s="9">
        <f t="shared" si="22"/>
        <v>35.6</v>
      </c>
      <c r="AQ234" s="9">
        <f t="shared" si="23"/>
        <v>12.4</v>
      </c>
      <c r="AR234" s="9">
        <f t="shared" si="24"/>
        <v>25.5</v>
      </c>
      <c r="AS234" s="16" t="s">
        <v>556</v>
      </c>
      <c r="AT234" s="15"/>
      <c r="AU234" s="15"/>
    </row>
    <row r="235" ht="15.75" customHeight="1">
      <c r="A235" s="15" t="str">
        <f t="shared" si="1"/>
        <v/>
      </c>
      <c r="B235" s="15" t="str">
        <f t="shared" si="20"/>
        <v/>
      </c>
      <c r="C235" s="15"/>
      <c r="D235" s="16" t="s">
        <v>141</v>
      </c>
      <c r="E235" s="15"/>
      <c r="F235" s="12" t="s">
        <v>2279</v>
      </c>
      <c r="G235" s="11" t="s">
        <v>2280</v>
      </c>
      <c r="H235" s="12" t="s">
        <v>1614</v>
      </c>
      <c r="I235" s="13" t="s">
        <v>111</v>
      </c>
      <c r="J235" s="17" t="s">
        <v>439</v>
      </c>
      <c r="K235" s="18">
        <v>111.0</v>
      </c>
      <c r="L235" s="18">
        <v>167.0</v>
      </c>
      <c r="M235" s="18">
        <v>262.3</v>
      </c>
      <c r="N235" s="78"/>
      <c r="O235" s="20">
        <v>107.0</v>
      </c>
      <c r="P235" s="21">
        <v>0.0</v>
      </c>
      <c r="Q235" s="5">
        <v>14.9</v>
      </c>
      <c r="R235" s="22">
        <v>74688.0</v>
      </c>
      <c r="S235" s="5">
        <v>38.95631531</v>
      </c>
      <c r="T235" s="5">
        <v>-81.76774336</v>
      </c>
      <c r="U235" s="1">
        <v>10.0</v>
      </c>
      <c r="V235" s="5" t="s">
        <v>342</v>
      </c>
      <c r="W235" s="5">
        <v>3.0</v>
      </c>
      <c r="X235" s="5">
        <v>0.0</v>
      </c>
      <c r="Y235" s="5" t="s">
        <v>116</v>
      </c>
      <c r="Z235" s="24">
        <v>0.0</v>
      </c>
      <c r="AA235" s="37"/>
      <c r="AB235" s="37"/>
      <c r="AC235" s="16" t="s">
        <v>2140</v>
      </c>
      <c r="AD235" s="26">
        <v>0.41</v>
      </c>
      <c r="AE235" s="26">
        <v>5.6</v>
      </c>
      <c r="AF235" s="26">
        <f t="shared" si="3"/>
        <v>0</v>
      </c>
      <c r="AG235" s="16" t="str">
        <f t="shared" si="4"/>
        <v>No</v>
      </c>
      <c r="AH235" s="15" t="str">
        <f t="shared" si="5"/>
        <v>Verify</v>
      </c>
      <c r="AI235" s="32">
        <v>0.4</v>
      </c>
      <c r="AJ235" s="16" t="s">
        <v>230</v>
      </c>
      <c r="AK235" s="15"/>
      <c r="AL235" s="15"/>
      <c r="AM235" s="15"/>
      <c r="AN235" s="9"/>
      <c r="AO235" s="9">
        <f t="shared" si="21"/>
        <v>21.4</v>
      </c>
      <c r="AP235" s="9" t="str">
        <f t="shared" si="22"/>
        <v/>
      </c>
      <c r="AQ235" s="9">
        <f t="shared" si="23"/>
        <v>9.8</v>
      </c>
      <c r="AR235" s="9" t="str">
        <f t="shared" si="24"/>
        <v/>
      </c>
      <c r="AS235" s="16" t="s">
        <v>302</v>
      </c>
      <c r="AT235" s="15"/>
      <c r="AU235" s="15"/>
    </row>
    <row r="236" ht="15.75" customHeight="1">
      <c r="A236" s="15" t="str">
        <f t="shared" si="1"/>
        <v/>
      </c>
      <c r="B236" s="15" t="str">
        <f t="shared" si="20"/>
        <v/>
      </c>
      <c r="C236" s="15"/>
      <c r="D236" s="16" t="s">
        <v>141</v>
      </c>
      <c r="E236" s="15"/>
      <c r="F236" s="12" t="s">
        <v>2281</v>
      </c>
      <c r="G236" s="11" t="s">
        <v>2282</v>
      </c>
      <c r="H236" s="12" t="s">
        <v>1616</v>
      </c>
      <c r="I236" s="13" t="s">
        <v>105</v>
      </c>
      <c r="J236" s="17" t="s">
        <v>169</v>
      </c>
      <c r="K236" s="18">
        <v>32.0</v>
      </c>
      <c r="L236" s="18">
        <v>56.0</v>
      </c>
      <c r="M236" s="18">
        <v>85.7</v>
      </c>
      <c r="N236" s="78"/>
      <c r="O236" s="20">
        <v>29.0</v>
      </c>
      <c r="P236" s="21">
        <v>0.0</v>
      </c>
      <c r="Q236" s="5">
        <v>0.0</v>
      </c>
      <c r="R236" s="22">
        <v>52375.0</v>
      </c>
      <c r="S236" s="5">
        <v>39.51303076</v>
      </c>
      <c r="T236" s="5">
        <v>-79.79835952</v>
      </c>
      <c r="U236" s="1">
        <v>2.0</v>
      </c>
      <c r="V236" s="5" t="s">
        <v>180</v>
      </c>
      <c r="W236" s="5">
        <v>0.0</v>
      </c>
      <c r="X236" s="5">
        <v>0.0</v>
      </c>
      <c r="Y236" s="5" t="s">
        <v>116</v>
      </c>
      <c r="Z236" s="24">
        <v>0.0</v>
      </c>
      <c r="AA236" s="37"/>
      <c r="AB236" s="37"/>
      <c r="AC236" s="16" t="s">
        <v>2162</v>
      </c>
      <c r="AD236" s="26">
        <v>0.08</v>
      </c>
      <c r="AE236" s="26">
        <v>0.4</v>
      </c>
      <c r="AF236" s="26">
        <f t="shared" si="3"/>
        <v>0</v>
      </c>
      <c r="AG236" s="16" t="str">
        <f t="shared" si="4"/>
        <v>No</v>
      </c>
      <c r="AH236" s="15" t="str">
        <f t="shared" si="5"/>
        <v>Verify</v>
      </c>
      <c r="AI236" s="32">
        <v>0.1</v>
      </c>
      <c r="AJ236" s="16" t="s">
        <v>230</v>
      </c>
      <c r="AK236" s="15"/>
      <c r="AL236" s="15"/>
      <c r="AM236" s="15"/>
      <c r="AN236" s="9"/>
      <c r="AO236" s="9">
        <f t="shared" si="21"/>
        <v>6.2</v>
      </c>
      <c r="AP236" s="9" t="str">
        <f t="shared" si="22"/>
        <v/>
      </c>
      <c r="AQ236" s="9">
        <f t="shared" si="23"/>
        <v>9.7</v>
      </c>
      <c r="AR236" s="9" t="str">
        <f t="shared" si="24"/>
        <v/>
      </c>
      <c r="AS236" s="16" t="s">
        <v>302</v>
      </c>
      <c r="AT236" s="15"/>
      <c r="AU236" s="15"/>
    </row>
    <row r="237" ht="15.75" customHeight="1">
      <c r="A237" s="15">
        <f t="shared" si="1"/>
        <v>73</v>
      </c>
      <c r="B237" s="15" t="str">
        <f t="shared" si="20"/>
        <v>Tier 3</v>
      </c>
      <c r="C237" s="15"/>
      <c r="D237" s="16" t="s">
        <v>420</v>
      </c>
      <c r="E237" s="16" t="s">
        <v>230</v>
      </c>
      <c r="F237" s="12" t="s">
        <v>2283</v>
      </c>
      <c r="G237" s="11" t="s">
        <v>2284</v>
      </c>
      <c r="H237" s="12">
        <v>26261.0</v>
      </c>
      <c r="I237" s="13" t="s">
        <v>198</v>
      </c>
      <c r="J237" s="17" t="s">
        <v>331</v>
      </c>
      <c r="K237" s="18">
        <v>32.0</v>
      </c>
      <c r="L237" s="18">
        <v>48.0</v>
      </c>
      <c r="M237" s="18">
        <v>72.1</v>
      </c>
      <c r="N237" s="78"/>
      <c r="O237" s="20">
        <v>67.0</v>
      </c>
      <c r="P237" s="21">
        <v>0.0</v>
      </c>
      <c r="Q237" s="5">
        <v>5.8</v>
      </c>
      <c r="R237" s="22">
        <v>37342.0</v>
      </c>
      <c r="S237" s="5">
        <v>38.22680895</v>
      </c>
      <c r="T237" s="5">
        <v>-80.52822827</v>
      </c>
      <c r="U237" s="1">
        <v>10.0</v>
      </c>
      <c r="V237" s="5" t="s">
        <v>342</v>
      </c>
      <c r="W237" s="5">
        <v>3.0</v>
      </c>
      <c r="X237" s="5">
        <v>0.0</v>
      </c>
      <c r="Y237" s="5" t="s">
        <v>116</v>
      </c>
      <c r="Z237" s="24">
        <v>0.0</v>
      </c>
      <c r="AA237" s="25">
        <v>0.0</v>
      </c>
      <c r="AB237" s="25">
        <v>0.0</v>
      </c>
      <c r="AC237" s="16" t="s">
        <v>2285</v>
      </c>
      <c r="AD237" s="26">
        <v>0.31</v>
      </c>
      <c r="AE237" s="26">
        <v>3.0</v>
      </c>
      <c r="AF237" s="26">
        <f t="shared" si="3"/>
        <v>0</v>
      </c>
      <c r="AG237" s="16" t="str">
        <f t="shared" si="4"/>
        <v>No</v>
      </c>
      <c r="AH237" s="15" t="str">
        <f t="shared" si="5"/>
        <v>Yes</v>
      </c>
      <c r="AI237" s="32">
        <v>9.5</v>
      </c>
      <c r="AJ237" s="16" t="s">
        <v>230</v>
      </c>
      <c r="AK237" s="15"/>
      <c r="AL237" s="15"/>
      <c r="AM237" s="15"/>
      <c r="AN237" s="9"/>
      <c r="AO237" s="9">
        <f t="shared" si="21"/>
        <v>6.2</v>
      </c>
      <c r="AP237" s="9">
        <f t="shared" si="22"/>
        <v>40.9</v>
      </c>
      <c r="AQ237" s="9">
        <f t="shared" si="23"/>
        <v>13.1</v>
      </c>
      <c r="AR237" s="9">
        <f t="shared" si="24"/>
        <v>23.2</v>
      </c>
      <c r="AS237" s="16" t="s">
        <v>556</v>
      </c>
      <c r="AT237" s="15"/>
      <c r="AU237" s="15"/>
    </row>
    <row r="238" ht="15.75" customHeight="1">
      <c r="A238" s="15" t="str">
        <f t="shared" si="1"/>
        <v/>
      </c>
      <c r="B238" s="15" t="str">
        <f t="shared" si="20"/>
        <v/>
      </c>
      <c r="C238" s="15"/>
      <c r="D238" s="16" t="s">
        <v>141</v>
      </c>
      <c r="E238" s="15"/>
      <c r="F238" s="12" t="s">
        <v>2286</v>
      </c>
      <c r="G238" s="11" t="s">
        <v>2287</v>
      </c>
      <c r="H238" s="12" t="s">
        <v>1621</v>
      </c>
      <c r="I238" s="13" t="s">
        <v>181</v>
      </c>
      <c r="J238" s="17" t="s">
        <v>576</v>
      </c>
      <c r="K238" s="18">
        <v>59.0</v>
      </c>
      <c r="L238" s="18">
        <v>91.0</v>
      </c>
      <c r="M238" s="18">
        <v>138.5</v>
      </c>
      <c r="N238" s="78"/>
      <c r="O238" s="20">
        <v>163.0</v>
      </c>
      <c r="P238" s="21">
        <v>0.0</v>
      </c>
      <c r="Q238" s="5">
        <v>6.0</v>
      </c>
      <c r="R238" s="22">
        <v>51250.0</v>
      </c>
      <c r="S238" s="5">
        <v>39.55815944</v>
      </c>
      <c r="T238" s="5">
        <v>-78.80257619</v>
      </c>
      <c r="U238" s="1">
        <v>5.0</v>
      </c>
      <c r="V238" s="5" t="s">
        <v>540</v>
      </c>
      <c r="W238" s="5">
        <v>1.0</v>
      </c>
      <c r="X238" s="5">
        <v>1.0</v>
      </c>
      <c r="Y238" s="5" t="s">
        <v>471</v>
      </c>
      <c r="Z238" s="24">
        <v>1.0</v>
      </c>
      <c r="AA238" s="37"/>
      <c r="AB238" s="37"/>
      <c r="AC238" s="15"/>
      <c r="AD238" s="38"/>
      <c r="AE238" s="26">
        <v>1.9</v>
      </c>
      <c r="AF238" s="26" t="str">
        <f t="shared" si="3"/>
        <v/>
      </c>
      <c r="AG238" s="16" t="str">
        <f t="shared" si="4"/>
        <v>Verify</v>
      </c>
      <c r="AH238" s="15" t="str">
        <f t="shared" si="5"/>
        <v>Verify</v>
      </c>
      <c r="AI238" s="32">
        <v>4.9</v>
      </c>
      <c r="AJ238" s="16" t="s">
        <v>230</v>
      </c>
      <c r="AK238" s="15"/>
      <c r="AL238" s="15"/>
      <c r="AM238" s="15"/>
      <c r="AN238" s="9"/>
      <c r="AO238" s="9">
        <f t="shared" si="21"/>
        <v>11.4</v>
      </c>
      <c r="AP238" s="9" t="str">
        <f t="shared" si="22"/>
        <v/>
      </c>
      <c r="AQ238" s="9">
        <f t="shared" si="23"/>
        <v>12.7</v>
      </c>
      <c r="AR238" s="9" t="str">
        <f t="shared" si="24"/>
        <v/>
      </c>
      <c r="AS238" s="16" t="s">
        <v>302</v>
      </c>
      <c r="AT238" s="15"/>
      <c r="AU238" s="15"/>
    </row>
    <row r="239" ht="15.75" customHeight="1">
      <c r="A239" s="15" t="str">
        <f t="shared" si="1"/>
        <v/>
      </c>
      <c r="B239" s="15" t="str">
        <f t="shared" si="20"/>
        <v/>
      </c>
      <c r="C239" s="15"/>
      <c r="D239" s="16" t="s">
        <v>141</v>
      </c>
      <c r="E239" s="15"/>
      <c r="F239" s="12" t="s">
        <v>2288</v>
      </c>
      <c r="G239" s="11" t="s">
        <v>2289</v>
      </c>
      <c r="H239" s="12" t="s">
        <v>1625</v>
      </c>
      <c r="I239" s="13" t="s">
        <v>111</v>
      </c>
      <c r="J239" s="17" t="s">
        <v>439</v>
      </c>
      <c r="K239" s="18">
        <v>145.0</v>
      </c>
      <c r="L239" s="18">
        <v>232.0</v>
      </c>
      <c r="M239" s="18">
        <v>164.3</v>
      </c>
      <c r="N239" s="78"/>
      <c r="O239" s="20">
        <v>0.0</v>
      </c>
      <c r="P239" s="21">
        <v>0.0</v>
      </c>
      <c r="Q239" s="5">
        <v>0.0</v>
      </c>
      <c r="R239" s="35"/>
      <c r="S239" s="5">
        <v>38.82823875</v>
      </c>
      <c r="T239" s="5">
        <v>-81.765555</v>
      </c>
      <c r="U239" s="1">
        <v>10.0</v>
      </c>
      <c r="V239" s="5" t="s">
        <v>342</v>
      </c>
      <c r="W239" s="5">
        <v>3.0</v>
      </c>
      <c r="X239" s="5">
        <v>0.0</v>
      </c>
      <c r="Y239" s="5" t="s">
        <v>116</v>
      </c>
      <c r="Z239" s="24">
        <v>0.0</v>
      </c>
      <c r="AA239" s="37"/>
      <c r="AB239" s="37"/>
      <c r="AC239" s="15"/>
      <c r="AD239" s="38"/>
      <c r="AE239" s="26">
        <v>4.8</v>
      </c>
      <c r="AF239" s="26" t="str">
        <f t="shared" si="3"/>
        <v/>
      </c>
      <c r="AG239" s="16" t="str">
        <f t="shared" si="4"/>
        <v>Verify</v>
      </c>
      <c r="AH239" s="15" t="str">
        <f t="shared" si="5"/>
        <v>Verify</v>
      </c>
      <c r="AI239" s="32">
        <v>2.4</v>
      </c>
      <c r="AJ239" s="16" t="s">
        <v>230</v>
      </c>
      <c r="AK239" s="15"/>
      <c r="AL239" s="15"/>
      <c r="AM239" s="15"/>
      <c r="AN239" s="9"/>
      <c r="AO239" s="9">
        <f t="shared" si="21"/>
        <v>27.9</v>
      </c>
      <c r="AP239" s="9" t="str">
        <f t="shared" si="22"/>
        <v/>
      </c>
      <c r="AQ239" s="9" t="str">
        <f t="shared" si="23"/>
        <v/>
      </c>
      <c r="AR239" s="9" t="str">
        <f t="shared" si="24"/>
        <v/>
      </c>
      <c r="AS239" s="16" t="s">
        <v>302</v>
      </c>
      <c r="AT239" s="15"/>
      <c r="AU239" s="15"/>
    </row>
    <row r="240" ht="15.75" customHeight="1">
      <c r="A240" s="15" t="str">
        <f t="shared" si="1"/>
        <v/>
      </c>
      <c r="B240" s="15" t="str">
        <f t="shared" si="20"/>
        <v/>
      </c>
      <c r="C240" s="15"/>
      <c r="D240" s="16" t="s">
        <v>141</v>
      </c>
      <c r="E240" s="15"/>
      <c r="F240" s="12" t="s">
        <v>2290</v>
      </c>
      <c r="G240" s="11" t="s">
        <v>2291</v>
      </c>
      <c r="H240" s="12">
        <v>25271.0</v>
      </c>
      <c r="I240" s="13" t="s">
        <v>111</v>
      </c>
      <c r="J240" s="17" t="s">
        <v>439</v>
      </c>
      <c r="K240" s="18">
        <v>145.0</v>
      </c>
      <c r="L240" s="18">
        <v>232.0</v>
      </c>
      <c r="M240" s="18">
        <v>164.3</v>
      </c>
      <c r="N240" s="78"/>
      <c r="O240" s="20">
        <v>0.0</v>
      </c>
      <c r="P240" s="21">
        <v>129.0</v>
      </c>
      <c r="Q240" s="5">
        <v>0.0</v>
      </c>
      <c r="R240" s="35"/>
      <c r="S240" s="5">
        <v>38.81884803</v>
      </c>
      <c r="T240" s="5">
        <v>-81.71422028</v>
      </c>
      <c r="U240" s="1">
        <v>10.0</v>
      </c>
      <c r="V240" s="5" t="s">
        <v>342</v>
      </c>
      <c r="W240" s="5">
        <v>3.0</v>
      </c>
      <c r="X240" s="5">
        <v>0.0</v>
      </c>
      <c r="Y240" s="5" t="s">
        <v>116</v>
      </c>
      <c r="Z240" s="24">
        <v>0.0</v>
      </c>
      <c r="AA240" s="25">
        <v>0.0</v>
      </c>
      <c r="AB240" s="25">
        <v>0.0</v>
      </c>
      <c r="AC240" s="16" t="s">
        <v>2292</v>
      </c>
      <c r="AD240" s="26">
        <v>0.55</v>
      </c>
      <c r="AE240" s="26">
        <v>2.4</v>
      </c>
      <c r="AF240" s="26">
        <f t="shared" si="3"/>
        <v>0</v>
      </c>
      <c r="AG240" s="16" t="str">
        <f t="shared" si="4"/>
        <v>No</v>
      </c>
      <c r="AH240" s="15" t="str">
        <f t="shared" si="5"/>
        <v>Yes</v>
      </c>
      <c r="AI240" s="32">
        <v>0.4</v>
      </c>
      <c r="AJ240" s="16" t="s">
        <v>230</v>
      </c>
      <c r="AK240" s="15"/>
      <c r="AL240" s="15"/>
      <c r="AM240" s="15"/>
      <c r="AN240" s="9"/>
      <c r="AO240" s="9">
        <f t="shared" si="21"/>
        <v>27.9</v>
      </c>
      <c r="AP240" s="9">
        <f t="shared" si="22"/>
        <v>41.7</v>
      </c>
      <c r="AQ240" s="9" t="str">
        <f t="shared" si="23"/>
        <v/>
      </c>
      <c r="AR240" s="9" t="str">
        <f t="shared" si="24"/>
        <v/>
      </c>
      <c r="AS240" s="16" t="s">
        <v>302</v>
      </c>
      <c r="AT240" s="15"/>
      <c r="AU240" s="15"/>
    </row>
    <row r="241" ht="15.75" customHeight="1">
      <c r="A241" s="15" t="str">
        <f t="shared" si="1"/>
        <v/>
      </c>
      <c r="B241" s="15" t="str">
        <f t="shared" si="20"/>
        <v/>
      </c>
      <c r="C241" s="15"/>
      <c r="D241" s="16" t="s">
        <v>141</v>
      </c>
      <c r="E241" s="15"/>
      <c r="F241" s="12" t="s">
        <v>2293</v>
      </c>
      <c r="G241" s="11" t="s">
        <v>2294</v>
      </c>
      <c r="H241" s="12" t="s">
        <v>1629</v>
      </c>
      <c r="I241" s="13" t="s">
        <v>111</v>
      </c>
      <c r="J241" s="17" t="s">
        <v>439</v>
      </c>
      <c r="K241" s="18">
        <v>145.0</v>
      </c>
      <c r="L241" s="18">
        <v>232.0</v>
      </c>
      <c r="M241" s="18">
        <v>164.3</v>
      </c>
      <c r="N241" s="78"/>
      <c r="O241" s="20">
        <v>0.0</v>
      </c>
      <c r="P241" s="21">
        <v>0.0</v>
      </c>
      <c r="Q241" s="5">
        <v>0.0</v>
      </c>
      <c r="R241" s="35"/>
      <c r="S241" s="5">
        <v>38.76810308</v>
      </c>
      <c r="T241" s="5">
        <v>-81.69629994</v>
      </c>
      <c r="U241" s="1">
        <v>10.0</v>
      </c>
      <c r="V241" s="5" t="s">
        <v>342</v>
      </c>
      <c r="W241" s="5">
        <v>3.0</v>
      </c>
      <c r="X241" s="5">
        <v>0.0</v>
      </c>
      <c r="Y241" s="5" t="s">
        <v>116</v>
      </c>
      <c r="Z241" s="24">
        <v>0.0</v>
      </c>
      <c r="AA241" s="25">
        <v>4.0</v>
      </c>
      <c r="AB241" s="25">
        <v>6.0</v>
      </c>
      <c r="AC241" s="15"/>
      <c r="AD241" s="38"/>
      <c r="AE241" s="26">
        <v>1.4</v>
      </c>
      <c r="AF241" s="26" t="str">
        <f t="shared" si="3"/>
        <v/>
      </c>
      <c r="AG241" s="16" t="str">
        <f t="shared" si="4"/>
        <v>Verify</v>
      </c>
      <c r="AH241" s="15" t="str">
        <f t="shared" si="5"/>
        <v>No</v>
      </c>
      <c r="AI241" s="32">
        <v>3.8</v>
      </c>
      <c r="AJ241" s="16" t="s">
        <v>230</v>
      </c>
      <c r="AK241" s="15"/>
      <c r="AL241" s="15"/>
      <c r="AM241" s="15"/>
      <c r="AN241" s="9"/>
      <c r="AO241" s="9">
        <f t="shared" si="21"/>
        <v>27.9</v>
      </c>
      <c r="AP241" s="9" t="str">
        <f t="shared" si="22"/>
        <v/>
      </c>
      <c r="AQ241" s="9" t="str">
        <f t="shared" si="23"/>
        <v/>
      </c>
      <c r="AR241" s="9" t="str">
        <f t="shared" si="24"/>
        <v/>
      </c>
      <c r="AS241" s="16" t="s">
        <v>302</v>
      </c>
      <c r="AT241" s="15"/>
      <c r="AU241" s="15"/>
    </row>
    <row r="242" ht="15.75" customHeight="1">
      <c r="A242" s="15" t="str">
        <f t="shared" si="1"/>
        <v/>
      </c>
      <c r="B242" s="15" t="str">
        <f t="shared" si="20"/>
        <v/>
      </c>
      <c r="C242" s="15"/>
      <c r="D242" s="16" t="s">
        <v>141</v>
      </c>
      <c r="E242" s="15"/>
      <c r="F242" s="12" t="s">
        <v>2295</v>
      </c>
      <c r="G242" s="47" t="s">
        <v>1630</v>
      </c>
      <c r="H242" s="12" t="s">
        <v>1633</v>
      </c>
      <c r="I242" s="13" t="s">
        <v>175</v>
      </c>
      <c r="J242" s="17" t="s">
        <v>392</v>
      </c>
      <c r="K242" s="18">
        <v>38.0</v>
      </c>
      <c r="L242" s="18">
        <v>65.0</v>
      </c>
      <c r="M242" s="18">
        <v>203.3</v>
      </c>
      <c r="N242" s="78"/>
      <c r="O242" s="20">
        <v>0.0</v>
      </c>
      <c r="P242" s="21">
        <v>103.0</v>
      </c>
      <c r="Q242" s="5">
        <v>0.0</v>
      </c>
      <c r="R242" s="35"/>
      <c r="S242" s="5">
        <v>37.42140068</v>
      </c>
      <c r="T242" s="5">
        <v>-81.19856962</v>
      </c>
      <c r="U242" s="1">
        <v>5.0</v>
      </c>
      <c r="V242" s="5" t="s">
        <v>540</v>
      </c>
      <c r="W242" s="5">
        <v>1.0</v>
      </c>
      <c r="X242" s="5">
        <v>0.0</v>
      </c>
      <c r="Y242" s="5" t="s">
        <v>116</v>
      </c>
      <c r="Z242" s="24">
        <v>0.0</v>
      </c>
      <c r="AA242" s="25">
        <v>2.0</v>
      </c>
      <c r="AB242" s="25">
        <v>4.0</v>
      </c>
      <c r="AC242" s="15"/>
      <c r="AD242" s="38"/>
      <c r="AE242" s="26">
        <v>1.0</v>
      </c>
      <c r="AF242" s="26" t="str">
        <f t="shared" si="3"/>
        <v/>
      </c>
      <c r="AG242" s="16" t="str">
        <f t="shared" si="4"/>
        <v>Verify</v>
      </c>
      <c r="AH242" s="15" t="str">
        <f t="shared" si="5"/>
        <v>No</v>
      </c>
      <c r="AI242" s="32">
        <v>0.0</v>
      </c>
      <c r="AJ242" s="16" t="s">
        <v>230</v>
      </c>
      <c r="AK242" s="15"/>
      <c r="AL242" s="15"/>
      <c r="AM242" s="15"/>
      <c r="AN242" s="9"/>
      <c r="AO242" s="9">
        <f t="shared" si="21"/>
        <v>7.3</v>
      </c>
      <c r="AP242" s="9" t="str">
        <f t="shared" si="22"/>
        <v/>
      </c>
      <c r="AQ242" s="9" t="str">
        <f t="shared" si="23"/>
        <v/>
      </c>
      <c r="AR242" s="9" t="str">
        <f t="shared" si="24"/>
        <v/>
      </c>
      <c r="AS242" s="16" t="s">
        <v>302</v>
      </c>
      <c r="AT242" s="15"/>
      <c r="AU242" s="15"/>
    </row>
    <row r="243" ht="15.75" customHeight="1">
      <c r="A243" s="15">
        <f t="shared" si="1"/>
        <v>41</v>
      </c>
      <c r="B243" s="15" t="str">
        <f t="shared" si="20"/>
        <v>Tier 2</v>
      </c>
      <c r="C243" s="15"/>
      <c r="D243" s="16" t="s">
        <v>141</v>
      </c>
      <c r="E243" s="15"/>
      <c r="F243" s="12" t="s">
        <v>2296</v>
      </c>
      <c r="G243" s="11" t="s">
        <v>2297</v>
      </c>
      <c r="H243" s="12" t="s">
        <v>1636</v>
      </c>
      <c r="I243" s="13" t="s">
        <v>273</v>
      </c>
      <c r="J243" s="17" t="s">
        <v>576</v>
      </c>
      <c r="K243" s="18">
        <v>116.0</v>
      </c>
      <c r="L243" s="18">
        <v>189.0</v>
      </c>
      <c r="M243" s="18">
        <v>168.2</v>
      </c>
      <c r="N243" s="78"/>
      <c r="O243" s="20">
        <v>82.0</v>
      </c>
      <c r="P243" s="21">
        <v>0.0</v>
      </c>
      <c r="Q243" s="5">
        <v>0.3</v>
      </c>
      <c r="R243" s="22">
        <v>46473.0</v>
      </c>
      <c r="S243" s="5">
        <v>39.32826097</v>
      </c>
      <c r="T243" s="5">
        <v>-78.70658915</v>
      </c>
      <c r="U243" s="1">
        <v>2.0</v>
      </c>
      <c r="V243" s="5" t="s">
        <v>180</v>
      </c>
      <c r="W243" s="5">
        <v>0.0</v>
      </c>
      <c r="X243" s="5">
        <v>0.0</v>
      </c>
      <c r="Y243" s="5" t="s">
        <v>116</v>
      </c>
      <c r="Z243" s="24">
        <v>0.0</v>
      </c>
      <c r="AA243" s="25">
        <v>4.0</v>
      </c>
      <c r="AB243" s="25">
        <v>6.0</v>
      </c>
      <c r="AC243" s="16" t="s">
        <v>589</v>
      </c>
      <c r="AD243" s="26">
        <v>13.12</v>
      </c>
      <c r="AE243" s="26">
        <v>3.3</v>
      </c>
      <c r="AF243" s="26">
        <f t="shared" si="3"/>
        <v>9.82</v>
      </c>
      <c r="AG243" s="16" t="str">
        <f t="shared" si="4"/>
        <v>Yes</v>
      </c>
      <c r="AH243" s="15" t="str">
        <f t="shared" si="5"/>
        <v>No</v>
      </c>
      <c r="AI243" s="32">
        <v>0.2</v>
      </c>
      <c r="AJ243" s="16" t="s">
        <v>230</v>
      </c>
      <c r="AK243" s="15"/>
      <c r="AL243" s="15"/>
      <c r="AM243" s="15"/>
      <c r="AN243" s="9"/>
      <c r="AO243" s="9">
        <f t="shared" si="21"/>
        <v>22.4</v>
      </c>
      <c r="AP243" s="9">
        <f t="shared" si="22"/>
        <v>50.4</v>
      </c>
      <c r="AQ243" s="9">
        <f t="shared" si="23"/>
        <v>11.4</v>
      </c>
      <c r="AR243" s="9">
        <f t="shared" si="24"/>
        <v>32.4</v>
      </c>
      <c r="AS243" s="16" t="s">
        <v>302</v>
      </c>
      <c r="AT243" s="15"/>
      <c r="AU243" s="15"/>
    </row>
    <row r="244" ht="15.75" customHeight="1">
      <c r="A244" s="15" t="str">
        <f t="shared" si="1"/>
        <v/>
      </c>
      <c r="B244" s="15" t="str">
        <f t="shared" si="20"/>
        <v/>
      </c>
      <c r="C244" s="15"/>
      <c r="D244" s="16" t="s">
        <v>141</v>
      </c>
      <c r="E244" s="15"/>
      <c r="F244" s="12" t="s">
        <v>2298</v>
      </c>
      <c r="G244" s="11" t="s">
        <v>2299</v>
      </c>
      <c r="H244" s="12">
        <v>24970.0</v>
      </c>
      <c r="I244" s="13" t="s">
        <v>82</v>
      </c>
      <c r="J244" s="17" t="s">
        <v>331</v>
      </c>
      <c r="K244" s="18">
        <v>50.0</v>
      </c>
      <c r="L244" s="18">
        <v>71.0</v>
      </c>
      <c r="M244" s="18">
        <v>92.3</v>
      </c>
      <c r="N244" s="78"/>
      <c r="O244" s="20">
        <v>86.0</v>
      </c>
      <c r="P244" s="21">
        <v>0.0</v>
      </c>
      <c r="Q244" s="5">
        <v>0.0</v>
      </c>
      <c r="R244" s="22">
        <v>41116.0</v>
      </c>
      <c r="S244" s="5">
        <v>37.71354646</v>
      </c>
      <c r="T244" s="5">
        <v>-80.44191871</v>
      </c>
      <c r="U244" s="1">
        <v>7.0</v>
      </c>
      <c r="V244" s="5" t="s">
        <v>1254</v>
      </c>
      <c r="W244" s="5">
        <v>2.0</v>
      </c>
      <c r="X244" s="5">
        <v>0.0</v>
      </c>
      <c r="Y244" s="5" t="s">
        <v>116</v>
      </c>
      <c r="Z244" s="24">
        <v>0.0</v>
      </c>
      <c r="AA244" s="25">
        <v>4.0</v>
      </c>
      <c r="AB244" s="25">
        <v>6.0</v>
      </c>
      <c r="AC244" s="15"/>
      <c r="AD244" s="38"/>
      <c r="AE244" s="26">
        <v>2.0</v>
      </c>
      <c r="AF244" s="26" t="str">
        <f t="shared" si="3"/>
        <v/>
      </c>
      <c r="AG244" s="16" t="str">
        <f t="shared" si="4"/>
        <v>Verify</v>
      </c>
      <c r="AH244" s="15" t="str">
        <f t="shared" si="5"/>
        <v>No</v>
      </c>
      <c r="AI244" s="32">
        <v>4.0</v>
      </c>
      <c r="AJ244" s="16" t="s">
        <v>230</v>
      </c>
      <c r="AK244" s="15"/>
      <c r="AL244" s="15"/>
      <c r="AM244" s="15"/>
      <c r="AN244" s="9"/>
      <c r="AO244" s="9">
        <f t="shared" si="21"/>
        <v>9.6</v>
      </c>
      <c r="AP244" s="9" t="str">
        <f t="shared" si="22"/>
        <v/>
      </c>
      <c r="AQ244" s="9">
        <f t="shared" si="23"/>
        <v>12.1</v>
      </c>
      <c r="AR244" s="9" t="str">
        <f t="shared" si="24"/>
        <v/>
      </c>
      <c r="AS244" s="16" t="s">
        <v>302</v>
      </c>
      <c r="AT244" s="15"/>
      <c r="AU244" s="15"/>
    </row>
    <row r="245" ht="15.75" customHeight="1">
      <c r="A245" s="15" t="str">
        <f t="shared" si="1"/>
        <v/>
      </c>
      <c r="B245" s="15" t="str">
        <f t="shared" si="20"/>
        <v/>
      </c>
      <c r="C245" s="15"/>
      <c r="D245" s="16" t="s">
        <v>141</v>
      </c>
      <c r="E245" s="15"/>
      <c r="F245" s="12" t="s">
        <v>2300</v>
      </c>
      <c r="G245" s="11" t="s">
        <v>2301</v>
      </c>
      <c r="H245" s="12" t="s">
        <v>1641</v>
      </c>
      <c r="I245" s="13" t="s">
        <v>82</v>
      </c>
      <c r="J245" s="17" t="s">
        <v>331</v>
      </c>
      <c r="K245" s="18">
        <v>50.0</v>
      </c>
      <c r="L245" s="18">
        <v>71.0</v>
      </c>
      <c r="M245" s="18">
        <v>92.3</v>
      </c>
      <c r="N245" s="78"/>
      <c r="O245" s="20">
        <v>86.0</v>
      </c>
      <c r="P245" s="21">
        <v>0.0</v>
      </c>
      <c r="Q245" s="5">
        <v>0.0</v>
      </c>
      <c r="R245" s="22">
        <v>41116.0</v>
      </c>
      <c r="S245" s="5">
        <v>37.76562956</v>
      </c>
      <c r="T245" s="5">
        <v>-80.46565458</v>
      </c>
      <c r="U245" s="1">
        <v>7.0</v>
      </c>
      <c r="V245" s="5" t="s">
        <v>1254</v>
      </c>
      <c r="W245" s="5">
        <v>2.0</v>
      </c>
      <c r="X245" s="5">
        <v>0.0</v>
      </c>
      <c r="Y245" s="5" t="s">
        <v>116</v>
      </c>
      <c r="Z245" s="24">
        <v>0.0</v>
      </c>
      <c r="AA245" s="25">
        <v>5.0</v>
      </c>
      <c r="AB245" s="25">
        <v>7.0</v>
      </c>
      <c r="AC245" s="15"/>
      <c r="AD245" s="38"/>
      <c r="AE245" s="26">
        <v>2.6</v>
      </c>
      <c r="AF245" s="26" t="str">
        <f t="shared" si="3"/>
        <v/>
      </c>
      <c r="AG245" s="16" t="str">
        <f t="shared" si="4"/>
        <v>Verify</v>
      </c>
      <c r="AH245" s="15" t="str">
        <f t="shared" si="5"/>
        <v>No</v>
      </c>
      <c r="AI245" s="32">
        <v>0.2</v>
      </c>
      <c r="AJ245" s="16" t="s">
        <v>230</v>
      </c>
      <c r="AK245" s="15"/>
      <c r="AL245" s="15"/>
      <c r="AM245" s="15"/>
      <c r="AN245" s="9"/>
      <c r="AO245" s="9">
        <f t="shared" si="21"/>
        <v>9.6</v>
      </c>
      <c r="AP245" s="9" t="str">
        <f t="shared" si="22"/>
        <v/>
      </c>
      <c r="AQ245" s="9">
        <f t="shared" si="23"/>
        <v>12.1</v>
      </c>
      <c r="AR245" s="9" t="str">
        <f t="shared" si="24"/>
        <v/>
      </c>
      <c r="AS245" s="16" t="s">
        <v>302</v>
      </c>
      <c r="AT245" s="15"/>
      <c r="AU245" s="15"/>
    </row>
    <row r="246" ht="15.75" customHeight="1">
      <c r="A246" s="15">
        <f t="shared" si="1"/>
        <v>35</v>
      </c>
      <c r="B246" s="15" t="str">
        <f t="shared" si="20"/>
        <v>Tier 2</v>
      </c>
      <c r="C246" s="15"/>
      <c r="D246" s="16" t="s">
        <v>141</v>
      </c>
      <c r="E246" s="15"/>
      <c r="F246" s="12" t="s">
        <v>2302</v>
      </c>
      <c r="G246" s="11" t="s">
        <v>2303</v>
      </c>
      <c r="H246" s="12">
        <v>25984.0</v>
      </c>
      <c r="I246" s="13" t="s">
        <v>82</v>
      </c>
      <c r="J246" s="17" t="s">
        <v>331</v>
      </c>
      <c r="K246" s="18">
        <v>43.0</v>
      </c>
      <c r="L246" s="18">
        <v>66.0</v>
      </c>
      <c r="M246" s="18">
        <v>304.7</v>
      </c>
      <c r="N246" s="78"/>
      <c r="O246" s="20">
        <v>132.0</v>
      </c>
      <c r="P246" s="21">
        <v>0.0</v>
      </c>
      <c r="Q246" s="5">
        <v>2.2</v>
      </c>
      <c r="R246" s="22">
        <v>44271.0</v>
      </c>
      <c r="S246" s="5">
        <v>37.96421197</v>
      </c>
      <c r="T246" s="5">
        <v>-80.69634395</v>
      </c>
      <c r="U246" s="1">
        <v>8.0</v>
      </c>
      <c r="V246" s="5" t="s">
        <v>1254</v>
      </c>
      <c r="W246" s="5">
        <v>2.0</v>
      </c>
      <c r="X246" s="5">
        <v>0.0</v>
      </c>
      <c r="Y246" s="5" t="s">
        <v>116</v>
      </c>
      <c r="Z246" s="24">
        <v>0.0</v>
      </c>
      <c r="AA246" s="25">
        <v>4.0</v>
      </c>
      <c r="AB246" s="25">
        <v>6.0</v>
      </c>
      <c r="AC246" s="16" t="s">
        <v>1696</v>
      </c>
      <c r="AD246" s="26">
        <v>17.83</v>
      </c>
      <c r="AE246" s="26">
        <v>6.0</v>
      </c>
      <c r="AF246" s="26">
        <f t="shared" si="3"/>
        <v>11.83</v>
      </c>
      <c r="AG246" s="16" t="str">
        <f t="shared" si="4"/>
        <v>Yes</v>
      </c>
      <c r="AH246" s="15" t="str">
        <f t="shared" si="5"/>
        <v>No</v>
      </c>
      <c r="AI246" s="32">
        <v>4.3</v>
      </c>
      <c r="AJ246" s="16" t="s">
        <v>230</v>
      </c>
      <c r="AK246" s="15"/>
      <c r="AL246" s="15"/>
      <c r="AM246" s="15"/>
      <c r="AN246" s="9"/>
      <c r="AO246" s="9">
        <f t="shared" si="21"/>
        <v>8.3</v>
      </c>
      <c r="AP246" s="9">
        <f t="shared" si="22"/>
        <v>64.5</v>
      </c>
      <c r="AQ246" s="9">
        <f t="shared" si="23"/>
        <v>12.6</v>
      </c>
      <c r="AR246" s="9">
        <f t="shared" si="24"/>
        <v>34.2</v>
      </c>
      <c r="AS246" s="16" t="s">
        <v>302</v>
      </c>
      <c r="AT246" s="15"/>
      <c r="AU246" s="15"/>
    </row>
    <row r="247" ht="15.75" customHeight="1">
      <c r="A247" s="15">
        <f t="shared" si="1"/>
        <v>17</v>
      </c>
      <c r="B247" s="15" t="str">
        <f t="shared" si="20"/>
        <v>Tier 1</v>
      </c>
      <c r="C247" s="15"/>
      <c r="D247" s="16" t="s">
        <v>141</v>
      </c>
      <c r="E247" s="15"/>
      <c r="F247" s="12" t="s">
        <v>2304</v>
      </c>
      <c r="G247" s="11" t="s">
        <v>2305</v>
      </c>
      <c r="H247" s="12" t="s">
        <v>1647</v>
      </c>
      <c r="I247" s="13" t="s">
        <v>128</v>
      </c>
      <c r="J247" s="17" t="s">
        <v>715</v>
      </c>
      <c r="K247" s="18">
        <v>305.0</v>
      </c>
      <c r="L247" s="18">
        <v>454.0</v>
      </c>
      <c r="M247" s="18">
        <v>821.6</v>
      </c>
      <c r="N247" s="78"/>
      <c r="O247" s="20">
        <v>19.0</v>
      </c>
      <c r="P247" s="21">
        <v>119.0</v>
      </c>
      <c r="Q247" s="5">
        <v>0.0</v>
      </c>
      <c r="R247" s="22">
        <v>32159.0</v>
      </c>
      <c r="S247" s="5">
        <v>38.38965681</v>
      </c>
      <c r="T247" s="5">
        <v>-81.83822828</v>
      </c>
      <c r="U247" s="1">
        <v>1.0</v>
      </c>
      <c r="V247" s="5" t="s">
        <v>180</v>
      </c>
      <c r="W247" s="5">
        <v>0.0</v>
      </c>
      <c r="X247" s="5">
        <v>0.0</v>
      </c>
      <c r="Y247" s="5" t="s">
        <v>116</v>
      </c>
      <c r="Z247" s="24">
        <v>0.0</v>
      </c>
      <c r="AA247" s="25">
        <v>1.0</v>
      </c>
      <c r="AB247" s="25">
        <v>2.0</v>
      </c>
      <c r="AC247" s="16" t="s">
        <v>2201</v>
      </c>
      <c r="AD247" s="26">
        <v>0.58</v>
      </c>
      <c r="AE247" s="26">
        <v>1.6</v>
      </c>
      <c r="AF247" s="26">
        <f t="shared" si="3"/>
        <v>0</v>
      </c>
      <c r="AG247" s="16" t="str">
        <f t="shared" si="4"/>
        <v>No</v>
      </c>
      <c r="AH247" s="15" t="str">
        <f t="shared" si="5"/>
        <v>No</v>
      </c>
      <c r="AI247" s="32">
        <v>0.7</v>
      </c>
      <c r="AJ247" s="16" t="s">
        <v>230</v>
      </c>
      <c r="AK247" s="15"/>
      <c r="AL247" s="15"/>
      <c r="AM247" s="15"/>
      <c r="AN247" s="9"/>
      <c r="AO247" s="9">
        <f t="shared" si="21"/>
        <v>58.8</v>
      </c>
      <c r="AP247" s="9">
        <f t="shared" si="22"/>
        <v>33.7</v>
      </c>
      <c r="AQ247" s="9">
        <f t="shared" si="23"/>
        <v>16.1</v>
      </c>
      <c r="AR247" s="9">
        <f t="shared" si="24"/>
        <v>38.2</v>
      </c>
      <c r="AS247" s="16" t="s">
        <v>230</v>
      </c>
      <c r="AT247" s="15"/>
      <c r="AU247" s="15"/>
    </row>
    <row r="248" ht="15.75" customHeight="1">
      <c r="A248" s="15">
        <f t="shared" si="1"/>
        <v>8</v>
      </c>
      <c r="B248" s="15" t="str">
        <f t="shared" si="20"/>
        <v>Tier 1</v>
      </c>
      <c r="C248" s="15"/>
      <c r="D248" s="16" t="s">
        <v>141</v>
      </c>
      <c r="E248" s="15"/>
      <c r="F248" s="12" t="s">
        <v>2306</v>
      </c>
      <c r="G248" s="11" t="s">
        <v>2307</v>
      </c>
      <c r="H248" s="12" t="s">
        <v>1649</v>
      </c>
      <c r="I248" s="13" t="s">
        <v>128</v>
      </c>
      <c r="J248" s="17" t="s">
        <v>715</v>
      </c>
      <c r="K248" s="18">
        <v>305.0</v>
      </c>
      <c r="L248" s="18">
        <v>454.0</v>
      </c>
      <c r="M248" s="18">
        <v>821.6</v>
      </c>
      <c r="N248" s="78"/>
      <c r="O248" s="20">
        <v>19.0</v>
      </c>
      <c r="P248" s="21">
        <v>119.0</v>
      </c>
      <c r="Q248" s="5">
        <v>0.0</v>
      </c>
      <c r="R248" s="22">
        <v>32159.0</v>
      </c>
      <c r="S248" s="5">
        <v>38.34551606</v>
      </c>
      <c r="T248" s="5">
        <v>-81.85988515</v>
      </c>
      <c r="U248" s="1">
        <v>1.0</v>
      </c>
      <c r="V248" s="5" t="s">
        <v>180</v>
      </c>
      <c r="W248" s="5">
        <v>0.0</v>
      </c>
      <c r="X248" s="5">
        <v>0.0</v>
      </c>
      <c r="Y248" s="5" t="s">
        <v>116</v>
      </c>
      <c r="Z248" s="24">
        <v>0.0</v>
      </c>
      <c r="AA248" s="25">
        <v>1.0</v>
      </c>
      <c r="AB248" s="25">
        <v>2.0</v>
      </c>
      <c r="AC248" s="16" t="s">
        <v>2201</v>
      </c>
      <c r="AD248" s="26">
        <v>3.44</v>
      </c>
      <c r="AE248" s="26">
        <v>1.7</v>
      </c>
      <c r="AF248" s="26">
        <f t="shared" si="3"/>
        <v>1.74</v>
      </c>
      <c r="AG248" s="16" t="str">
        <f t="shared" si="4"/>
        <v>No</v>
      </c>
      <c r="AH248" s="15" t="str">
        <f t="shared" si="5"/>
        <v>No</v>
      </c>
      <c r="AI248" s="32">
        <v>3.4</v>
      </c>
      <c r="AJ248" s="16" t="s">
        <v>230</v>
      </c>
      <c r="AK248" s="15"/>
      <c r="AL248" s="15"/>
      <c r="AM248" s="15"/>
      <c r="AN248" s="9"/>
      <c r="AO248" s="9">
        <f t="shared" si="21"/>
        <v>58.8</v>
      </c>
      <c r="AP248" s="9">
        <f t="shared" si="22"/>
        <v>42.3</v>
      </c>
      <c r="AQ248" s="9">
        <f t="shared" si="23"/>
        <v>16.1</v>
      </c>
      <c r="AR248" s="9">
        <f t="shared" si="24"/>
        <v>42</v>
      </c>
      <c r="AS248" s="16" t="s">
        <v>230</v>
      </c>
      <c r="AT248" s="15"/>
      <c r="AU248" s="15"/>
    </row>
    <row r="249" ht="15.75" customHeight="1">
      <c r="A249" s="15">
        <f t="shared" si="1"/>
        <v>25</v>
      </c>
      <c r="B249" s="15" t="str">
        <f t="shared" si="20"/>
        <v>Tier 1</v>
      </c>
      <c r="C249" s="15"/>
      <c r="D249" s="16" t="s">
        <v>141</v>
      </c>
      <c r="E249" s="15"/>
      <c r="F249" s="12" t="s">
        <v>2308</v>
      </c>
      <c r="G249" s="11" t="s">
        <v>2309</v>
      </c>
      <c r="H249" s="12" t="s">
        <v>1651</v>
      </c>
      <c r="I249" s="13" t="s">
        <v>128</v>
      </c>
      <c r="J249" s="17" t="s">
        <v>715</v>
      </c>
      <c r="K249" s="18">
        <v>305.0</v>
      </c>
      <c r="L249" s="18">
        <v>454.0</v>
      </c>
      <c r="M249" s="18">
        <v>821.6</v>
      </c>
      <c r="N249" s="78"/>
      <c r="O249" s="20">
        <v>19.0</v>
      </c>
      <c r="P249" s="21">
        <v>0.0</v>
      </c>
      <c r="Q249" s="5">
        <v>0.0</v>
      </c>
      <c r="R249" s="22">
        <v>32159.0</v>
      </c>
      <c r="S249" s="5">
        <v>38.37693327</v>
      </c>
      <c r="T249" s="5">
        <v>-81.80520742</v>
      </c>
      <c r="U249" s="1">
        <v>1.0</v>
      </c>
      <c r="V249" s="5" t="s">
        <v>180</v>
      </c>
      <c r="W249" s="5">
        <v>0.0</v>
      </c>
      <c r="X249" s="5">
        <v>0.0</v>
      </c>
      <c r="Y249" s="5" t="s">
        <v>116</v>
      </c>
      <c r="Z249" s="24">
        <v>0.0</v>
      </c>
      <c r="AA249" s="25">
        <v>1.0</v>
      </c>
      <c r="AB249" s="25">
        <v>2.0</v>
      </c>
      <c r="AC249" s="16" t="s">
        <v>2310</v>
      </c>
      <c r="AD249" s="26">
        <v>0.01</v>
      </c>
      <c r="AE249" s="26">
        <v>2.5</v>
      </c>
      <c r="AF249" s="26">
        <f t="shared" si="3"/>
        <v>0</v>
      </c>
      <c r="AG249" s="16" t="str">
        <f t="shared" si="4"/>
        <v>No</v>
      </c>
      <c r="AH249" s="15" t="str">
        <f t="shared" si="5"/>
        <v>No</v>
      </c>
      <c r="AI249" s="32">
        <v>0.0</v>
      </c>
      <c r="AJ249" s="16" t="s">
        <v>230</v>
      </c>
      <c r="AK249" s="15"/>
      <c r="AL249" s="15"/>
      <c r="AM249" s="15"/>
      <c r="AN249" s="9"/>
      <c r="AO249" s="9">
        <f t="shared" si="21"/>
        <v>58.8</v>
      </c>
      <c r="AP249" s="9">
        <f t="shared" si="22"/>
        <v>32</v>
      </c>
      <c r="AQ249" s="9">
        <f t="shared" si="23"/>
        <v>12.4</v>
      </c>
      <c r="AR249" s="9">
        <f t="shared" si="24"/>
        <v>36.6</v>
      </c>
      <c r="AS249" s="16" t="s">
        <v>230</v>
      </c>
      <c r="AT249" s="15"/>
      <c r="AU249" s="15"/>
    </row>
    <row r="250" ht="15.75" customHeight="1">
      <c r="A250" s="15">
        <f t="shared" si="1"/>
        <v>32</v>
      </c>
      <c r="B250" s="15" t="str">
        <f t="shared" si="20"/>
        <v>Tier 2</v>
      </c>
      <c r="C250" s="15"/>
      <c r="D250" s="16" t="s">
        <v>141</v>
      </c>
      <c r="E250" s="15"/>
      <c r="F250" s="12" t="s">
        <v>2311</v>
      </c>
      <c r="G250" s="11" t="s">
        <v>2312</v>
      </c>
      <c r="H250" s="12">
        <v>25177.0</v>
      </c>
      <c r="I250" s="13" t="s">
        <v>128</v>
      </c>
      <c r="J250" s="17" t="s">
        <v>715</v>
      </c>
      <c r="K250" s="18">
        <v>305.0</v>
      </c>
      <c r="L250" s="18">
        <v>454.0</v>
      </c>
      <c r="M250" s="18">
        <v>821.6</v>
      </c>
      <c r="N250" s="78"/>
      <c r="O250" s="20">
        <v>19.0</v>
      </c>
      <c r="P250" s="21">
        <v>0.0</v>
      </c>
      <c r="Q250" s="5">
        <v>0.0</v>
      </c>
      <c r="R250" s="22">
        <v>32159.0</v>
      </c>
      <c r="S250" s="5">
        <v>38.39838949</v>
      </c>
      <c r="T250" s="5">
        <v>-81.85588074</v>
      </c>
      <c r="U250" s="1">
        <v>1.0</v>
      </c>
      <c r="V250" s="5" t="s">
        <v>180</v>
      </c>
      <c r="W250" s="5">
        <v>0.0</v>
      </c>
      <c r="X250" s="5">
        <v>0.0</v>
      </c>
      <c r="Y250" s="5" t="s">
        <v>116</v>
      </c>
      <c r="Z250" s="24">
        <v>0.0</v>
      </c>
      <c r="AA250" s="25">
        <v>2.0</v>
      </c>
      <c r="AB250" s="25">
        <v>4.0</v>
      </c>
      <c r="AC250" s="16" t="s">
        <v>2201</v>
      </c>
      <c r="AD250" s="26">
        <v>1.68</v>
      </c>
      <c r="AE250" s="26">
        <v>2.0</v>
      </c>
      <c r="AF250" s="26">
        <f t="shared" si="3"/>
        <v>0</v>
      </c>
      <c r="AG250" s="16" t="str">
        <f t="shared" si="4"/>
        <v>No</v>
      </c>
      <c r="AH250" s="15" t="str">
        <f t="shared" si="5"/>
        <v>No</v>
      </c>
      <c r="AI250" s="32">
        <v>1.8</v>
      </c>
      <c r="AJ250" s="16" t="s">
        <v>230</v>
      </c>
      <c r="AK250" s="15"/>
      <c r="AL250" s="15"/>
      <c r="AM250" s="15"/>
      <c r="AN250" s="9"/>
      <c r="AO250" s="9">
        <f t="shared" si="21"/>
        <v>58.8</v>
      </c>
      <c r="AP250" s="9">
        <f t="shared" si="22"/>
        <v>29</v>
      </c>
      <c r="AQ250" s="9">
        <f t="shared" si="23"/>
        <v>12.4</v>
      </c>
      <c r="AR250" s="9">
        <f t="shared" si="24"/>
        <v>35.2</v>
      </c>
      <c r="AS250" s="16" t="s">
        <v>302</v>
      </c>
      <c r="AT250" s="15"/>
      <c r="AU250" s="15"/>
    </row>
    <row r="251" ht="15.75" customHeight="1">
      <c r="A251" s="15">
        <f t="shared" si="1"/>
        <v>57</v>
      </c>
      <c r="B251" s="15" t="str">
        <f t="shared" si="20"/>
        <v>Tier 3</v>
      </c>
      <c r="C251" s="15"/>
      <c r="D251" s="16" t="s">
        <v>141</v>
      </c>
      <c r="E251" s="15"/>
      <c r="F251" s="12" t="s">
        <v>2313</v>
      </c>
      <c r="G251" s="11" t="s">
        <v>2314</v>
      </c>
      <c r="H251" s="12" t="s">
        <v>1656</v>
      </c>
      <c r="I251" s="13" t="s">
        <v>128</v>
      </c>
      <c r="J251" s="17" t="s">
        <v>715</v>
      </c>
      <c r="K251" s="18">
        <v>305.0</v>
      </c>
      <c r="L251" s="18">
        <v>454.0</v>
      </c>
      <c r="M251" s="18">
        <v>821.6</v>
      </c>
      <c r="N251" s="78"/>
      <c r="O251" s="20">
        <v>19.0</v>
      </c>
      <c r="P251" s="21">
        <v>0.0</v>
      </c>
      <c r="Q251" s="5">
        <v>0.0</v>
      </c>
      <c r="R251" s="22">
        <v>32159.0</v>
      </c>
      <c r="S251" s="5">
        <v>38.37037529</v>
      </c>
      <c r="T251" s="5">
        <v>-81.76831569</v>
      </c>
      <c r="U251" s="1">
        <v>1.0</v>
      </c>
      <c r="V251" s="5" t="s">
        <v>180</v>
      </c>
      <c r="W251" s="5">
        <v>0.0</v>
      </c>
      <c r="X251" s="5">
        <v>0.0</v>
      </c>
      <c r="Y251" s="5" t="s">
        <v>116</v>
      </c>
      <c r="Z251" s="24">
        <v>0.0</v>
      </c>
      <c r="AA251" s="25">
        <v>5.0</v>
      </c>
      <c r="AB251" s="25">
        <v>7.0</v>
      </c>
      <c r="AC251" s="16" t="s">
        <v>2310</v>
      </c>
      <c r="AD251" s="26">
        <v>2.06</v>
      </c>
      <c r="AE251" s="26">
        <v>4.5</v>
      </c>
      <c r="AF251" s="26">
        <f t="shared" si="3"/>
        <v>0</v>
      </c>
      <c r="AG251" s="16" t="str">
        <f t="shared" si="4"/>
        <v>No</v>
      </c>
      <c r="AH251" s="15" t="str">
        <f t="shared" si="5"/>
        <v>No</v>
      </c>
      <c r="AI251" s="32">
        <v>1.7</v>
      </c>
      <c r="AJ251" s="16" t="s">
        <v>230</v>
      </c>
      <c r="AK251" s="15"/>
      <c r="AL251" s="15"/>
      <c r="AM251" s="15"/>
      <c r="AN251" s="9"/>
      <c r="AO251" s="9">
        <f t="shared" si="21"/>
        <v>58.8</v>
      </c>
      <c r="AP251" s="9">
        <f t="shared" si="22"/>
        <v>10.7</v>
      </c>
      <c r="AQ251" s="9">
        <f t="shared" si="23"/>
        <v>12.4</v>
      </c>
      <c r="AR251" s="9">
        <f t="shared" si="24"/>
        <v>27.1</v>
      </c>
      <c r="AS251" s="16" t="s">
        <v>556</v>
      </c>
      <c r="AT251" s="15"/>
      <c r="AU251" s="15"/>
    </row>
    <row r="252" ht="15.75" customHeight="1">
      <c r="A252" s="15">
        <f t="shared" si="1"/>
        <v>15</v>
      </c>
      <c r="B252" s="15" t="str">
        <f t="shared" si="20"/>
        <v>Tier 1</v>
      </c>
      <c r="C252" s="15"/>
      <c r="D252" s="16" t="s">
        <v>141</v>
      </c>
      <c r="E252" s="15"/>
      <c r="F252" s="12" t="s">
        <v>2315</v>
      </c>
      <c r="G252" s="11" t="s">
        <v>2316</v>
      </c>
      <c r="H252" s="12">
        <v>25177.0</v>
      </c>
      <c r="I252" s="13" t="s">
        <v>128</v>
      </c>
      <c r="J252" s="17" t="s">
        <v>715</v>
      </c>
      <c r="K252" s="18">
        <v>305.0</v>
      </c>
      <c r="L252" s="18">
        <v>454.0</v>
      </c>
      <c r="M252" s="18">
        <v>821.6</v>
      </c>
      <c r="N252" s="78"/>
      <c r="O252" s="20">
        <v>19.0</v>
      </c>
      <c r="P252" s="21">
        <v>0.0</v>
      </c>
      <c r="Q252" s="5">
        <v>0.0</v>
      </c>
      <c r="R252" s="22">
        <v>32159.0</v>
      </c>
      <c r="S252" s="5">
        <v>38.36832134</v>
      </c>
      <c r="T252" s="5">
        <v>-81.82966923</v>
      </c>
      <c r="U252" s="1">
        <v>1.0</v>
      </c>
      <c r="V252" s="5" t="s">
        <v>180</v>
      </c>
      <c r="W252" s="5">
        <v>0.0</v>
      </c>
      <c r="X252" s="5">
        <v>0.0</v>
      </c>
      <c r="Y252" s="5" t="s">
        <v>116</v>
      </c>
      <c r="Z252" s="24">
        <v>0.0</v>
      </c>
      <c r="AA252" s="25">
        <v>1.0</v>
      </c>
      <c r="AB252" s="25">
        <v>2.0</v>
      </c>
      <c r="AC252" s="16" t="s">
        <v>2201</v>
      </c>
      <c r="AD252" s="26">
        <v>1.38</v>
      </c>
      <c r="AE252" s="26">
        <v>1.1</v>
      </c>
      <c r="AF252" s="26">
        <f t="shared" si="3"/>
        <v>0.28</v>
      </c>
      <c r="AG252" s="16" t="str">
        <f t="shared" si="4"/>
        <v>No</v>
      </c>
      <c r="AH252" s="15" t="str">
        <f t="shared" si="5"/>
        <v>No</v>
      </c>
      <c r="AI252" s="32">
        <v>1.3</v>
      </c>
      <c r="AJ252" s="16" t="s">
        <v>230</v>
      </c>
      <c r="AK252" s="15"/>
      <c r="AL252" s="15"/>
      <c r="AM252" s="15"/>
      <c r="AN252" s="9"/>
      <c r="AO252" s="9">
        <f t="shared" si="21"/>
        <v>58.8</v>
      </c>
      <c r="AP252" s="9">
        <f t="shared" si="22"/>
        <v>36.1</v>
      </c>
      <c r="AQ252" s="9">
        <f t="shared" si="23"/>
        <v>12.4</v>
      </c>
      <c r="AR252" s="9">
        <f t="shared" si="24"/>
        <v>38.4</v>
      </c>
      <c r="AS252" s="16" t="s">
        <v>230</v>
      </c>
      <c r="AT252" s="15"/>
      <c r="AU252" s="15"/>
    </row>
    <row r="253" ht="15.75" customHeight="1">
      <c r="A253" s="15" t="str">
        <f t="shared" si="1"/>
        <v/>
      </c>
      <c r="B253" s="15" t="str">
        <f t="shared" si="20"/>
        <v/>
      </c>
      <c r="C253" s="15"/>
      <c r="D253" s="16" t="s">
        <v>141</v>
      </c>
      <c r="E253" s="15"/>
      <c r="F253" s="12" t="s">
        <v>2317</v>
      </c>
      <c r="G253" s="11" t="s">
        <v>2318</v>
      </c>
      <c r="H253" s="12" t="s">
        <v>1659</v>
      </c>
      <c r="I253" s="13" t="s">
        <v>529</v>
      </c>
      <c r="J253" s="17" t="s">
        <v>439</v>
      </c>
      <c r="K253" s="18">
        <v>77.0</v>
      </c>
      <c r="L253" s="18">
        <v>133.0</v>
      </c>
      <c r="M253" s="18">
        <v>153.3</v>
      </c>
      <c r="N253" s="78"/>
      <c r="O253" s="20">
        <v>19.0</v>
      </c>
      <c r="P253" s="21">
        <v>0.0</v>
      </c>
      <c r="Q253" s="5">
        <v>0.0</v>
      </c>
      <c r="R253" s="22">
        <v>40463.0</v>
      </c>
      <c r="S253" s="5">
        <v>39.41399757</v>
      </c>
      <c r="T253" s="5">
        <v>-81.18967804</v>
      </c>
      <c r="U253" s="1">
        <v>10.0</v>
      </c>
      <c r="V253" s="5" t="s">
        <v>342</v>
      </c>
      <c r="W253" s="5">
        <v>3.0</v>
      </c>
      <c r="X253" s="5">
        <v>0.0</v>
      </c>
      <c r="Y253" s="5" t="s">
        <v>116</v>
      </c>
      <c r="Z253" s="24">
        <v>0.0</v>
      </c>
      <c r="AA253" s="37"/>
      <c r="AB253" s="37"/>
      <c r="AC253" s="16" t="s">
        <v>2319</v>
      </c>
      <c r="AD253" s="26">
        <v>0.03</v>
      </c>
      <c r="AE253" s="26">
        <v>3.6</v>
      </c>
      <c r="AF253" s="26">
        <f t="shared" si="3"/>
        <v>0</v>
      </c>
      <c r="AG253" s="16" t="str">
        <f t="shared" si="4"/>
        <v>No</v>
      </c>
      <c r="AH253" s="15" t="str">
        <f t="shared" si="5"/>
        <v>Verify</v>
      </c>
      <c r="AI253" s="32">
        <v>0.0</v>
      </c>
      <c r="AJ253" s="16" t="s">
        <v>230</v>
      </c>
      <c r="AK253" s="15"/>
      <c r="AL253" s="15"/>
      <c r="AM253" s="15"/>
      <c r="AN253" s="9"/>
      <c r="AO253" s="9">
        <f t="shared" si="21"/>
        <v>14.8</v>
      </c>
      <c r="AP253" s="9" t="str">
        <f t="shared" si="22"/>
        <v/>
      </c>
      <c r="AQ253" s="9">
        <f t="shared" si="23"/>
        <v>11.2</v>
      </c>
      <c r="AR253" s="9" t="str">
        <f t="shared" si="24"/>
        <v/>
      </c>
      <c r="AS253" s="16" t="s">
        <v>302</v>
      </c>
      <c r="AT253" s="15"/>
      <c r="AU253" s="15"/>
    </row>
    <row r="254" ht="15.75" customHeight="1">
      <c r="A254" s="15">
        <f t="shared" si="1"/>
        <v>65</v>
      </c>
      <c r="B254" s="15" t="str">
        <f t="shared" si="20"/>
        <v>Tier 3</v>
      </c>
      <c r="C254" s="15"/>
      <c r="D254" s="16" t="s">
        <v>141</v>
      </c>
      <c r="E254" s="15"/>
      <c r="F254" s="12" t="s">
        <v>2320</v>
      </c>
      <c r="G254" s="11" t="s">
        <v>2321</v>
      </c>
      <c r="H254" s="12" t="s">
        <v>1663</v>
      </c>
      <c r="I254" s="13" t="s">
        <v>101</v>
      </c>
      <c r="J254" s="17" t="s">
        <v>169</v>
      </c>
      <c r="K254" s="18">
        <v>92.0</v>
      </c>
      <c r="L254" s="18">
        <v>136.0</v>
      </c>
      <c r="M254" s="18">
        <v>150.8</v>
      </c>
      <c r="N254" s="78"/>
      <c r="O254" s="20">
        <v>20.0</v>
      </c>
      <c r="P254" s="21">
        <v>0.0</v>
      </c>
      <c r="Q254" s="5">
        <v>0.0</v>
      </c>
      <c r="R254" s="22">
        <v>72045.0</v>
      </c>
      <c r="S254" s="5">
        <v>39.28268766</v>
      </c>
      <c r="T254" s="5">
        <v>-80.55830372</v>
      </c>
      <c r="U254" s="1">
        <v>10.0</v>
      </c>
      <c r="V254" s="5" t="s">
        <v>342</v>
      </c>
      <c r="W254" s="5">
        <v>3.0</v>
      </c>
      <c r="X254" s="5">
        <v>0.0</v>
      </c>
      <c r="Y254" s="5" t="s">
        <v>116</v>
      </c>
      <c r="Z254" s="24">
        <v>0.0</v>
      </c>
      <c r="AA254" s="25">
        <v>0.0</v>
      </c>
      <c r="AB254" s="25">
        <v>0.0</v>
      </c>
      <c r="AC254" s="16" t="s">
        <v>2322</v>
      </c>
      <c r="AD254" s="26">
        <v>0.24</v>
      </c>
      <c r="AE254" s="26">
        <v>0.4</v>
      </c>
      <c r="AF254" s="26">
        <f t="shared" si="3"/>
        <v>0</v>
      </c>
      <c r="AG254" s="16" t="str">
        <f t="shared" si="4"/>
        <v>No</v>
      </c>
      <c r="AH254" s="15" t="str">
        <f t="shared" si="5"/>
        <v>Yes</v>
      </c>
      <c r="AI254" s="32">
        <v>0.1</v>
      </c>
      <c r="AJ254" s="16" t="s">
        <v>230</v>
      </c>
      <c r="AK254" s="15"/>
      <c r="AL254" s="15"/>
      <c r="AM254" s="15"/>
      <c r="AN254" s="9"/>
      <c r="AO254" s="9">
        <f t="shared" si="21"/>
        <v>17.7</v>
      </c>
      <c r="AP254" s="9">
        <f t="shared" si="22"/>
        <v>40.7</v>
      </c>
      <c r="AQ254" s="9">
        <f t="shared" si="23"/>
        <v>6.9</v>
      </c>
      <c r="AR254" s="9">
        <f t="shared" si="24"/>
        <v>25.5</v>
      </c>
      <c r="AS254" s="16" t="s">
        <v>556</v>
      </c>
      <c r="AT254" s="15"/>
      <c r="AU254" s="15"/>
    </row>
    <row r="255" ht="15.75" customHeight="1">
      <c r="A255" s="15" t="str">
        <f t="shared" si="1"/>
        <v/>
      </c>
      <c r="B255" s="15" t="str">
        <f t="shared" si="20"/>
        <v/>
      </c>
      <c r="C255" s="15"/>
      <c r="D255" s="16" t="s">
        <v>141</v>
      </c>
      <c r="E255" s="15"/>
      <c r="F255" s="12" t="s">
        <v>2323</v>
      </c>
      <c r="G255" s="11" t="s">
        <v>2324</v>
      </c>
      <c r="H255" s="12" t="s">
        <v>1665</v>
      </c>
      <c r="I255" s="13" t="s">
        <v>59</v>
      </c>
      <c r="J255" s="17" t="s">
        <v>715</v>
      </c>
      <c r="K255" s="18">
        <v>28.0</v>
      </c>
      <c r="L255" s="18">
        <v>40.0</v>
      </c>
      <c r="M255" s="18">
        <v>70.7</v>
      </c>
      <c r="N255" s="78"/>
      <c r="O255" s="20">
        <v>0.0</v>
      </c>
      <c r="P255" s="21">
        <v>15.0</v>
      </c>
      <c r="Q255" s="5">
        <v>0.0</v>
      </c>
      <c r="R255" s="35"/>
      <c r="S255" s="5">
        <v>38.32369924</v>
      </c>
      <c r="T255" s="5">
        <v>-82.21274822</v>
      </c>
      <c r="U255" s="1">
        <v>2.0</v>
      </c>
      <c r="V255" s="5" t="s">
        <v>180</v>
      </c>
      <c r="W255" s="5">
        <v>0.0</v>
      </c>
      <c r="X255" s="5">
        <v>0.0</v>
      </c>
      <c r="Y255" s="5" t="s">
        <v>116</v>
      </c>
      <c r="Z255" s="24">
        <v>0.0</v>
      </c>
      <c r="AA255" s="25">
        <v>2.0</v>
      </c>
      <c r="AB255" s="25">
        <v>4.0</v>
      </c>
      <c r="AC255" s="16" t="s">
        <v>1235</v>
      </c>
      <c r="AD255" s="26">
        <v>3.75</v>
      </c>
      <c r="AE255" s="26">
        <v>0.9</v>
      </c>
      <c r="AF255" s="26">
        <f t="shared" si="3"/>
        <v>2.85</v>
      </c>
      <c r="AG255" s="16" t="str">
        <f t="shared" si="4"/>
        <v>No</v>
      </c>
      <c r="AH255" s="15" t="str">
        <f t="shared" si="5"/>
        <v>No</v>
      </c>
      <c r="AI255" s="32">
        <v>0.0</v>
      </c>
      <c r="AJ255" s="16" t="s">
        <v>230</v>
      </c>
      <c r="AK255" s="15"/>
      <c r="AL255" s="15"/>
      <c r="AM255" s="15"/>
      <c r="AN255" s="9"/>
      <c r="AO255" s="9">
        <f t="shared" si="21"/>
        <v>5.4</v>
      </c>
      <c r="AP255" s="9">
        <f t="shared" si="22"/>
        <v>35.3</v>
      </c>
      <c r="AQ255" s="9" t="str">
        <f t="shared" si="23"/>
        <v/>
      </c>
      <c r="AR255" s="9" t="str">
        <f t="shared" si="24"/>
        <v/>
      </c>
      <c r="AS255" s="16" t="s">
        <v>302</v>
      </c>
      <c r="AT255" s="15"/>
      <c r="AU255" s="15"/>
    </row>
    <row r="256" ht="15.75" customHeight="1">
      <c r="A256" s="15" t="str">
        <f t="shared" si="1"/>
        <v/>
      </c>
      <c r="B256" s="15"/>
      <c r="C256" s="15"/>
      <c r="D256" s="16" t="s">
        <v>420</v>
      </c>
      <c r="E256" s="16" t="s">
        <v>230</v>
      </c>
      <c r="F256" s="1" t="s">
        <v>117</v>
      </c>
      <c r="G256" s="45" t="s">
        <v>452</v>
      </c>
      <c r="H256" s="12">
        <v>25560.0</v>
      </c>
      <c r="I256" s="13"/>
      <c r="J256" s="17"/>
      <c r="K256" s="18"/>
      <c r="L256" s="18"/>
      <c r="M256" s="18"/>
      <c r="N256" s="78"/>
      <c r="O256" s="20"/>
      <c r="P256" s="21"/>
      <c r="Q256" s="5"/>
      <c r="R256" s="35"/>
      <c r="S256" s="5">
        <v>38.44821311</v>
      </c>
      <c r="T256" s="5">
        <v>-81.91236311</v>
      </c>
      <c r="U256" s="1">
        <v>1.0</v>
      </c>
      <c r="V256" s="5"/>
      <c r="W256" s="5">
        <v>0.0</v>
      </c>
      <c r="X256" s="5">
        <v>0.0</v>
      </c>
      <c r="Y256" s="5" t="s">
        <v>116</v>
      </c>
      <c r="Z256" s="24">
        <v>0.0</v>
      </c>
      <c r="AA256" s="25"/>
      <c r="AB256" s="25"/>
      <c r="AC256" s="16"/>
      <c r="AD256" s="26"/>
      <c r="AE256" s="26">
        <v>0.7</v>
      </c>
      <c r="AF256" s="26" t="str">
        <f t="shared" si="3"/>
        <v/>
      </c>
      <c r="AG256" s="16" t="str">
        <f t="shared" si="4"/>
        <v>Verify</v>
      </c>
      <c r="AH256" s="15" t="str">
        <f t="shared" si="5"/>
        <v>Verify</v>
      </c>
      <c r="AI256" s="32">
        <v>0.4</v>
      </c>
      <c r="AJ256" s="16"/>
      <c r="AK256" s="15"/>
      <c r="AL256" s="15"/>
      <c r="AM256" s="15"/>
      <c r="AN256" s="9"/>
      <c r="AO256" s="9"/>
      <c r="AP256" s="9"/>
      <c r="AQ256" s="9"/>
      <c r="AR256" s="9"/>
      <c r="AS256" s="16" t="s">
        <v>302</v>
      </c>
      <c r="AT256" s="15"/>
      <c r="AU256" s="15"/>
    </row>
    <row r="257" ht="15.75" customHeight="1">
      <c r="A257" s="15" t="str">
        <f t="shared" si="1"/>
        <v/>
      </c>
      <c r="B257" s="15" t="str">
        <f t="shared" ref="B257:B307" si="25">IF(A257="","",IF(A257&lt;=25,"Tier 1",IF(A257&lt;=50,"Tier 2",IF(A257&lt;=100,"Tier 3",""))))</f>
        <v/>
      </c>
      <c r="C257" s="15"/>
      <c r="D257" s="16" t="s">
        <v>141</v>
      </c>
      <c r="E257" s="15"/>
      <c r="F257" s="12" t="s">
        <v>2325</v>
      </c>
      <c r="G257" s="11" t="s">
        <v>2326</v>
      </c>
      <c r="H257" s="12" t="s">
        <v>1669</v>
      </c>
      <c r="I257" s="13" t="s">
        <v>225</v>
      </c>
      <c r="J257" s="17" t="s">
        <v>392</v>
      </c>
      <c r="K257" s="18">
        <v>48.0</v>
      </c>
      <c r="L257" s="18">
        <v>74.0</v>
      </c>
      <c r="M257" s="18">
        <v>95.6</v>
      </c>
      <c r="N257" s="78"/>
      <c r="O257" s="20">
        <v>541.0</v>
      </c>
      <c r="P257" s="21">
        <v>15.0</v>
      </c>
      <c r="Q257" s="5">
        <v>36.1</v>
      </c>
      <c r="R257" s="22">
        <v>74726.0</v>
      </c>
      <c r="S257" s="5">
        <v>37.7061747</v>
      </c>
      <c r="T257" s="5">
        <v>-81.09871228</v>
      </c>
      <c r="U257" s="1">
        <v>2.0</v>
      </c>
      <c r="V257" s="5" t="s">
        <v>180</v>
      </c>
      <c r="W257" s="5">
        <v>0.0</v>
      </c>
      <c r="X257" s="5">
        <v>0.0</v>
      </c>
      <c r="Y257" s="5" t="s">
        <v>116</v>
      </c>
      <c r="Z257" s="24">
        <v>0.0</v>
      </c>
      <c r="AA257" s="37"/>
      <c r="AB257" s="37"/>
      <c r="AC257" s="16" t="s">
        <v>1497</v>
      </c>
      <c r="AD257" s="26">
        <v>1.57</v>
      </c>
      <c r="AE257" s="26">
        <v>4.2</v>
      </c>
      <c r="AF257" s="26">
        <f t="shared" si="3"/>
        <v>0</v>
      </c>
      <c r="AG257" s="16" t="str">
        <f t="shared" si="4"/>
        <v>No</v>
      </c>
      <c r="AH257" s="15" t="str">
        <f t="shared" si="5"/>
        <v>Verify</v>
      </c>
      <c r="AI257" s="32">
        <v>1.5</v>
      </c>
      <c r="AJ257" s="16" t="s">
        <v>230</v>
      </c>
      <c r="AK257" s="15"/>
      <c r="AL257" s="15"/>
      <c r="AM257" s="15"/>
      <c r="AN257" s="9"/>
      <c r="AO257" s="9">
        <f t="shared" ref="AO257:AO307" si="26">IF(K257="","",ROUND((K257/MAX($K$2:$K$319))*100,1))</f>
        <v>9.2</v>
      </c>
      <c r="AP257" s="9" t="str">
        <f t="shared" ref="AP257:AP307" si="27">IF(OR(AA257="",AB257="",AD257=""),"",ROUND(
(MIN(AD257,20)/20*100)*0.6+
(MAX(0,1-MIN(AA257,5)/5)*100)*0.25+
(MAX(0,1-MIN(AB257,10)/10)*100)*0.15
,1))</f>
        <v/>
      </c>
      <c r="AQ257" s="9">
        <f t="shared" ref="AQ257:AQ307" si="28">IF(OR(O257="",P257="",Q257="",R257=""),"",ROUND(
(MIN(Q257/MAX($Q$2:$Q$319),1)*100)*0.4+
(MIN(O257/MAX($O$2:$O$319),1)*100)*0.25+
(MIN(P257/MAX($P$2:$P$319),1)*100)*0.2+
((1-(R257-MIN($R$2:$R$319))/(MAX($R$2:$R$319)-MIN($R$2:$R$319)))*100)*0.15
,1))</f>
        <v>19.5</v>
      </c>
      <c r="AR257" s="9" t="str">
        <f t="shared" ref="AR257:AR307" si="29">IF(OR(AO257="",AP257="",AQ257=""),"",ROUND((AO257*30+AP257*40+AQ257*20)/90,1))</f>
        <v/>
      </c>
      <c r="AS257" s="16" t="s">
        <v>302</v>
      </c>
      <c r="AT257" s="15"/>
      <c r="AU257" s="15"/>
    </row>
    <row r="258" ht="15.75" customHeight="1">
      <c r="A258" s="15" t="str">
        <f t="shared" si="1"/>
        <v/>
      </c>
      <c r="B258" s="15" t="str">
        <f t="shared" si="25"/>
        <v/>
      </c>
      <c r="C258" s="15"/>
      <c r="D258" s="16" t="s">
        <v>141</v>
      </c>
      <c r="E258" s="15"/>
      <c r="F258" s="79" t="s">
        <v>2327</v>
      </c>
      <c r="G258" s="11" t="s">
        <v>2328</v>
      </c>
      <c r="H258" s="46">
        <v>25442.0</v>
      </c>
      <c r="I258" s="13" t="s">
        <v>123</v>
      </c>
      <c r="J258" s="17" t="s">
        <v>576</v>
      </c>
      <c r="K258" s="18">
        <v>19.0</v>
      </c>
      <c r="L258" s="18">
        <v>35.0</v>
      </c>
      <c r="M258" s="18">
        <v>16.0</v>
      </c>
      <c r="N258" s="78"/>
      <c r="O258" s="20">
        <v>0.0</v>
      </c>
      <c r="P258" s="21">
        <v>14.0</v>
      </c>
      <c r="Q258" s="5">
        <v>0.0</v>
      </c>
      <c r="R258" s="35"/>
      <c r="S258" s="5">
        <v>39.35433386</v>
      </c>
      <c r="T258" s="5">
        <v>-77.85511632</v>
      </c>
      <c r="U258" s="1">
        <v>3.0</v>
      </c>
      <c r="V258" s="5" t="s">
        <v>180</v>
      </c>
      <c r="W258" s="5">
        <v>0.0</v>
      </c>
      <c r="X258" s="5">
        <v>0.0</v>
      </c>
      <c r="Y258" s="5" t="s">
        <v>116</v>
      </c>
      <c r="Z258" s="24">
        <v>0.0</v>
      </c>
      <c r="AA258" s="37"/>
      <c r="AB258" s="37"/>
      <c r="AC258" s="16" t="s">
        <v>2329</v>
      </c>
      <c r="AD258" s="26">
        <v>2.37</v>
      </c>
      <c r="AE258" s="26">
        <v>1.8</v>
      </c>
      <c r="AF258" s="26">
        <f t="shared" si="3"/>
        <v>0.57</v>
      </c>
      <c r="AG258" s="16" t="str">
        <f t="shared" si="4"/>
        <v>No</v>
      </c>
      <c r="AH258" s="15" t="str">
        <f t="shared" si="5"/>
        <v>Verify</v>
      </c>
      <c r="AI258" s="32">
        <v>2.2</v>
      </c>
      <c r="AJ258" s="16" t="s">
        <v>230</v>
      </c>
      <c r="AK258" s="15"/>
      <c r="AL258" s="15"/>
      <c r="AM258" s="15"/>
      <c r="AN258" s="9"/>
      <c r="AO258" s="9">
        <f t="shared" si="26"/>
        <v>3.7</v>
      </c>
      <c r="AP258" s="9" t="str">
        <f t="shared" si="27"/>
        <v/>
      </c>
      <c r="AQ258" s="9" t="str">
        <f t="shared" si="28"/>
        <v/>
      </c>
      <c r="AR258" s="9" t="str">
        <f t="shared" si="29"/>
        <v/>
      </c>
      <c r="AS258" s="16" t="s">
        <v>302</v>
      </c>
      <c r="AT258" s="15"/>
      <c r="AU258" s="15"/>
    </row>
    <row r="259" ht="15.75" customHeight="1">
      <c r="A259" s="15" t="str">
        <f t="shared" si="1"/>
        <v/>
      </c>
      <c r="B259" s="15" t="str">
        <f t="shared" si="25"/>
        <v/>
      </c>
      <c r="C259" s="15"/>
      <c r="D259" s="16" t="s">
        <v>141</v>
      </c>
      <c r="E259" s="15"/>
      <c r="F259" s="79" t="s">
        <v>2330</v>
      </c>
      <c r="G259" s="11" t="s">
        <v>2331</v>
      </c>
      <c r="H259" s="46" t="s">
        <v>1674</v>
      </c>
      <c r="I259" s="13" t="s">
        <v>123</v>
      </c>
      <c r="J259" s="17" t="s">
        <v>576</v>
      </c>
      <c r="K259" s="18">
        <v>23.0</v>
      </c>
      <c r="L259" s="18">
        <v>35.0</v>
      </c>
      <c r="M259" s="18">
        <v>75.6</v>
      </c>
      <c r="N259" s="78"/>
      <c r="O259" s="20">
        <v>294.0</v>
      </c>
      <c r="P259" s="21">
        <v>27.0</v>
      </c>
      <c r="Q259" s="5">
        <v>28.7</v>
      </c>
      <c r="R259" s="22">
        <v>51585.0</v>
      </c>
      <c r="S259" s="5">
        <v>39.43506541</v>
      </c>
      <c r="T259" s="5">
        <v>-77.82594031</v>
      </c>
      <c r="U259" s="1">
        <v>3.0</v>
      </c>
      <c r="V259" s="5" t="s">
        <v>180</v>
      </c>
      <c r="W259" s="5">
        <v>0.0</v>
      </c>
      <c r="X259" s="5">
        <v>0.0</v>
      </c>
      <c r="Y259" s="5" t="s">
        <v>116</v>
      </c>
      <c r="Z259" s="24">
        <v>0.0</v>
      </c>
      <c r="AA259" s="37"/>
      <c r="AB259" s="37"/>
      <c r="AC259" s="16" t="s">
        <v>2332</v>
      </c>
      <c r="AD259" s="26">
        <v>0.3</v>
      </c>
      <c r="AE259" s="26">
        <v>0.6</v>
      </c>
      <c r="AF259" s="26">
        <f t="shared" si="3"/>
        <v>0</v>
      </c>
      <c r="AG259" s="16" t="str">
        <f t="shared" si="4"/>
        <v>No</v>
      </c>
      <c r="AH259" s="15" t="str">
        <f t="shared" si="5"/>
        <v>Verify</v>
      </c>
      <c r="AI259" s="32">
        <v>0.3</v>
      </c>
      <c r="AJ259" s="16" t="s">
        <v>230</v>
      </c>
      <c r="AK259" s="15"/>
      <c r="AL259" s="15"/>
      <c r="AM259" s="15"/>
      <c r="AN259" s="9"/>
      <c r="AO259" s="9">
        <f t="shared" si="26"/>
        <v>4.4</v>
      </c>
      <c r="AP259" s="9" t="str">
        <f t="shared" si="27"/>
        <v/>
      </c>
      <c r="AQ259" s="9">
        <f t="shared" si="28"/>
        <v>18.4</v>
      </c>
      <c r="AR259" s="9" t="str">
        <f t="shared" si="29"/>
        <v/>
      </c>
      <c r="AS259" s="16" t="s">
        <v>302</v>
      </c>
      <c r="AT259" s="15"/>
      <c r="AU259" s="15"/>
    </row>
    <row r="260" ht="15.75" customHeight="1">
      <c r="A260" s="15" t="str">
        <f t="shared" si="1"/>
        <v/>
      </c>
      <c r="B260" s="15" t="str">
        <f t="shared" si="25"/>
        <v/>
      </c>
      <c r="C260" s="15"/>
      <c r="D260" s="16" t="s">
        <v>141</v>
      </c>
      <c r="E260" s="15"/>
      <c r="F260" s="79" t="s">
        <v>2333</v>
      </c>
      <c r="G260" s="11" t="s">
        <v>2334</v>
      </c>
      <c r="H260" s="46" t="s">
        <v>1676</v>
      </c>
      <c r="I260" s="13" t="s">
        <v>101</v>
      </c>
      <c r="J260" s="17" t="s">
        <v>169</v>
      </c>
      <c r="K260" s="18">
        <v>76.0</v>
      </c>
      <c r="L260" s="18">
        <v>115.0</v>
      </c>
      <c r="M260" s="18">
        <v>312.8</v>
      </c>
      <c r="N260" s="78"/>
      <c r="O260" s="20">
        <v>0.0</v>
      </c>
      <c r="P260" s="21">
        <v>0.0</v>
      </c>
      <c r="Q260" s="5">
        <v>0.0</v>
      </c>
      <c r="R260" s="35"/>
      <c r="S260" s="5">
        <v>39.3967605</v>
      </c>
      <c r="T260" s="5">
        <v>-80.2882106</v>
      </c>
      <c r="U260" s="1">
        <v>7.0</v>
      </c>
      <c r="V260" s="5" t="s">
        <v>1254</v>
      </c>
      <c r="W260" s="5">
        <v>2.0</v>
      </c>
      <c r="X260" s="5">
        <v>0.0</v>
      </c>
      <c r="Y260" s="5" t="s">
        <v>116</v>
      </c>
      <c r="Z260" s="24">
        <v>0.0</v>
      </c>
      <c r="AA260" s="37"/>
      <c r="AB260" s="37"/>
      <c r="AC260" s="15"/>
      <c r="AD260" s="38"/>
      <c r="AE260" s="26">
        <v>0.5</v>
      </c>
      <c r="AF260" s="26" t="str">
        <f t="shared" si="3"/>
        <v/>
      </c>
      <c r="AG260" s="16" t="str">
        <f t="shared" si="4"/>
        <v>Verify</v>
      </c>
      <c r="AH260" s="15" t="str">
        <f t="shared" si="5"/>
        <v>Verify</v>
      </c>
      <c r="AI260" s="32">
        <v>1.0</v>
      </c>
      <c r="AJ260" s="16" t="s">
        <v>230</v>
      </c>
      <c r="AK260" s="15"/>
      <c r="AL260" s="15"/>
      <c r="AM260" s="15"/>
      <c r="AN260" s="9"/>
      <c r="AO260" s="9">
        <f t="shared" si="26"/>
        <v>14.6</v>
      </c>
      <c r="AP260" s="9" t="str">
        <f t="shared" si="27"/>
        <v/>
      </c>
      <c r="AQ260" s="9" t="str">
        <f t="shared" si="28"/>
        <v/>
      </c>
      <c r="AR260" s="9" t="str">
        <f t="shared" si="29"/>
        <v/>
      </c>
      <c r="AS260" s="16" t="s">
        <v>302</v>
      </c>
      <c r="AT260" s="15"/>
      <c r="AU260" s="15"/>
    </row>
    <row r="261" ht="15.75" customHeight="1">
      <c r="A261" s="15" t="str">
        <f t="shared" si="1"/>
        <v/>
      </c>
      <c r="B261" s="15" t="str">
        <f t="shared" si="25"/>
        <v/>
      </c>
      <c r="C261" s="15"/>
      <c r="D261" s="16" t="s">
        <v>141</v>
      </c>
      <c r="E261" s="15"/>
      <c r="F261" s="79" t="s">
        <v>2335</v>
      </c>
      <c r="G261" s="11" t="s">
        <v>2336</v>
      </c>
      <c r="H261" s="46">
        <v>26431.0</v>
      </c>
      <c r="I261" s="13" t="s">
        <v>101</v>
      </c>
      <c r="J261" s="17" t="s">
        <v>169</v>
      </c>
      <c r="K261" s="18">
        <v>76.0</v>
      </c>
      <c r="L261" s="18">
        <v>115.0</v>
      </c>
      <c r="M261" s="18">
        <v>312.8</v>
      </c>
      <c r="N261" s="78"/>
      <c r="O261" s="20">
        <v>0.0</v>
      </c>
      <c r="P261" s="21">
        <v>0.0</v>
      </c>
      <c r="Q261" s="5">
        <v>0.0</v>
      </c>
      <c r="R261" s="35"/>
      <c r="S261" s="5">
        <v>39.37368262</v>
      </c>
      <c r="T261" s="5">
        <v>-80.2015296</v>
      </c>
      <c r="U261" s="1">
        <v>7.0</v>
      </c>
      <c r="V261" s="5" t="s">
        <v>1254</v>
      </c>
      <c r="W261" s="5">
        <v>2.0</v>
      </c>
      <c r="X261" s="5">
        <v>0.0</v>
      </c>
      <c r="Y261" s="5" t="s">
        <v>116</v>
      </c>
      <c r="Z261" s="24">
        <v>0.0</v>
      </c>
      <c r="AA261" s="37"/>
      <c r="AB261" s="37"/>
      <c r="AC261" s="16" t="s">
        <v>1627</v>
      </c>
      <c r="AD261" s="26">
        <v>5.45</v>
      </c>
      <c r="AE261" s="26">
        <v>4.4</v>
      </c>
      <c r="AF261" s="26">
        <f t="shared" si="3"/>
        <v>1.05</v>
      </c>
      <c r="AG261" s="16" t="str">
        <f t="shared" si="4"/>
        <v>No</v>
      </c>
      <c r="AH261" s="15" t="str">
        <f t="shared" si="5"/>
        <v>Verify</v>
      </c>
      <c r="AI261" s="32">
        <v>3.6</v>
      </c>
      <c r="AJ261" s="16" t="s">
        <v>230</v>
      </c>
      <c r="AK261" s="15"/>
      <c r="AL261" s="15"/>
      <c r="AM261" s="15"/>
      <c r="AN261" s="9"/>
      <c r="AO261" s="9">
        <f t="shared" si="26"/>
        <v>14.6</v>
      </c>
      <c r="AP261" s="9" t="str">
        <f t="shared" si="27"/>
        <v/>
      </c>
      <c r="AQ261" s="9" t="str">
        <f t="shared" si="28"/>
        <v/>
      </c>
      <c r="AR261" s="9" t="str">
        <f t="shared" si="29"/>
        <v/>
      </c>
      <c r="AS261" s="16" t="s">
        <v>302</v>
      </c>
      <c r="AT261" s="15"/>
      <c r="AU261" s="15"/>
    </row>
    <row r="262" ht="15.75" customHeight="1">
      <c r="A262" s="15" t="str">
        <f t="shared" si="1"/>
        <v/>
      </c>
      <c r="B262" s="15" t="str">
        <f t="shared" si="25"/>
        <v/>
      </c>
      <c r="C262" s="15"/>
      <c r="D262" s="16" t="s">
        <v>141</v>
      </c>
      <c r="E262" s="15"/>
      <c r="F262" s="79" t="s">
        <v>2337</v>
      </c>
      <c r="G262" s="11" t="s">
        <v>2338</v>
      </c>
      <c r="H262" s="46">
        <v>25320.0</v>
      </c>
      <c r="I262" s="13" t="s">
        <v>128</v>
      </c>
      <c r="J262" s="17" t="s">
        <v>715</v>
      </c>
      <c r="K262" s="18">
        <v>68.0</v>
      </c>
      <c r="L262" s="18">
        <v>92.0</v>
      </c>
      <c r="M262" s="18">
        <v>248.6</v>
      </c>
      <c r="N262" s="78"/>
      <c r="O262" s="20">
        <v>31.0</v>
      </c>
      <c r="P262" s="21">
        <v>10.0</v>
      </c>
      <c r="Q262" s="5">
        <v>0.0</v>
      </c>
      <c r="R262" s="35"/>
      <c r="S262" s="5">
        <v>38.51122558</v>
      </c>
      <c r="T262" s="5">
        <v>-81.63707374</v>
      </c>
      <c r="U262" s="1">
        <v>2.0</v>
      </c>
      <c r="V262" s="5" t="s">
        <v>180</v>
      </c>
      <c r="W262" s="5">
        <v>0.0</v>
      </c>
      <c r="X262" s="5">
        <v>0.0</v>
      </c>
      <c r="Y262" s="5" t="s">
        <v>116</v>
      </c>
      <c r="Z262" s="24">
        <v>0.0</v>
      </c>
      <c r="AA262" s="37"/>
      <c r="AB262" s="37"/>
      <c r="AC262" s="16" t="s">
        <v>2339</v>
      </c>
      <c r="AD262" s="26">
        <v>0.16</v>
      </c>
      <c r="AE262" s="26">
        <v>2.1</v>
      </c>
      <c r="AF262" s="26">
        <f t="shared" si="3"/>
        <v>0</v>
      </c>
      <c r="AG262" s="16" t="str">
        <f t="shared" si="4"/>
        <v>No</v>
      </c>
      <c r="AH262" s="15" t="str">
        <f t="shared" si="5"/>
        <v>Verify</v>
      </c>
      <c r="AI262" s="32">
        <v>0.2</v>
      </c>
      <c r="AJ262" s="16" t="s">
        <v>230</v>
      </c>
      <c r="AK262" s="15"/>
      <c r="AL262" s="15"/>
      <c r="AM262" s="15"/>
      <c r="AN262" s="9"/>
      <c r="AO262" s="9">
        <f t="shared" si="26"/>
        <v>13.1</v>
      </c>
      <c r="AP262" s="9" t="str">
        <f t="shared" si="27"/>
        <v/>
      </c>
      <c r="AQ262" s="9" t="str">
        <f t="shared" si="28"/>
        <v/>
      </c>
      <c r="AR262" s="9" t="str">
        <f t="shared" si="29"/>
        <v/>
      </c>
      <c r="AS262" s="16" t="s">
        <v>302</v>
      </c>
      <c r="AT262" s="15"/>
      <c r="AU262" s="15"/>
    </row>
    <row r="263" ht="15.75" customHeight="1">
      <c r="A263" s="15" t="str">
        <f t="shared" si="1"/>
        <v/>
      </c>
      <c r="B263" s="15" t="str">
        <f t="shared" si="25"/>
        <v/>
      </c>
      <c r="C263" s="15"/>
      <c r="D263" s="16" t="s">
        <v>141</v>
      </c>
      <c r="E263" s="15"/>
      <c r="F263" s="79" t="s">
        <v>2340</v>
      </c>
      <c r="G263" s="11" t="s">
        <v>2341</v>
      </c>
      <c r="H263" s="46">
        <v>25444.0</v>
      </c>
      <c r="I263" s="13" t="s">
        <v>273</v>
      </c>
      <c r="J263" s="17" t="s">
        <v>576</v>
      </c>
      <c r="K263" s="18">
        <v>6.0</v>
      </c>
      <c r="L263" s="18">
        <v>9.0</v>
      </c>
      <c r="M263" s="18">
        <v>0.0</v>
      </c>
      <c r="N263" s="78"/>
      <c r="O263" s="40"/>
      <c r="P263" s="21">
        <v>10.0</v>
      </c>
      <c r="Q263" s="41"/>
      <c r="R263" s="35"/>
      <c r="S263" s="5">
        <v>39.37307538</v>
      </c>
      <c r="T263" s="5">
        <v>-78.52385072</v>
      </c>
      <c r="U263" s="1">
        <v>2.0</v>
      </c>
      <c r="V263" s="5" t="s">
        <v>180</v>
      </c>
      <c r="W263" s="5">
        <v>0.0</v>
      </c>
      <c r="X263" s="5">
        <v>0.0</v>
      </c>
      <c r="Y263" s="5" t="s">
        <v>116</v>
      </c>
      <c r="Z263" s="24">
        <v>0.0</v>
      </c>
      <c r="AA263" s="25">
        <v>4.0</v>
      </c>
      <c r="AB263" s="25">
        <v>6.0</v>
      </c>
      <c r="AC263" s="15"/>
      <c r="AD263" s="38"/>
      <c r="AE263" s="26">
        <v>4.0</v>
      </c>
      <c r="AF263" s="26" t="str">
        <f t="shared" si="3"/>
        <v/>
      </c>
      <c r="AG263" s="16" t="str">
        <f t="shared" si="4"/>
        <v>Verify</v>
      </c>
      <c r="AH263" s="15" t="str">
        <f t="shared" si="5"/>
        <v>No</v>
      </c>
      <c r="AI263" s="32">
        <v>10.0</v>
      </c>
      <c r="AJ263" s="16" t="s">
        <v>230</v>
      </c>
      <c r="AK263" s="15"/>
      <c r="AL263" s="15"/>
      <c r="AM263" s="15"/>
      <c r="AN263" s="9"/>
      <c r="AO263" s="9">
        <f t="shared" si="26"/>
        <v>1.2</v>
      </c>
      <c r="AP263" s="9" t="str">
        <f t="shared" si="27"/>
        <v/>
      </c>
      <c r="AQ263" s="9" t="str">
        <f t="shared" si="28"/>
        <v/>
      </c>
      <c r="AR263" s="9" t="str">
        <f t="shared" si="29"/>
        <v/>
      </c>
      <c r="AS263" s="16" t="s">
        <v>302</v>
      </c>
      <c r="AT263" s="15"/>
      <c r="AU263" s="15"/>
    </row>
    <row r="264" ht="15.75" customHeight="1">
      <c r="A264" s="15" t="str">
        <f t="shared" si="1"/>
        <v/>
      </c>
      <c r="B264" s="15" t="str">
        <f t="shared" si="25"/>
        <v/>
      </c>
      <c r="C264" s="15"/>
      <c r="D264" s="16" t="s">
        <v>141</v>
      </c>
      <c r="E264" s="15"/>
      <c r="F264" s="79" t="s">
        <v>2342</v>
      </c>
      <c r="G264" s="11" t="s">
        <v>2343</v>
      </c>
      <c r="H264" s="46">
        <v>26291.0</v>
      </c>
      <c r="I264" s="13" t="s">
        <v>1002</v>
      </c>
      <c r="J264" s="17" t="s">
        <v>331</v>
      </c>
      <c r="K264" s="18">
        <v>1.0</v>
      </c>
      <c r="L264" s="18">
        <v>1.0</v>
      </c>
      <c r="M264" s="18">
        <v>0.0</v>
      </c>
      <c r="N264" s="78"/>
      <c r="O264" s="40"/>
      <c r="P264" s="21">
        <v>30.0</v>
      </c>
      <c r="Q264" s="41"/>
      <c r="R264" s="35"/>
      <c r="S264" s="5">
        <v>38.41763417</v>
      </c>
      <c r="T264" s="5">
        <v>-80.04073685</v>
      </c>
      <c r="U264" s="1">
        <v>10.0</v>
      </c>
      <c r="V264" s="5" t="s">
        <v>342</v>
      </c>
      <c r="W264" s="5">
        <v>3.0</v>
      </c>
      <c r="X264" s="5">
        <v>4.0</v>
      </c>
      <c r="Y264" s="5" t="s">
        <v>1190</v>
      </c>
      <c r="Z264" s="24">
        <v>4.0</v>
      </c>
      <c r="AA264" s="25">
        <v>4.0</v>
      </c>
      <c r="AB264" s="25">
        <v>6.0</v>
      </c>
      <c r="AC264" s="15"/>
      <c r="AD264" s="38"/>
      <c r="AE264" s="26">
        <v>3.0</v>
      </c>
      <c r="AF264" s="26" t="str">
        <f t="shared" si="3"/>
        <v/>
      </c>
      <c r="AG264" s="16" t="str">
        <f t="shared" si="4"/>
        <v>Verify</v>
      </c>
      <c r="AH264" s="15" t="str">
        <f t="shared" si="5"/>
        <v>No</v>
      </c>
      <c r="AI264" s="32">
        <v>2.6</v>
      </c>
      <c r="AJ264" s="16" t="s">
        <v>230</v>
      </c>
      <c r="AK264" s="15"/>
      <c r="AL264" s="15"/>
      <c r="AM264" s="15"/>
      <c r="AN264" s="9"/>
      <c r="AO264" s="9">
        <f t="shared" si="26"/>
        <v>0.2</v>
      </c>
      <c r="AP264" s="9" t="str">
        <f t="shared" si="27"/>
        <v/>
      </c>
      <c r="AQ264" s="9" t="str">
        <f t="shared" si="28"/>
        <v/>
      </c>
      <c r="AR264" s="9" t="str">
        <f t="shared" si="29"/>
        <v/>
      </c>
      <c r="AS264" s="16" t="s">
        <v>302</v>
      </c>
      <c r="AT264" s="15"/>
      <c r="AU264" s="15"/>
    </row>
    <row r="265" ht="15.75" customHeight="1">
      <c r="A265" s="15" t="str">
        <f t="shared" si="1"/>
        <v/>
      </c>
      <c r="B265" s="15" t="str">
        <f t="shared" si="25"/>
        <v/>
      </c>
      <c r="C265" s="15"/>
      <c r="D265" s="16" t="s">
        <v>141</v>
      </c>
      <c r="E265" s="15"/>
      <c r="F265" s="79" t="s">
        <v>2344</v>
      </c>
      <c r="G265" s="11" t="s">
        <v>2345</v>
      </c>
      <c r="H265" s="46">
        <v>25186.0</v>
      </c>
      <c r="I265" s="13" t="s">
        <v>74</v>
      </c>
      <c r="J265" s="17" t="s">
        <v>392</v>
      </c>
      <c r="K265" s="18">
        <v>18.0</v>
      </c>
      <c r="L265" s="18">
        <v>22.0</v>
      </c>
      <c r="M265" s="18">
        <v>29.8</v>
      </c>
      <c r="N265" s="78"/>
      <c r="O265" s="20">
        <v>0.0</v>
      </c>
      <c r="P265" s="21">
        <v>0.0</v>
      </c>
      <c r="Q265" s="5">
        <v>0.0</v>
      </c>
      <c r="R265" s="22">
        <v>35208.0</v>
      </c>
      <c r="S265" s="5">
        <v>38.16710189</v>
      </c>
      <c r="T265" s="5">
        <v>-81.30364893</v>
      </c>
      <c r="U265" s="1">
        <v>2.0</v>
      </c>
      <c r="V265" s="5" t="s">
        <v>180</v>
      </c>
      <c r="W265" s="5">
        <v>0.0</v>
      </c>
      <c r="X265" s="5">
        <v>0.0</v>
      </c>
      <c r="Y265" s="5" t="s">
        <v>116</v>
      </c>
      <c r="Z265" s="24">
        <v>0.0</v>
      </c>
      <c r="AA265" s="25">
        <v>2.0</v>
      </c>
      <c r="AB265" s="25">
        <v>4.0</v>
      </c>
      <c r="AC265" s="15"/>
      <c r="AD265" s="38"/>
      <c r="AE265" s="26">
        <v>0.6</v>
      </c>
      <c r="AF265" s="26" t="str">
        <f t="shared" si="3"/>
        <v/>
      </c>
      <c r="AG265" s="16" t="str">
        <f t="shared" si="4"/>
        <v>Verify</v>
      </c>
      <c r="AH265" s="15" t="str">
        <f t="shared" si="5"/>
        <v>No</v>
      </c>
      <c r="AI265" s="32">
        <v>0.1</v>
      </c>
      <c r="AJ265" s="16" t="s">
        <v>230</v>
      </c>
      <c r="AK265" s="15"/>
      <c r="AL265" s="15"/>
      <c r="AM265" s="15"/>
      <c r="AN265" s="9"/>
      <c r="AO265" s="9">
        <f t="shared" si="26"/>
        <v>3.5</v>
      </c>
      <c r="AP265" s="9" t="str">
        <f t="shared" si="27"/>
        <v/>
      </c>
      <c r="AQ265" s="9">
        <f t="shared" si="28"/>
        <v>11.7</v>
      </c>
      <c r="AR265" s="9" t="str">
        <f t="shared" si="29"/>
        <v/>
      </c>
      <c r="AS265" s="16" t="s">
        <v>302</v>
      </c>
      <c r="AT265" s="15"/>
      <c r="AU265" s="15"/>
    </row>
    <row r="266" ht="15.75" customHeight="1">
      <c r="A266" s="15" t="str">
        <f t="shared" si="1"/>
        <v/>
      </c>
      <c r="B266" s="15" t="str">
        <f t="shared" si="25"/>
        <v/>
      </c>
      <c r="C266" s="15"/>
      <c r="D266" s="16" t="s">
        <v>141</v>
      </c>
      <c r="E266" s="15"/>
      <c r="F266" s="79" t="s">
        <v>2346</v>
      </c>
      <c r="G266" s="11" t="s">
        <v>2347</v>
      </c>
      <c r="H266" s="46">
        <v>26178.0</v>
      </c>
      <c r="I266" s="13" t="s">
        <v>826</v>
      </c>
      <c r="J266" s="17" t="s">
        <v>439</v>
      </c>
      <c r="K266" s="18">
        <v>6.0</v>
      </c>
      <c r="L266" s="18">
        <v>9.0</v>
      </c>
      <c r="M266" s="18">
        <v>0.0</v>
      </c>
      <c r="N266" s="78"/>
      <c r="O266" s="40"/>
      <c r="P266" s="21">
        <v>26.0</v>
      </c>
      <c r="Q266" s="41"/>
      <c r="R266" s="35"/>
      <c r="S266" s="5">
        <v>39.07612305</v>
      </c>
      <c r="T266" s="5">
        <v>-81.09903036</v>
      </c>
      <c r="U266" s="1">
        <v>2.0</v>
      </c>
      <c r="V266" s="5" t="s">
        <v>180</v>
      </c>
      <c r="W266" s="5">
        <v>0.0</v>
      </c>
      <c r="X266" s="5">
        <v>0.0</v>
      </c>
      <c r="Y266" s="5" t="s">
        <v>116</v>
      </c>
      <c r="Z266" s="24">
        <v>0.0</v>
      </c>
      <c r="AA266" s="37"/>
      <c r="AB266" s="37"/>
      <c r="AC266" s="15"/>
      <c r="AD266" s="38"/>
      <c r="AE266" s="26">
        <v>3.9</v>
      </c>
      <c r="AF266" s="26" t="str">
        <f t="shared" si="3"/>
        <v/>
      </c>
      <c r="AG266" s="16" t="str">
        <f t="shared" si="4"/>
        <v>Verify</v>
      </c>
      <c r="AH266" s="15" t="str">
        <f t="shared" si="5"/>
        <v>Verify</v>
      </c>
      <c r="AI266" s="32">
        <v>5.3</v>
      </c>
      <c r="AJ266" s="16" t="s">
        <v>230</v>
      </c>
      <c r="AK266" s="15"/>
      <c r="AL266" s="15"/>
      <c r="AM266" s="15"/>
      <c r="AN266" s="9"/>
      <c r="AO266" s="9">
        <f t="shared" si="26"/>
        <v>1.2</v>
      </c>
      <c r="AP266" s="9" t="str">
        <f t="shared" si="27"/>
        <v/>
      </c>
      <c r="AQ266" s="9" t="str">
        <f t="shared" si="28"/>
        <v/>
      </c>
      <c r="AR266" s="9" t="str">
        <f t="shared" si="29"/>
        <v/>
      </c>
      <c r="AS266" s="16" t="s">
        <v>302</v>
      </c>
      <c r="AT266" s="15"/>
      <c r="AU266" s="15"/>
    </row>
    <row r="267" ht="15.75" customHeight="1">
      <c r="A267" s="15" t="str">
        <f t="shared" si="1"/>
        <v/>
      </c>
      <c r="B267" s="15" t="str">
        <f t="shared" si="25"/>
        <v/>
      </c>
      <c r="C267" s="15"/>
      <c r="D267" s="16" t="s">
        <v>141</v>
      </c>
      <c r="E267" s="15"/>
      <c r="F267" s="79" t="s">
        <v>2348</v>
      </c>
      <c r="G267" s="11" t="s">
        <v>2349</v>
      </c>
      <c r="H267" s="46" t="s">
        <v>1692</v>
      </c>
      <c r="I267" s="13" t="s">
        <v>225</v>
      </c>
      <c r="J267" s="17" t="s">
        <v>392</v>
      </c>
      <c r="K267" s="18">
        <v>56.0</v>
      </c>
      <c r="L267" s="18">
        <v>81.0</v>
      </c>
      <c r="M267" s="18">
        <v>92.0</v>
      </c>
      <c r="N267" s="78"/>
      <c r="O267" s="20">
        <v>375.0</v>
      </c>
      <c r="P267" s="21">
        <v>0.0</v>
      </c>
      <c r="Q267" s="5">
        <v>15.4</v>
      </c>
      <c r="R267" s="22">
        <v>90954.0</v>
      </c>
      <c r="S267" s="5">
        <v>37.7272727</v>
      </c>
      <c r="T267" s="5">
        <v>-81.24373064</v>
      </c>
      <c r="U267" s="1">
        <v>1.0</v>
      </c>
      <c r="V267" s="5" t="s">
        <v>180</v>
      </c>
      <c r="W267" s="5">
        <v>0.0</v>
      </c>
      <c r="X267" s="5">
        <v>0.0</v>
      </c>
      <c r="Y267" s="5" t="s">
        <v>116</v>
      </c>
      <c r="Z267" s="24">
        <v>0.0</v>
      </c>
      <c r="AA267" s="37"/>
      <c r="AB267" s="37"/>
      <c r="AC267" s="15"/>
      <c r="AD267" s="38"/>
      <c r="AE267" s="26">
        <v>3.3</v>
      </c>
      <c r="AF267" s="26" t="str">
        <f t="shared" si="3"/>
        <v/>
      </c>
      <c r="AG267" s="16" t="str">
        <f t="shared" si="4"/>
        <v>Verify</v>
      </c>
      <c r="AH267" s="15" t="str">
        <f t="shared" si="5"/>
        <v>Verify</v>
      </c>
      <c r="AI267" s="32">
        <v>0.0</v>
      </c>
      <c r="AJ267" s="16" t="s">
        <v>230</v>
      </c>
      <c r="AK267" s="15"/>
      <c r="AL267" s="15"/>
      <c r="AM267" s="15"/>
      <c r="AN267" s="9"/>
      <c r="AO267" s="9">
        <f t="shared" si="26"/>
        <v>10.8</v>
      </c>
      <c r="AP267" s="9" t="str">
        <f t="shared" si="27"/>
        <v/>
      </c>
      <c r="AQ267" s="9">
        <f t="shared" si="28"/>
        <v>11.6</v>
      </c>
      <c r="AR267" s="9" t="str">
        <f t="shared" si="29"/>
        <v/>
      </c>
      <c r="AS267" s="16" t="s">
        <v>302</v>
      </c>
      <c r="AT267" s="15"/>
      <c r="AU267" s="15"/>
    </row>
    <row r="268" ht="15.75" customHeight="1">
      <c r="A268" s="15" t="str">
        <f t="shared" si="1"/>
        <v/>
      </c>
      <c r="B268" s="15" t="str">
        <f t="shared" si="25"/>
        <v/>
      </c>
      <c r="C268" s="15"/>
      <c r="D268" s="16" t="s">
        <v>141</v>
      </c>
      <c r="E268" s="15"/>
      <c r="F268" s="79" t="s">
        <v>2350</v>
      </c>
      <c r="G268" s="11" t="s">
        <v>2351</v>
      </c>
      <c r="H268" s="46" t="s">
        <v>1694</v>
      </c>
      <c r="I268" s="13" t="s">
        <v>225</v>
      </c>
      <c r="J268" s="17" t="s">
        <v>392</v>
      </c>
      <c r="K268" s="18">
        <v>56.0</v>
      </c>
      <c r="L268" s="18">
        <v>81.0</v>
      </c>
      <c r="M268" s="18">
        <v>92.0</v>
      </c>
      <c r="N268" s="78"/>
      <c r="O268" s="20">
        <v>375.0</v>
      </c>
      <c r="P268" s="21">
        <v>93.0</v>
      </c>
      <c r="Q268" s="5">
        <v>15.4</v>
      </c>
      <c r="R268" s="22">
        <v>90954.0</v>
      </c>
      <c r="S268" s="5">
        <v>37.7087785</v>
      </c>
      <c r="T268" s="5">
        <v>-81.24381824</v>
      </c>
      <c r="U268" s="1">
        <v>1.0</v>
      </c>
      <c r="V268" s="5" t="s">
        <v>180</v>
      </c>
      <c r="W268" s="5">
        <v>0.0</v>
      </c>
      <c r="X268" s="5">
        <v>0.0</v>
      </c>
      <c r="Y268" s="5" t="s">
        <v>116</v>
      </c>
      <c r="Z268" s="24">
        <v>0.0</v>
      </c>
      <c r="AA268" s="25">
        <v>6.0</v>
      </c>
      <c r="AB268" s="25">
        <v>8.0</v>
      </c>
      <c r="AC268" s="15"/>
      <c r="AD268" s="38"/>
      <c r="AE268" s="26">
        <v>2.2</v>
      </c>
      <c r="AF268" s="26" t="str">
        <f t="shared" si="3"/>
        <v/>
      </c>
      <c r="AG268" s="16" t="str">
        <f t="shared" si="4"/>
        <v>Verify</v>
      </c>
      <c r="AH268" s="15" t="str">
        <f t="shared" si="5"/>
        <v>No</v>
      </c>
      <c r="AI268" s="32">
        <v>1.2</v>
      </c>
      <c r="AJ268" s="16" t="s">
        <v>230</v>
      </c>
      <c r="AK268" s="15"/>
      <c r="AL268" s="15"/>
      <c r="AM268" s="15"/>
      <c r="AN268" s="9"/>
      <c r="AO268" s="9">
        <f t="shared" si="26"/>
        <v>10.8</v>
      </c>
      <c r="AP268" s="9" t="str">
        <f t="shared" si="27"/>
        <v/>
      </c>
      <c r="AQ268" s="9">
        <f t="shared" si="28"/>
        <v>14.5</v>
      </c>
      <c r="AR268" s="9" t="str">
        <f t="shared" si="29"/>
        <v/>
      </c>
      <c r="AS268" s="16" t="s">
        <v>302</v>
      </c>
      <c r="AT268" s="15"/>
      <c r="AU268" s="15"/>
    </row>
    <row r="269" ht="15.75" customHeight="1">
      <c r="A269" s="15">
        <f t="shared" si="1"/>
        <v>75</v>
      </c>
      <c r="B269" s="15" t="str">
        <f t="shared" si="25"/>
        <v>Tier 3</v>
      </c>
      <c r="C269" s="15"/>
      <c r="D269" s="16" t="s">
        <v>141</v>
      </c>
      <c r="E269" s="15"/>
      <c r="F269" s="79" t="s">
        <v>2352</v>
      </c>
      <c r="G269" s="11" t="s">
        <v>2353</v>
      </c>
      <c r="H269" s="46" t="s">
        <v>1697</v>
      </c>
      <c r="I269" s="13" t="s">
        <v>128</v>
      </c>
      <c r="J269" s="17" t="s">
        <v>715</v>
      </c>
      <c r="K269" s="18">
        <v>156.0</v>
      </c>
      <c r="L269" s="18">
        <v>239.0</v>
      </c>
      <c r="M269" s="18">
        <v>221.3</v>
      </c>
      <c r="N269" s="78"/>
      <c r="O269" s="20">
        <v>30.0</v>
      </c>
      <c r="P269" s="21">
        <v>0.0</v>
      </c>
      <c r="Q269" s="5">
        <v>0.0</v>
      </c>
      <c r="R269" s="22">
        <v>83065.0</v>
      </c>
      <c r="S269" s="5">
        <v>38.3496769</v>
      </c>
      <c r="T269" s="5">
        <v>-81.73018172</v>
      </c>
      <c r="U269" s="1">
        <v>1.0</v>
      </c>
      <c r="V269" s="5" t="s">
        <v>180</v>
      </c>
      <c r="W269" s="5">
        <v>0.0</v>
      </c>
      <c r="X269" s="5">
        <v>0.0</v>
      </c>
      <c r="Y269" s="5" t="s">
        <v>116</v>
      </c>
      <c r="Z269" s="24">
        <v>0.0</v>
      </c>
      <c r="AA269" s="25">
        <v>3.0</v>
      </c>
      <c r="AB269" s="25">
        <v>5.0</v>
      </c>
      <c r="AC269" s="16" t="s">
        <v>1569</v>
      </c>
      <c r="AD269" s="26">
        <v>2.29</v>
      </c>
      <c r="AE269" s="26">
        <v>3.0</v>
      </c>
      <c r="AF269" s="26">
        <f t="shared" si="3"/>
        <v>0</v>
      </c>
      <c r="AG269" s="16" t="str">
        <f t="shared" si="4"/>
        <v>No</v>
      </c>
      <c r="AH269" s="15" t="str">
        <f t="shared" si="5"/>
        <v>No</v>
      </c>
      <c r="AI269" s="32">
        <v>0.9</v>
      </c>
      <c r="AJ269" s="16" t="s">
        <v>230</v>
      </c>
      <c r="AK269" s="15"/>
      <c r="AL269" s="15"/>
      <c r="AM269" s="15"/>
      <c r="AN269" s="9"/>
      <c r="AO269" s="9">
        <f t="shared" si="26"/>
        <v>30.1</v>
      </c>
      <c r="AP269" s="9">
        <f t="shared" si="27"/>
        <v>24.4</v>
      </c>
      <c r="AQ269" s="9">
        <f t="shared" si="28"/>
        <v>5.6</v>
      </c>
      <c r="AR269" s="9">
        <f t="shared" si="29"/>
        <v>22.1</v>
      </c>
      <c r="AS269" s="16" t="s">
        <v>556</v>
      </c>
      <c r="AT269" s="15"/>
      <c r="AU269" s="15"/>
    </row>
    <row r="270" ht="15.75" customHeight="1">
      <c r="A270" s="15" t="str">
        <f t="shared" si="1"/>
        <v/>
      </c>
      <c r="B270" s="15" t="str">
        <f t="shared" si="25"/>
        <v/>
      </c>
      <c r="C270" s="15"/>
      <c r="D270" s="16" t="s">
        <v>141</v>
      </c>
      <c r="E270" s="15"/>
      <c r="F270" s="79" t="s">
        <v>2354</v>
      </c>
      <c r="G270" s="11" t="s">
        <v>2355</v>
      </c>
      <c r="H270" s="46" t="s">
        <v>1699</v>
      </c>
      <c r="I270" s="13" t="s">
        <v>128</v>
      </c>
      <c r="J270" s="17" t="s">
        <v>715</v>
      </c>
      <c r="K270" s="18">
        <v>67.0</v>
      </c>
      <c r="L270" s="18">
        <v>94.0</v>
      </c>
      <c r="M270" s="18">
        <v>146.6</v>
      </c>
      <c r="N270" s="78"/>
      <c r="O270" s="20">
        <v>0.0</v>
      </c>
      <c r="P270" s="21">
        <v>0.0</v>
      </c>
      <c r="Q270" s="5">
        <v>0.0</v>
      </c>
      <c r="R270" s="35"/>
      <c r="S270" s="5">
        <v>38.3685848</v>
      </c>
      <c r="T270" s="5">
        <v>-81.6964092</v>
      </c>
      <c r="U270" s="1">
        <v>1.0</v>
      </c>
      <c r="V270" s="5" t="s">
        <v>180</v>
      </c>
      <c r="W270" s="5">
        <v>0.0</v>
      </c>
      <c r="X270" s="5">
        <v>0.0</v>
      </c>
      <c r="Y270" s="5" t="s">
        <v>116</v>
      </c>
      <c r="Z270" s="24">
        <v>0.0</v>
      </c>
      <c r="AA270" s="25">
        <v>3.0</v>
      </c>
      <c r="AB270" s="25">
        <v>5.0</v>
      </c>
      <c r="AC270" s="16" t="s">
        <v>2356</v>
      </c>
      <c r="AD270" s="26">
        <v>2.12</v>
      </c>
      <c r="AE270" s="26">
        <v>0.8</v>
      </c>
      <c r="AF270" s="26">
        <f t="shared" si="3"/>
        <v>1.32</v>
      </c>
      <c r="AG270" s="16" t="str">
        <f t="shared" si="4"/>
        <v>No</v>
      </c>
      <c r="AH270" s="15" t="str">
        <f t="shared" si="5"/>
        <v>No</v>
      </c>
      <c r="AI270" s="32">
        <v>0.1</v>
      </c>
      <c r="AJ270" s="16" t="s">
        <v>230</v>
      </c>
      <c r="AK270" s="15"/>
      <c r="AL270" s="15"/>
      <c r="AM270" s="15"/>
      <c r="AN270" s="9"/>
      <c r="AO270" s="9">
        <f t="shared" si="26"/>
        <v>12.9</v>
      </c>
      <c r="AP270" s="9">
        <f t="shared" si="27"/>
        <v>23.9</v>
      </c>
      <c r="AQ270" s="9" t="str">
        <f t="shared" si="28"/>
        <v/>
      </c>
      <c r="AR270" s="9" t="str">
        <f t="shared" si="29"/>
        <v/>
      </c>
      <c r="AS270" s="16" t="s">
        <v>302</v>
      </c>
      <c r="AT270" s="15"/>
      <c r="AU270" s="15"/>
    </row>
    <row r="271" ht="15.75" customHeight="1">
      <c r="A271" s="15">
        <f t="shared" si="1"/>
        <v>44</v>
      </c>
      <c r="B271" s="15" t="str">
        <f t="shared" si="25"/>
        <v>Tier 2</v>
      </c>
      <c r="C271" s="15"/>
      <c r="D271" s="16" t="s">
        <v>141</v>
      </c>
      <c r="E271" s="15"/>
      <c r="F271" s="79" t="s">
        <v>2357</v>
      </c>
      <c r="G271" s="11" t="s">
        <v>2358</v>
      </c>
      <c r="H271" s="46" t="s">
        <v>1701</v>
      </c>
      <c r="I271" s="13" t="s">
        <v>128</v>
      </c>
      <c r="J271" s="17" t="s">
        <v>715</v>
      </c>
      <c r="K271" s="18">
        <v>156.0</v>
      </c>
      <c r="L271" s="18">
        <v>239.0</v>
      </c>
      <c r="M271" s="18">
        <v>221.3</v>
      </c>
      <c r="N271" s="78"/>
      <c r="O271" s="20">
        <v>30.0</v>
      </c>
      <c r="P271" s="21">
        <v>0.0</v>
      </c>
      <c r="Q271" s="5">
        <v>0.0</v>
      </c>
      <c r="R271" s="22">
        <v>83065.0</v>
      </c>
      <c r="S271" s="5">
        <v>38.27733127</v>
      </c>
      <c r="T271" s="5">
        <v>-81.77482733</v>
      </c>
      <c r="U271" s="1">
        <v>1.0</v>
      </c>
      <c r="V271" s="5" t="s">
        <v>180</v>
      </c>
      <c r="W271" s="5">
        <v>0.0</v>
      </c>
      <c r="X271" s="5">
        <v>0.0</v>
      </c>
      <c r="Y271" s="5" t="s">
        <v>116</v>
      </c>
      <c r="Z271" s="24">
        <v>0.0</v>
      </c>
      <c r="AA271" s="25">
        <v>1.0</v>
      </c>
      <c r="AB271" s="25">
        <v>2.0</v>
      </c>
      <c r="AC271" s="16" t="s">
        <v>1687</v>
      </c>
      <c r="AD271" s="26">
        <v>4.2</v>
      </c>
      <c r="AE271" s="26">
        <v>2.6</v>
      </c>
      <c r="AF271" s="26">
        <f t="shared" si="3"/>
        <v>1.6</v>
      </c>
      <c r="AG271" s="16" t="str">
        <f t="shared" si="4"/>
        <v>No</v>
      </c>
      <c r="AH271" s="15" t="str">
        <f t="shared" si="5"/>
        <v>No</v>
      </c>
      <c r="AI271" s="32">
        <v>4.2</v>
      </c>
      <c r="AJ271" s="16" t="s">
        <v>230</v>
      </c>
      <c r="AK271" s="15"/>
      <c r="AL271" s="15"/>
      <c r="AM271" s="15"/>
      <c r="AN271" s="9"/>
      <c r="AO271" s="9">
        <f t="shared" si="26"/>
        <v>30.1</v>
      </c>
      <c r="AP271" s="9">
        <f t="shared" si="27"/>
        <v>44.6</v>
      </c>
      <c r="AQ271" s="9">
        <f t="shared" si="28"/>
        <v>5.6</v>
      </c>
      <c r="AR271" s="9">
        <f t="shared" si="29"/>
        <v>31.1</v>
      </c>
      <c r="AS271" s="16" t="s">
        <v>302</v>
      </c>
      <c r="AT271" s="15"/>
      <c r="AU271" s="15"/>
    </row>
    <row r="272" ht="15.75" customHeight="1">
      <c r="A272" s="15" t="str">
        <f t="shared" si="1"/>
        <v/>
      </c>
      <c r="B272" s="15" t="str">
        <f t="shared" si="25"/>
        <v/>
      </c>
      <c r="C272" s="15"/>
      <c r="D272" s="16" t="s">
        <v>141</v>
      </c>
      <c r="E272" s="15"/>
      <c r="F272" s="79" t="s">
        <v>2359</v>
      </c>
      <c r="G272" s="11" t="s">
        <v>2360</v>
      </c>
      <c r="H272" s="46" t="s">
        <v>1705</v>
      </c>
      <c r="I272" s="13" t="s">
        <v>241</v>
      </c>
      <c r="J272" s="17" t="s">
        <v>439</v>
      </c>
      <c r="K272" s="18">
        <v>125.0</v>
      </c>
      <c r="L272" s="18">
        <v>206.0</v>
      </c>
      <c r="M272" s="18">
        <v>343.6</v>
      </c>
      <c r="N272" s="78"/>
      <c r="O272" s="20">
        <v>0.0</v>
      </c>
      <c r="P272" s="21">
        <v>0.0</v>
      </c>
      <c r="Q272" s="5">
        <v>0.0</v>
      </c>
      <c r="R272" s="35"/>
      <c r="S272" s="5">
        <v>38.8034129</v>
      </c>
      <c r="T272" s="5">
        <v>-81.35101423</v>
      </c>
      <c r="U272" s="1">
        <v>10.0</v>
      </c>
      <c r="V272" s="5" t="s">
        <v>342</v>
      </c>
      <c r="W272" s="5">
        <v>3.0</v>
      </c>
      <c r="X272" s="5">
        <v>0.0</v>
      </c>
      <c r="Y272" s="5" t="s">
        <v>116</v>
      </c>
      <c r="Z272" s="24">
        <v>0.0</v>
      </c>
      <c r="AA272" s="25">
        <v>0.0</v>
      </c>
      <c r="AB272" s="25">
        <v>0.0</v>
      </c>
      <c r="AC272" s="15"/>
      <c r="AD272" s="38"/>
      <c r="AE272" s="26">
        <v>1.9</v>
      </c>
      <c r="AF272" s="26" t="str">
        <f t="shared" si="3"/>
        <v/>
      </c>
      <c r="AG272" s="16" t="str">
        <f t="shared" si="4"/>
        <v>Verify</v>
      </c>
      <c r="AH272" s="15" t="str">
        <f t="shared" si="5"/>
        <v>Yes</v>
      </c>
      <c r="AI272" s="32">
        <v>0.4</v>
      </c>
      <c r="AJ272" s="16" t="s">
        <v>230</v>
      </c>
      <c r="AK272" s="15"/>
      <c r="AL272" s="15"/>
      <c r="AM272" s="15"/>
      <c r="AN272" s="9"/>
      <c r="AO272" s="9">
        <f t="shared" si="26"/>
        <v>24.1</v>
      </c>
      <c r="AP272" s="9" t="str">
        <f t="shared" si="27"/>
        <v/>
      </c>
      <c r="AQ272" s="9" t="str">
        <f t="shared" si="28"/>
        <v/>
      </c>
      <c r="AR272" s="9" t="str">
        <f t="shared" si="29"/>
        <v/>
      </c>
      <c r="AS272" s="16" t="s">
        <v>302</v>
      </c>
      <c r="AT272" s="15"/>
      <c r="AU272" s="15"/>
    </row>
    <row r="273" ht="15.75" customHeight="1">
      <c r="A273" s="15" t="str">
        <f t="shared" si="1"/>
        <v/>
      </c>
      <c r="B273" s="15" t="str">
        <f t="shared" si="25"/>
        <v/>
      </c>
      <c r="C273" s="15"/>
      <c r="D273" s="16" t="s">
        <v>141</v>
      </c>
      <c r="E273" s="15"/>
      <c r="F273" s="79" t="s">
        <v>2361</v>
      </c>
      <c r="G273" s="11" t="s">
        <v>2362</v>
      </c>
      <c r="H273" s="46">
        <v>26763.0</v>
      </c>
      <c r="I273" s="13" t="s">
        <v>273</v>
      </c>
      <c r="J273" s="17" t="s">
        <v>576</v>
      </c>
      <c r="K273" s="18">
        <v>31.0</v>
      </c>
      <c r="L273" s="18">
        <v>48.0</v>
      </c>
      <c r="M273" s="18">
        <v>46.1</v>
      </c>
      <c r="N273" s="78"/>
      <c r="O273" s="20">
        <v>78.0</v>
      </c>
      <c r="P273" s="21">
        <v>21.0</v>
      </c>
      <c r="Q273" s="5">
        <v>0.0</v>
      </c>
      <c r="R273" s="22">
        <v>56932.0</v>
      </c>
      <c r="S273" s="5">
        <v>39.44906168</v>
      </c>
      <c r="T273" s="5">
        <v>-78.69402485</v>
      </c>
      <c r="U273" s="1">
        <v>2.0</v>
      </c>
      <c r="V273" s="5" t="s">
        <v>180</v>
      </c>
      <c r="W273" s="5">
        <v>0.0</v>
      </c>
      <c r="X273" s="5">
        <v>0.0</v>
      </c>
      <c r="Y273" s="5" t="s">
        <v>116</v>
      </c>
      <c r="Z273" s="24">
        <v>0.0</v>
      </c>
      <c r="AA273" s="37"/>
      <c r="AB273" s="37"/>
      <c r="AC273" s="15"/>
      <c r="AD273" s="38"/>
      <c r="AE273" s="26">
        <v>1.7</v>
      </c>
      <c r="AF273" s="26" t="str">
        <f t="shared" si="3"/>
        <v/>
      </c>
      <c r="AG273" s="16" t="str">
        <f t="shared" si="4"/>
        <v>Verify</v>
      </c>
      <c r="AH273" s="15" t="str">
        <f t="shared" si="5"/>
        <v>Verify</v>
      </c>
      <c r="AI273" s="32">
        <v>8.2</v>
      </c>
      <c r="AJ273" s="16" t="s">
        <v>230</v>
      </c>
      <c r="AK273" s="15"/>
      <c r="AL273" s="15"/>
      <c r="AM273" s="15"/>
      <c r="AN273" s="9"/>
      <c r="AO273" s="9">
        <f t="shared" si="26"/>
        <v>6</v>
      </c>
      <c r="AP273" s="9" t="str">
        <f t="shared" si="27"/>
        <v/>
      </c>
      <c r="AQ273" s="9">
        <f t="shared" si="28"/>
        <v>10.5</v>
      </c>
      <c r="AR273" s="9" t="str">
        <f t="shared" si="29"/>
        <v/>
      </c>
      <c r="AS273" s="16" t="s">
        <v>302</v>
      </c>
      <c r="AT273" s="15"/>
      <c r="AU273" s="15"/>
    </row>
    <row r="274" ht="15.75" customHeight="1">
      <c r="A274" s="15" t="str">
        <f t="shared" si="1"/>
        <v/>
      </c>
      <c r="B274" s="15" t="str">
        <f t="shared" si="25"/>
        <v/>
      </c>
      <c r="C274" s="15"/>
      <c r="D274" s="16" t="s">
        <v>141</v>
      </c>
      <c r="E274" s="15"/>
      <c r="F274" s="79" t="s">
        <v>2363</v>
      </c>
      <c r="G274" s="11" t="s">
        <v>2364</v>
      </c>
      <c r="H274" s="46" t="s">
        <v>1708</v>
      </c>
      <c r="I274" s="13" t="s">
        <v>169</v>
      </c>
      <c r="J274" s="17" t="s">
        <v>169</v>
      </c>
      <c r="K274" s="18">
        <v>292.0</v>
      </c>
      <c r="L274" s="18">
        <v>449.0</v>
      </c>
      <c r="M274" s="18">
        <v>802.9</v>
      </c>
      <c r="N274" s="78"/>
      <c r="O274" s="20">
        <v>0.0</v>
      </c>
      <c r="P274" s="21">
        <v>21.0</v>
      </c>
      <c r="Q274" s="5">
        <v>0.0</v>
      </c>
      <c r="R274" s="22">
        <v>39643.0</v>
      </c>
      <c r="S274" s="5">
        <v>39.65760118</v>
      </c>
      <c r="T274" s="5">
        <v>-79.98277923</v>
      </c>
      <c r="U274" s="1">
        <v>1.0</v>
      </c>
      <c r="V274" s="5" t="s">
        <v>180</v>
      </c>
      <c r="W274" s="5">
        <v>0.0</v>
      </c>
      <c r="X274" s="5">
        <v>0.0</v>
      </c>
      <c r="Y274" s="5" t="s">
        <v>116</v>
      </c>
      <c r="Z274" s="24">
        <v>0.0</v>
      </c>
      <c r="AA274" s="37"/>
      <c r="AB274" s="37"/>
      <c r="AC274" s="16" t="s">
        <v>2365</v>
      </c>
      <c r="AD274" s="26">
        <v>0.65</v>
      </c>
      <c r="AE274" s="26">
        <v>2.0</v>
      </c>
      <c r="AF274" s="26">
        <f t="shared" si="3"/>
        <v>0</v>
      </c>
      <c r="AG274" s="16" t="str">
        <f t="shared" si="4"/>
        <v>No</v>
      </c>
      <c r="AH274" s="15" t="str">
        <f t="shared" si="5"/>
        <v>Verify</v>
      </c>
      <c r="AI274" s="32">
        <v>0.5</v>
      </c>
      <c r="AJ274" s="16" t="s">
        <v>230</v>
      </c>
      <c r="AK274" s="15"/>
      <c r="AL274" s="15"/>
      <c r="AM274" s="15"/>
      <c r="AN274" s="9"/>
      <c r="AO274" s="9">
        <f t="shared" si="26"/>
        <v>56.3</v>
      </c>
      <c r="AP274" s="9" t="str">
        <f t="shared" si="27"/>
        <v/>
      </c>
      <c r="AQ274" s="9">
        <f t="shared" si="28"/>
        <v>11.7</v>
      </c>
      <c r="AR274" s="9" t="str">
        <f t="shared" si="29"/>
        <v/>
      </c>
      <c r="AS274" s="16" t="s">
        <v>302</v>
      </c>
      <c r="AT274" s="15"/>
      <c r="AU274" s="15"/>
    </row>
    <row r="275" ht="15.75" customHeight="1">
      <c r="A275" s="15" t="str">
        <f t="shared" si="1"/>
        <v/>
      </c>
      <c r="B275" s="15" t="str">
        <f t="shared" si="25"/>
        <v/>
      </c>
      <c r="C275" s="15"/>
      <c r="D275" s="16" t="s">
        <v>141</v>
      </c>
      <c r="E275" s="15"/>
      <c r="F275" s="79" t="s">
        <v>2366</v>
      </c>
      <c r="G275" s="11" t="s">
        <v>2367</v>
      </c>
      <c r="H275" s="46" t="s">
        <v>1714</v>
      </c>
      <c r="I275" s="13" t="s">
        <v>198</v>
      </c>
      <c r="J275" s="17" t="s">
        <v>331</v>
      </c>
      <c r="K275" s="18">
        <v>149.0</v>
      </c>
      <c r="L275" s="18">
        <v>238.0</v>
      </c>
      <c r="M275" s="18">
        <v>319.7</v>
      </c>
      <c r="N275" s="78"/>
      <c r="O275" s="20">
        <v>31.0</v>
      </c>
      <c r="P275" s="21">
        <v>21.0</v>
      </c>
      <c r="Q275" s="5">
        <v>3.8</v>
      </c>
      <c r="R275" s="35"/>
      <c r="S275" s="5">
        <v>38.29916885</v>
      </c>
      <c r="T275" s="5">
        <v>-80.84201563</v>
      </c>
      <c r="U275" s="1">
        <v>10.0</v>
      </c>
      <c r="V275" s="5" t="s">
        <v>342</v>
      </c>
      <c r="W275" s="5">
        <v>3.0</v>
      </c>
      <c r="X275" s="5">
        <v>0.0</v>
      </c>
      <c r="Y275" s="5" t="s">
        <v>116</v>
      </c>
      <c r="Z275" s="24">
        <v>0.0</v>
      </c>
      <c r="AA275" s="37"/>
      <c r="AB275" s="37"/>
      <c r="AC275" s="16" t="s">
        <v>2368</v>
      </c>
      <c r="AD275" s="26">
        <v>0.59</v>
      </c>
      <c r="AE275" s="26">
        <v>8.5</v>
      </c>
      <c r="AF275" s="26">
        <f t="shared" si="3"/>
        <v>0</v>
      </c>
      <c r="AG275" s="16" t="str">
        <f t="shared" si="4"/>
        <v>No</v>
      </c>
      <c r="AH275" s="15" t="str">
        <f t="shared" si="5"/>
        <v>Verify</v>
      </c>
      <c r="AI275" s="32">
        <v>0.5</v>
      </c>
      <c r="AJ275" s="16" t="s">
        <v>230</v>
      </c>
      <c r="AK275" s="15"/>
      <c r="AL275" s="15"/>
      <c r="AM275" s="15"/>
      <c r="AN275" s="9"/>
      <c r="AO275" s="9">
        <f t="shared" si="26"/>
        <v>28.7</v>
      </c>
      <c r="AP275" s="9" t="str">
        <f t="shared" si="27"/>
        <v/>
      </c>
      <c r="AQ275" s="9" t="str">
        <f t="shared" si="28"/>
        <v/>
      </c>
      <c r="AR275" s="9" t="str">
        <f t="shared" si="29"/>
        <v/>
      </c>
      <c r="AS275" s="16" t="s">
        <v>302</v>
      </c>
      <c r="AT275" s="15"/>
      <c r="AU275" s="15"/>
    </row>
    <row r="276" ht="15.75" customHeight="1">
      <c r="A276" s="15" t="str">
        <f t="shared" si="1"/>
        <v/>
      </c>
      <c r="B276" s="15" t="str">
        <f t="shared" si="25"/>
        <v/>
      </c>
      <c r="C276" s="15"/>
      <c r="D276" s="16" t="s">
        <v>141</v>
      </c>
      <c r="E276" s="15"/>
      <c r="F276" s="79" t="s">
        <v>2369</v>
      </c>
      <c r="G276" s="11" t="s">
        <v>2370</v>
      </c>
      <c r="H276" s="46">
        <v>26651.0</v>
      </c>
      <c r="I276" s="13" t="s">
        <v>198</v>
      </c>
      <c r="J276" s="17" t="s">
        <v>331</v>
      </c>
      <c r="K276" s="18">
        <v>149.0</v>
      </c>
      <c r="L276" s="18">
        <v>238.0</v>
      </c>
      <c r="M276" s="18">
        <v>319.7</v>
      </c>
      <c r="N276" s="78"/>
      <c r="O276" s="20">
        <v>31.0</v>
      </c>
      <c r="P276" s="21">
        <v>21.0</v>
      </c>
      <c r="Q276" s="5">
        <v>3.8</v>
      </c>
      <c r="R276" s="35"/>
      <c r="S276" s="5">
        <v>38.30627022</v>
      </c>
      <c r="T276" s="5">
        <v>-80.90916914</v>
      </c>
      <c r="U276" s="1">
        <v>10.0</v>
      </c>
      <c r="V276" s="5" t="s">
        <v>342</v>
      </c>
      <c r="W276" s="5">
        <v>3.0</v>
      </c>
      <c r="X276" s="5">
        <v>0.0</v>
      </c>
      <c r="Y276" s="5" t="s">
        <v>116</v>
      </c>
      <c r="Z276" s="24">
        <v>0.0</v>
      </c>
      <c r="AA276" s="25">
        <v>4.0</v>
      </c>
      <c r="AB276" s="25">
        <v>6.0</v>
      </c>
      <c r="AC276" s="16" t="s">
        <v>2368</v>
      </c>
      <c r="AD276" s="26">
        <v>4.04</v>
      </c>
      <c r="AE276" s="26">
        <v>5.4</v>
      </c>
      <c r="AF276" s="26">
        <f t="shared" si="3"/>
        <v>0</v>
      </c>
      <c r="AG276" s="16" t="str">
        <f t="shared" si="4"/>
        <v>No</v>
      </c>
      <c r="AH276" s="15" t="str">
        <f t="shared" si="5"/>
        <v>No</v>
      </c>
      <c r="AI276" s="32">
        <v>3.8</v>
      </c>
      <c r="AJ276" s="16" t="s">
        <v>230</v>
      </c>
      <c r="AK276" s="15"/>
      <c r="AL276" s="15"/>
      <c r="AM276" s="15"/>
      <c r="AN276" s="9"/>
      <c r="AO276" s="9">
        <f t="shared" si="26"/>
        <v>28.7</v>
      </c>
      <c r="AP276" s="9">
        <f t="shared" si="27"/>
        <v>23.1</v>
      </c>
      <c r="AQ276" s="9" t="str">
        <f t="shared" si="28"/>
        <v/>
      </c>
      <c r="AR276" s="9" t="str">
        <f t="shared" si="29"/>
        <v/>
      </c>
      <c r="AS276" s="16" t="s">
        <v>302</v>
      </c>
      <c r="AT276" s="15"/>
      <c r="AU276" s="15"/>
    </row>
    <row r="277" ht="15.75" customHeight="1">
      <c r="A277" s="15" t="str">
        <f t="shared" si="1"/>
        <v/>
      </c>
      <c r="B277" s="15" t="str">
        <f t="shared" si="25"/>
        <v/>
      </c>
      <c r="C277" s="15"/>
      <c r="D277" s="16" t="s">
        <v>141</v>
      </c>
      <c r="E277" s="15"/>
      <c r="F277" s="79" t="s">
        <v>2371</v>
      </c>
      <c r="G277" s="11" t="s">
        <v>2372</v>
      </c>
      <c r="H277" s="46" t="s">
        <v>1721</v>
      </c>
      <c r="I277" s="13" t="s">
        <v>48</v>
      </c>
      <c r="J277" s="17" t="s">
        <v>331</v>
      </c>
      <c r="K277" s="18">
        <v>72.0</v>
      </c>
      <c r="L277" s="18">
        <v>113.0</v>
      </c>
      <c r="M277" s="18">
        <v>15.7</v>
      </c>
      <c r="N277" s="78"/>
      <c r="O277" s="20">
        <v>122.0</v>
      </c>
      <c r="P277" s="21">
        <v>0.0</v>
      </c>
      <c r="Q277" s="5">
        <v>6.8</v>
      </c>
      <c r="R277" s="22">
        <v>35580.0</v>
      </c>
      <c r="S277" s="5">
        <v>38.66839346</v>
      </c>
      <c r="T277" s="5">
        <v>-80.71821688</v>
      </c>
      <c r="U277" s="1">
        <v>10.0</v>
      </c>
      <c r="V277" s="5" t="s">
        <v>342</v>
      </c>
      <c r="W277" s="5">
        <v>3.0</v>
      </c>
      <c r="X277" s="5">
        <v>0.0</v>
      </c>
      <c r="Y277" s="5" t="s">
        <v>116</v>
      </c>
      <c r="Z277" s="24">
        <v>0.0</v>
      </c>
      <c r="AA277" s="37"/>
      <c r="AB277" s="37"/>
      <c r="AC277" s="16" t="s">
        <v>2373</v>
      </c>
      <c r="AD277" s="26">
        <v>1.79</v>
      </c>
      <c r="AE277" s="26">
        <v>6.2</v>
      </c>
      <c r="AF277" s="26">
        <f t="shared" si="3"/>
        <v>0</v>
      </c>
      <c r="AG277" s="16" t="str">
        <f t="shared" si="4"/>
        <v>No</v>
      </c>
      <c r="AH277" s="15" t="str">
        <f t="shared" si="5"/>
        <v>Verify</v>
      </c>
      <c r="AI277" s="32">
        <v>1.8</v>
      </c>
      <c r="AJ277" s="16" t="s">
        <v>230</v>
      </c>
      <c r="AK277" s="15"/>
      <c r="AL277" s="15"/>
      <c r="AM277" s="15"/>
      <c r="AN277" s="9"/>
      <c r="AO277" s="9">
        <f t="shared" si="26"/>
        <v>13.9</v>
      </c>
      <c r="AP277" s="9" t="str">
        <f t="shared" si="27"/>
        <v/>
      </c>
      <c r="AQ277" s="9">
        <f t="shared" si="28"/>
        <v>14.3</v>
      </c>
      <c r="AR277" s="9" t="str">
        <f t="shared" si="29"/>
        <v/>
      </c>
      <c r="AS277" s="16" t="s">
        <v>302</v>
      </c>
      <c r="AT277" s="15"/>
      <c r="AU277" s="15"/>
    </row>
    <row r="278" ht="15.75" customHeight="1">
      <c r="A278" s="15">
        <f t="shared" si="1"/>
        <v>38</v>
      </c>
      <c r="B278" s="15" t="str">
        <f t="shared" si="25"/>
        <v>Tier 2</v>
      </c>
      <c r="C278" s="15"/>
      <c r="D278" s="16" t="s">
        <v>141</v>
      </c>
      <c r="E278" s="15"/>
      <c r="F278" s="79" t="s">
        <v>2374</v>
      </c>
      <c r="G278" s="11" t="s">
        <v>2375</v>
      </c>
      <c r="H278" s="46" t="s">
        <v>1725</v>
      </c>
      <c r="I278" s="13" t="s">
        <v>105</v>
      </c>
      <c r="J278" s="17" t="s">
        <v>169</v>
      </c>
      <c r="K278" s="18">
        <v>35.0</v>
      </c>
      <c r="L278" s="18">
        <v>58.0</v>
      </c>
      <c r="M278" s="18">
        <v>86.0</v>
      </c>
      <c r="N278" s="78"/>
      <c r="O278" s="20">
        <v>374.0</v>
      </c>
      <c r="P278" s="21">
        <v>0.0</v>
      </c>
      <c r="Q278" s="5">
        <v>6.6</v>
      </c>
      <c r="R278" s="22">
        <v>63110.0</v>
      </c>
      <c r="S278" s="5">
        <v>39.44078189</v>
      </c>
      <c r="T278" s="5">
        <v>-79.53157638</v>
      </c>
      <c r="U278" s="1">
        <v>10.0</v>
      </c>
      <c r="V278" s="5" t="s">
        <v>342</v>
      </c>
      <c r="W278" s="5">
        <v>3.0</v>
      </c>
      <c r="X278" s="5">
        <v>0.0</v>
      </c>
      <c r="Y278" s="5" t="s">
        <v>116</v>
      </c>
      <c r="Z278" s="24">
        <v>0.0</v>
      </c>
      <c r="AA278" s="25">
        <v>0.0</v>
      </c>
      <c r="AB278" s="25">
        <v>0.0</v>
      </c>
      <c r="AC278" s="16" t="s">
        <v>188</v>
      </c>
      <c r="AD278" s="26">
        <v>7.59</v>
      </c>
      <c r="AE278" s="26">
        <v>1.8</v>
      </c>
      <c r="AF278" s="26">
        <f t="shared" si="3"/>
        <v>5.79</v>
      </c>
      <c r="AG278" s="16" t="str">
        <f t="shared" si="4"/>
        <v>No</v>
      </c>
      <c r="AH278" s="15" t="str">
        <f t="shared" si="5"/>
        <v>Yes</v>
      </c>
      <c r="AI278" s="32">
        <v>1.6</v>
      </c>
      <c r="AJ278" s="16" t="s">
        <v>230</v>
      </c>
      <c r="AK278" s="15"/>
      <c r="AL278" s="15"/>
      <c r="AM278" s="15"/>
      <c r="AN278" s="9"/>
      <c r="AO278" s="9">
        <f t="shared" si="26"/>
        <v>6.7</v>
      </c>
      <c r="AP278" s="9">
        <f t="shared" si="27"/>
        <v>62.8</v>
      </c>
      <c r="AQ278" s="9">
        <f t="shared" si="28"/>
        <v>14.2</v>
      </c>
      <c r="AR278" s="9">
        <f t="shared" si="29"/>
        <v>33.3</v>
      </c>
      <c r="AS278" s="16" t="s">
        <v>302</v>
      </c>
      <c r="AT278" s="15"/>
      <c r="AU278" s="15"/>
    </row>
    <row r="279" ht="15.75" customHeight="1">
      <c r="A279" s="15" t="str">
        <f t="shared" si="1"/>
        <v/>
      </c>
      <c r="B279" s="15" t="str">
        <f t="shared" si="25"/>
        <v/>
      </c>
      <c r="C279" s="15"/>
      <c r="D279" s="16" t="s">
        <v>141</v>
      </c>
      <c r="E279" s="15"/>
      <c r="F279" s="79" t="s">
        <v>2376</v>
      </c>
      <c r="G279" s="11" t="s">
        <v>2377</v>
      </c>
      <c r="H279" s="46" t="s">
        <v>1727</v>
      </c>
      <c r="I279" s="13" t="s">
        <v>982</v>
      </c>
      <c r="J279" s="17" t="s">
        <v>392</v>
      </c>
      <c r="K279" s="18">
        <v>32.0</v>
      </c>
      <c r="L279" s="18">
        <v>45.0</v>
      </c>
      <c r="M279" s="18">
        <v>28.0</v>
      </c>
      <c r="N279" s="78"/>
      <c r="O279" s="20">
        <v>79.0</v>
      </c>
      <c r="P279" s="21">
        <v>0.0</v>
      </c>
      <c r="Q279" s="5">
        <v>0.0</v>
      </c>
      <c r="R279" s="22">
        <v>50398.0</v>
      </c>
      <c r="S279" s="5">
        <v>37.59149184</v>
      </c>
      <c r="T279" s="5">
        <v>-80.54037686</v>
      </c>
      <c r="U279" s="1">
        <v>10.0</v>
      </c>
      <c r="V279" s="5" t="s">
        <v>342</v>
      </c>
      <c r="W279" s="5">
        <v>3.0</v>
      </c>
      <c r="X279" s="5">
        <v>0.0</v>
      </c>
      <c r="Y279" s="5" t="s">
        <v>116</v>
      </c>
      <c r="Z279" s="24">
        <v>0.0</v>
      </c>
      <c r="AA279" s="25">
        <v>0.0</v>
      </c>
      <c r="AB279" s="25">
        <v>0.0</v>
      </c>
      <c r="AC279" s="15"/>
      <c r="AD279" s="38"/>
      <c r="AE279" s="26">
        <v>1.9</v>
      </c>
      <c r="AF279" s="26" t="str">
        <f t="shared" si="3"/>
        <v/>
      </c>
      <c r="AG279" s="16" t="str">
        <f t="shared" si="4"/>
        <v>Verify</v>
      </c>
      <c r="AH279" s="15" t="str">
        <f t="shared" si="5"/>
        <v>Yes</v>
      </c>
      <c r="AI279" s="32">
        <v>0.0</v>
      </c>
      <c r="AJ279" s="16" t="s">
        <v>230</v>
      </c>
      <c r="AK279" s="15"/>
      <c r="AL279" s="15"/>
      <c r="AM279" s="15"/>
      <c r="AN279" s="9"/>
      <c r="AO279" s="9">
        <f t="shared" si="26"/>
        <v>6.2</v>
      </c>
      <c r="AP279" s="9" t="str">
        <f t="shared" si="27"/>
        <v/>
      </c>
      <c r="AQ279" s="9">
        <f t="shared" si="28"/>
        <v>10.7</v>
      </c>
      <c r="AR279" s="9" t="str">
        <f t="shared" si="29"/>
        <v/>
      </c>
      <c r="AS279" s="16" t="s">
        <v>302</v>
      </c>
      <c r="AT279" s="15"/>
      <c r="AU279" s="15"/>
    </row>
    <row r="280" ht="15.75" customHeight="1">
      <c r="A280" s="15" t="str">
        <f t="shared" si="1"/>
        <v/>
      </c>
      <c r="B280" s="15" t="str">
        <f t="shared" si="25"/>
        <v/>
      </c>
      <c r="C280" s="15"/>
      <c r="D280" s="16" t="s">
        <v>141</v>
      </c>
      <c r="E280" s="15"/>
      <c r="F280" s="79" t="s">
        <v>2378</v>
      </c>
      <c r="G280" s="11" t="s">
        <v>2379</v>
      </c>
      <c r="H280" s="46">
        <v>26293.0</v>
      </c>
      <c r="I280" s="13" t="s">
        <v>236</v>
      </c>
      <c r="J280" s="17" t="s">
        <v>663</v>
      </c>
      <c r="K280" s="18">
        <v>8.0</v>
      </c>
      <c r="L280" s="18">
        <v>13.0</v>
      </c>
      <c r="M280" s="18">
        <v>7.9</v>
      </c>
      <c r="N280" s="78"/>
      <c r="O280" s="20">
        <v>0.0</v>
      </c>
      <c r="P280" s="21">
        <v>0.0</v>
      </c>
      <c r="Q280" s="5">
        <v>0.0</v>
      </c>
      <c r="R280" s="35"/>
      <c r="S280" s="5">
        <v>38.7971149</v>
      </c>
      <c r="T280" s="5">
        <v>-79.89980454</v>
      </c>
      <c r="U280" s="1">
        <v>5.0</v>
      </c>
      <c r="V280" s="5" t="s">
        <v>540</v>
      </c>
      <c r="W280" s="5">
        <v>1.0</v>
      </c>
      <c r="X280" s="5">
        <v>2.0</v>
      </c>
      <c r="Y280" s="5" t="s">
        <v>619</v>
      </c>
      <c r="Z280" s="24">
        <v>2.0</v>
      </c>
      <c r="AA280" s="25">
        <v>0.0</v>
      </c>
      <c r="AB280" s="25">
        <v>0.0</v>
      </c>
      <c r="AC280" s="15"/>
      <c r="AD280" s="38"/>
      <c r="AE280" s="26">
        <v>2.2</v>
      </c>
      <c r="AF280" s="26" t="str">
        <f t="shared" si="3"/>
        <v/>
      </c>
      <c r="AG280" s="16" t="str">
        <f t="shared" si="4"/>
        <v>Verify</v>
      </c>
      <c r="AH280" s="15" t="str">
        <f t="shared" si="5"/>
        <v>Yes</v>
      </c>
      <c r="AI280" s="32">
        <v>5.8</v>
      </c>
      <c r="AJ280" s="16" t="s">
        <v>230</v>
      </c>
      <c r="AK280" s="15"/>
      <c r="AL280" s="15"/>
      <c r="AM280" s="15"/>
      <c r="AN280" s="9"/>
      <c r="AO280" s="9">
        <f t="shared" si="26"/>
        <v>1.5</v>
      </c>
      <c r="AP280" s="9" t="str">
        <f t="shared" si="27"/>
        <v/>
      </c>
      <c r="AQ280" s="9" t="str">
        <f t="shared" si="28"/>
        <v/>
      </c>
      <c r="AR280" s="9" t="str">
        <f t="shared" si="29"/>
        <v/>
      </c>
      <c r="AS280" s="16" t="s">
        <v>302</v>
      </c>
      <c r="AT280" s="15"/>
      <c r="AU280" s="15"/>
    </row>
    <row r="281" ht="15.75" customHeight="1">
      <c r="A281" s="15" t="str">
        <f t="shared" si="1"/>
        <v/>
      </c>
      <c r="B281" s="15" t="str">
        <f t="shared" si="25"/>
        <v/>
      </c>
      <c r="C281" s="15"/>
      <c r="D281" s="16" t="s">
        <v>141</v>
      </c>
      <c r="E281" s="15"/>
      <c r="F281" s="79" t="s">
        <v>2380</v>
      </c>
      <c r="G281" s="11" t="s">
        <v>2381</v>
      </c>
      <c r="H281" s="46" t="s">
        <v>1732</v>
      </c>
      <c r="I281" s="13" t="s">
        <v>236</v>
      </c>
      <c r="J281" s="17" t="s">
        <v>663</v>
      </c>
      <c r="K281" s="18">
        <v>7.0</v>
      </c>
      <c r="L281" s="18">
        <v>10.0</v>
      </c>
      <c r="M281" s="18">
        <v>0.0</v>
      </c>
      <c r="N281" s="78"/>
      <c r="O281" s="40"/>
      <c r="P281" s="21">
        <v>0.0</v>
      </c>
      <c r="Q281" s="41"/>
      <c r="R281" s="35"/>
      <c r="S281" s="5">
        <v>38.55317679</v>
      </c>
      <c r="T281" s="5">
        <v>-80.03468646</v>
      </c>
      <c r="U281" s="1">
        <v>5.0</v>
      </c>
      <c r="V281" s="5" t="s">
        <v>540</v>
      </c>
      <c r="W281" s="5">
        <v>1.0</v>
      </c>
      <c r="X281" s="5">
        <v>4.0</v>
      </c>
      <c r="Y281" s="5" t="s">
        <v>1190</v>
      </c>
      <c r="Z281" s="24">
        <v>4.0</v>
      </c>
      <c r="AA281" s="37"/>
      <c r="AB281" s="37"/>
      <c r="AC281" s="15"/>
      <c r="AD281" s="38"/>
      <c r="AE281" s="26">
        <v>1.4</v>
      </c>
      <c r="AF281" s="26" t="str">
        <f t="shared" si="3"/>
        <v/>
      </c>
      <c r="AG281" s="16" t="str">
        <f t="shared" si="4"/>
        <v>Verify</v>
      </c>
      <c r="AH281" s="15" t="str">
        <f t="shared" si="5"/>
        <v>Verify</v>
      </c>
      <c r="AI281" s="32">
        <v>10.2</v>
      </c>
      <c r="AJ281" s="16" t="s">
        <v>230</v>
      </c>
      <c r="AK281" s="15"/>
      <c r="AL281" s="15"/>
      <c r="AM281" s="15"/>
      <c r="AN281" s="9"/>
      <c r="AO281" s="9">
        <f t="shared" si="26"/>
        <v>1.3</v>
      </c>
      <c r="AP281" s="9" t="str">
        <f t="shared" si="27"/>
        <v/>
      </c>
      <c r="AQ281" s="9" t="str">
        <f t="shared" si="28"/>
        <v/>
      </c>
      <c r="AR281" s="9" t="str">
        <f t="shared" si="29"/>
        <v/>
      </c>
      <c r="AS281" s="16" t="s">
        <v>302</v>
      </c>
      <c r="AT281" s="15"/>
      <c r="AU281" s="15"/>
    </row>
    <row r="282" ht="15.75" customHeight="1">
      <c r="A282" s="15" t="str">
        <f t="shared" si="1"/>
        <v/>
      </c>
      <c r="B282" s="15" t="str">
        <f t="shared" si="25"/>
        <v/>
      </c>
      <c r="C282" s="15"/>
      <c r="D282" s="16" t="s">
        <v>141</v>
      </c>
      <c r="E282" s="15"/>
      <c r="F282" s="79" t="s">
        <v>2382</v>
      </c>
      <c r="G282" s="11" t="s">
        <v>2383</v>
      </c>
      <c r="H282" s="46" t="s">
        <v>1734</v>
      </c>
      <c r="I282" s="13" t="s">
        <v>268</v>
      </c>
      <c r="J282" s="17" t="s">
        <v>439</v>
      </c>
      <c r="K282" s="18">
        <v>104.0</v>
      </c>
      <c r="L282" s="18">
        <v>145.0</v>
      </c>
      <c r="M282" s="18">
        <v>216.1</v>
      </c>
      <c r="N282" s="78"/>
      <c r="O282" s="20">
        <v>173.0</v>
      </c>
      <c r="P282" s="21">
        <v>0.0</v>
      </c>
      <c r="Q282" s="5">
        <v>4.8</v>
      </c>
      <c r="R282" s="22">
        <v>40154.0</v>
      </c>
      <c r="S282" s="5">
        <v>39.32704786</v>
      </c>
      <c r="T282" s="5">
        <v>-81.54844688</v>
      </c>
      <c r="U282" s="1">
        <v>1.0</v>
      </c>
      <c r="V282" s="5" t="s">
        <v>180</v>
      </c>
      <c r="W282" s="5">
        <v>0.0</v>
      </c>
      <c r="X282" s="5">
        <v>0.0</v>
      </c>
      <c r="Y282" s="5" t="s">
        <v>116</v>
      </c>
      <c r="Z282" s="24">
        <v>0.0</v>
      </c>
      <c r="AA282" s="37"/>
      <c r="AB282" s="37"/>
      <c r="AC282" s="16" t="s">
        <v>2384</v>
      </c>
      <c r="AD282" s="26">
        <v>0.45</v>
      </c>
      <c r="AE282" s="26">
        <v>1.8</v>
      </c>
      <c r="AF282" s="26">
        <f t="shared" si="3"/>
        <v>0</v>
      </c>
      <c r="AG282" s="16" t="str">
        <f t="shared" si="4"/>
        <v>No</v>
      </c>
      <c r="AH282" s="15" t="str">
        <f t="shared" si="5"/>
        <v>Verify</v>
      </c>
      <c r="AI282" s="32">
        <v>0.5</v>
      </c>
      <c r="AJ282" s="16" t="s">
        <v>230</v>
      </c>
      <c r="AK282" s="15"/>
      <c r="AL282" s="15"/>
      <c r="AM282" s="15"/>
      <c r="AN282" s="9"/>
      <c r="AO282" s="9">
        <f t="shared" si="26"/>
        <v>20</v>
      </c>
      <c r="AP282" s="9" t="str">
        <f t="shared" si="27"/>
        <v/>
      </c>
      <c r="AQ282" s="9">
        <f t="shared" si="28"/>
        <v>14.2</v>
      </c>
      <c r="AR282" s="9" t="str">
        <f t="shared" si="29"/>
        <v/>
      </c>
      <c r="AS282" s="16" t="s">
        <v>302</v>
      </c>
      <c r="AT282" s="15"/>
      <c r="AU282" s="15"/>
    </row>
    <row r="283" ht="15.75" customHeight="1">
      <c r="A283" s="15" t="str">
        <f t="shared" si="1"/>
        <v/>
      </c>
      <c r="B283" s="15" t="str">
        <f t="shared" si="25"/>
        <v/>
      </c>
      <c r="C283" s="15"/>
      <c r="D283" s="16" t="s">
        <v>420</v>
      </c>
      <c r="E283" s="16" t="s">
        <v>230</v>
      </c>
      <c r="F283" s="79" t="s">
        <v>2385</v>
      </c>
      <c r="G283" s="11" t="s">
        <v>2386</v>
      </c>
      <c r="H283" s="46">
        <v>26105.0</v>
      </c>
      <c r="I283" s="13" t="s">
        <v>268</v>
      </c>
      <c r="J283" s="17" t="s">
        <v>439</v>
      </c>
      <c r="K283" s="18">
        <v>104.0</v>
      </c>
      <c r="L283" s="18">
        <v>145.0</v>
      </c>
      <c r="M283" s="18">
        <v>216.1</v>
      </c>
      <c r="N283" s="78"/>
      <c r="O283" s="20">
        <v>173.0</v>
      </c>
      <c r="P283" s="21">
        <v>18.0</v>
      </c>
      <c r="Q283" s="5">
        <v>4.8</v>
      </c>
      <c r="R283" s="22">
        <v>40154.0</v>
      </c>
      <c r="S283" s="5">
        <v>39.34507905</v>
      </c>
      <c r="T283" s="5">
        <v>-81.53388774</v>
      </c>
      <c r="U283" s="1">
        <v>1.0</v>
      </c>
      <c r="V283" s="5" t="s">
        <v>180</v>
      </c>
      <c r="W283" s="5">
        <v>0.0</v>
      </c>
      <c r="X283" s="5">
        <v>0.0</v>
      </c>
      <c r="Y283" s="5" t="s">
        <v>116</v>
      </c>
      <c r="Z283" s="24">
        <v>0.0</v>
      </c>
      <c r="AA283" s="25">
        <v>0.0</v>
      </c>
      <c r="AB283" s="25">
        <v>0.0</v>
      </c>
      <c r="AC283" s="15"/>
      <c r="AD283" s="38"/>
      <c r="AE283" s="26">
        <v>1.5</v>
      </c>
      <c r="AF283" s="26" t="str">
        <f t="shared" si="3"/>
        <v/>
      </c>
      <c r="AG283" s="16" t="str">
        <f t="shared" si="4"/>
        <v>Verify</v>
      </c>
      <c r="AH283" s="15" t="str">
        <f t="shared" si="5"/>
        <v>Yes</v>
      </c>
      <c r="AI283" s="32">
        <v>1.9</v>
      </c>
      <c r="AJ283" s="16" t="s">
        <v>230</v>
      </c>
      <c r="AK283" s="15"/>
      <c r="AL283" s="15"/>
      <c r="AM283" s="15"/>
      <c r="AN283" s="9"/>
      <c r="AO283" s="9">
        <f t="shared" si="26"/>
        <v>20</v>
      </c>
      <c r="AP283" s="9" t="str">
        <f t="shared" si="27"/>
        <v/>
      </c>
      <c r="AQ283" s="9">
        <f t="shared" si="28"/>
        <v>14.7</v>
      </c>
      <c r="AR283" s="9" t="str">
        <f t="shared" si="29"/>
        <v/>
      </c>
      <c r="AS283" s="16" t="s">
        <v>302</v>
      </c>
      <c r="AT283" s="15"/>
      <c r="AU283" s="15"/>
    </row>
    <row r="284" ht="15.75" customHeight="1">
      <c r="A284" s="15" t="str">
        <f t="shared" si="1"/>
        <v/>
      </c>
      <c r="B284" s="15" t="str">
        <f t="shared" si="25"/>
        <v/>
      </c>
      <c r="C284" s="15"/>
      <c r="D284" s="16" t="s">
        <v>141</v>
      </c>
      <c r="E284" s="15"/>
      <c r="F284" s="79" t="s">
        <v>2387</v>
      </c>
      <c r="G284" s="11" t="s">
        <v>2388</v>
      </c>
      <c r="H284" s="46" t="s">
        <v>1737</v>
      </c>
      <c r="I284" s="13" t="s">
        <v>268</v>
      </c>
      <c r="J284" s="17" t="s">
        <v>439</v>
      </c>
      <c r="K284" s="18">
        <v>15.0</v>
      </c>
      <c r="L284" s="18">
        <v>25.0</v>
      </c>
      <c r="M284" s="18">
        <v>27.7</v>
      </c>
      <c r="N284" s="78"/>
      <c r="O284" s="20">
        <v>169.0</v>
      </c>
      <c r="P284" s="21">
        <v>18.0</v>
      </c>
      <c r="Q284" s="5">
        <v>17.0</v>
      </c>
      <c r="R284" s="22">
        <v>27050.0</v>
      </c>
      <c r="S284" s="5">
        <v>39.15446566</v>
      </c>
      <c r="T284" s="5">
        <v>-81.43828211</v>
      </c>
      <c r="U284" s="1">
        <v>2.0</v>
      </c>
      <c r="V284" s="5" t="s">
        <v>180</v>
      </c>
      <c r="W284" s="5">
        <v>0.0</v>
      </c>
      <c r="X284" s="5">
        <v>0.0</v>
      </c>
      <c r="Y284" s="5" t="s">
        <v>116</v>
      </c>
      <c r="Z284" s="24">
        <v>0.0</v>
      </c>
      <c r="AA284" s="37"/>
      <c r="AB284" s="37"/>
      <c r="AC284" s="16" t="s">
        <v>2389</v>
      </c>
      <c r="AD284" s="26">
        <v>6.45</v>
      </c>
      <c r="AE284" s="26">
        <v>4.8</v>
      </c>
      <c r="AF284" s="26">
        <f t="shared" si="3"/>
        <v>1.65</v>
      </c>
      <c r="AG284" s="16" t="str">
        <f t="shared" si="4"/>
        <v>No</v>
      </c>
      <c r="AH284" s="15" t="str">
        <f t="shared" si="5"/>
        <v>Verify</v>
      </c>
      <c r="AI284" s="32">
        <v>6.4</v>
      </c>
      <c r="AJ284" s="16" t="s">
        <v>230</v>
      </c>
      <c r="AK284" s="15"/>
      <c r="AL284" s="15"/>
      <c r="AM284" s="15"/>
      <c r="AN284" s="9"/>
      <c r="AO284" s="9">
        <f t="shared" si="26"/>
        <v>2.9</v>
      </c>
      <c r="AP284" s="9" t="str">
        <f t="shared" si="27"/>
        <v/>
      </c>
      <c r="AQ284" s="9">
        <f t="shared" si="28"/>
        <v>18.1</v>
      </c>
      <c r="AR284" s="9" t="str">
        <f t="shared" si="29"/>
        <v/>
      </c>
      <c r="AS284" s="16" t="s">
        <v>302</v>
      </c>
      <c r="AT284" s="15"/>
      <c r="AU284" s="15"/>
    </row>
    <row r="285" ht="15.75" customHeight="1">
      <c r="A285" s="15" t="str">
        <f t="shared" si="1"/>
        <v/>
      </c>
      <c r="B285" s="15" t="str">
        <f t="shared" si="25"/>
        <v/>
      </c>
      <c r="C285" s="15"/>
      <c r="D285" s="16" t="s">
        <v>141</v>
      </c>
      <c r="E285" s="15"/>
      <c r="F285" s="79" t="s">
        <v>2390</v>
      </c>
      <c r="G285" s="11" t="s">
        <v>2391</v>
      </c>
      <c r="H285" s="46" t="s">
        <v>1739</v>
      </c>
      <c r="I285" s="13" t="s">
        <v>101</v>
      </c>
      <c r="J285" s="17" t="s">
        <v>169</v>
      </c>
      <c r="K285" s="18">
        <v>11.0</v>
      </c>
      <c r="L285" s="18">
        <v>16.0</v>
      </c>
      <c r="M285" s="18">
        <v>19.4</v>
      </c>
      <c r="N285" s="78"/>
      <c r="O285" s="20">
        <v>21.0</v>
      </c>
      <c r="P285" s="21">
        <v>0.0</v>
      </c>
      <c r="Q285" s="5">
        <v>0.0</v>
      </c>
      <c r="R285" s="35"/>
      <c r="S285" s="5">
        <v>39.39212125</v>
      </c>
      <c r="T285" s="5">
        <v>-80.46178967</v>
      </c>
      <c r="U285" s="1">
        <v>5.0</v>
      </c>
      <c r="V285" s="5" t="s">
        <v>540</v>
      </c>
      <c r="W285" s="5">
        <v>1.0</v>
      </c>
      <c r="X285" s="5">
        <v>0.0</v>
      </c>
      <c r="Y285" s="5" t="s">
        <v>116</v>
      </c>
      <c r="Z285" s="24">
        <v>0.0</v>
      </c>
      <c r="AA285" s="25">
        <v>0.0</v>
      </c>
      <c r="AB285" s="25">
        <v>0.0</v>
      </c>
      <c r="AC285" s="16" t="s">
        <v>1627</v>
      </c>
      <c r="AD285" s="26">
        <v>8.69</v>
      </c>
      <c r="AE285" s="26">
        <v>1.7</v>
      </c>
      <c r="AF285" s="26">
        <f t="shared" si="3"/>
        <v>6.99</v>
      </c>
      <c r="AG285" s="16" t="str">
        <f t="shared" si="4"/>
        <v>No</v>
      </c>
      <c r="AH285" s="15" t="str">
        <f t="shared" si="5"/>
        <v>Yes</v>
      </c>
      <c r="AI285" s="32">
        <v>8.3</v>
      </c>
      <c r="AJ285" s="16" t="s">
        <v>230</v>
      </c>
      <c r="AK285" s="15"/>
      <c r="AL285" s="15"/>
      <c r="AM285" s="15"/>
      <c r="AN285" s="9"/>
      <c r="AO285" s="9">
        <f t="shared" si="26"/>
        <v>2.1</v>
      </c>
      <c r="AP285" s="9">
        <f t="shared" si="27"/>
        <v>66.1</v>
      </c>
      <c r="AQ285" s="9" t="str">
        <f t="shared" si="28"/>
        <v/>
      </c>
      <c r="AR285" s="9" t="str">
        <f t="shared" si="29"/>
        <v/>
      </c>
      <c r="AS285" s="16" t="s">
        <v>302</v>
      </c>
      <c r="AT285" s="15"/>
      <c r="AU285" s="15"/>
    </row>
    <row r="286" ht="15.75" customHeight="1">
      <c r="A286" s="15">
        <f t="shared" si="1"/>
        <v>67</v>
      </c>
      <c r="B286" s="15" t="str">
        <f t="shared" si="25"/>
        <v>Tier 3</v>
      </c>
      <c r="C286" s="15"/>
      <c r="D286" s="16" t="s">
        <v>141</v>
      </c>
      <c r="E286" s="15"/>
      <c r="F286" s="79" t="s">
        <v>2392</v>
      </c>
      <c r="G286" s="11" t="s">
        <v>2393</v>
      </c>
      <c r="H286" s="46" t="s">
        <v>1741</v>
      </c>
      <c r="I286" s="13" t="s">
        <v>906</v>
      </c>
      <c r="J286" s="17" t="s">
        <v>331</v>
      </c>
      <c r="K286" s="18">
        <v>5.0</v>
      </c>
      <c r="L286" s="18">
        <v>7.0</v>
      </c>
      <c r="M286" s="18">
        <v>68.7</v>
      </c>
      <c r="N286" s="78"/>
      <c r="O286" s="20">
        <v>42.0</v>
      </c>
      <c r="P286" s="21">
        <v>0.0</v>
      </c>
      <c r="Q286" s="5">
        <v>13.9</v>
      </c>
      <c r="R286" s="22">
        <v>37637.0</v>
      </c>
      <c r="S286" s="5">
        <v>38.55210304</v>
      </c>
      <c r="T286" s="5">
        <v>-81.13253293</v>
      </c>
      <c r="U286" s="1">
        <v>10.0</v>
      </c>
      <c r="V286" s="5" t="s">
        <v>342</v>
      </c>
      <c r="W286" s="5">
        <v>3.0</v>
      </c>
      <c r="X286" s="5">
        <v>0.0</v>
      </c>
      <c r="Y286" s="5" t="s">
        <v>116</v>
      </c>
      <c r="Z286" s="24">
        <v>0.0</v>
      </c>
      <c r="AA286" s="25">
        <v>1.0</v>
      </c>
      <c r="AB286" s="25">
        <v>2.0</v>
      </c>
      <c r="AC286" s="16" t="s">
        <v>1476</v>
      </c>
      <c r="AD286" s="26">
        <v>5.56</v>
      </c>
      <c r="AE286" s="26">
        <v>1.9</v>
      </c>
      <c r="AF286" s="26">
        <f t="shared" si="3"/>
        <v>3.66</v>
      </c>
      <c r="AG286" s="16" t="str">
        <f t="shared" si="4"/>
        <v>No</v>
      </c>
      <c r="AH286" s="15" t="str">
        <f t="shared" si="5"/>
        <v>No</v>
      </c>
      <c r="AI286" s="32">
        <v>11.5</v>
      </c>
      <c r="AJ286" s="16" t="s">
        <v>230</v>
      </c>
      <c r="AK286" s="15"/>
      <c r="AL286" s="15"/>
      <c r="AM286" s="15"/>
      <c r="AN286" s="9"/>
      <c r="AO286" s="9">
        <f t="shared" si="26"/>
        <v>1</v>
      </c>
      <c r="AP286" s="9">
        <f t="shared" si="27"/>
        <v>48.7</v>
      </c>
      <c r="AQ286" s="9">
        <f t="shared" si="28"/>
        <v>13.8</v>
      </c>
      <c r="AR286" s="9">
        <f t="shared" si="29"/>
        <v>25</v>
      </c>
      <c r="AS286" s="16" t="s">
        <v>556</v>
      </c>
      <c r="AT286" s="15"/>
      <c r="AU286" s="15"/>
    </row>
    <row r="287" ht="15.75" customHeight="1">
      <c r="A287" s="15" t="str">
        <f t="shared" si="1"/>
        <v/>
      </c>
      <c r="B287" s="15" t="str">
        <f t="shared" si="25"/>
        <v/>
      </c>
      <c r="C287" s="15"/>
      <c r="D287" s="16" t="s">
        <v>141</v>
      </c>
      <c r="E287" s="15"/>
      <c r="F287" s="79" t="s">
        <v>2394</v>
      </c>
      <c r="G287" s="11" t="s">
        <v>2395</v>
      </c>
      <c r="H287" s="46" t="s">
        <v>1743</v>
      </c>
      <c r="I287" s="13" t="s">
        <v>726</v>
      </c>
      <c r="J287" s="17" t="s">
        <v>392</v>
      </c>
      <c r="K287" s="18">
        <v>19.0</v>
      </c>
      <c r="L287" s="18">
        <v>26.0</v>
      </c>
      <c r="M287" s="18">
        <v>93.4</v>
      </c>
      <c r="N287" s="78"/>
      <c r="O287" s="20">
        <v>48.0</v>
      </c>
      <c r="P287" s="21">
        <v>0.0</v>
      </c>
      <c r="Q287" s="5">
        <v>0.0</v>
      </c>
      <c r="R287" s="22">
        <v>26490.0</v>
      </c>
      <c r="S287" s="5">
        <v>37.34914002</v>
      </c>
      <c r="T287" s="5">
        <v>-81.66693383</v>
      </c>
      <c r="U287" s="1">
        <v>10.0</v>
      </c>
      <c r="V287" s="5" t="s">
        <v>342</v>
      </c>
      <c r="W287" s="5">
        <v>3.0</v>
      </c>
      <c r="X287" s="5">
        <v>4.0</v>
      </c>
      <c r="Y287" s="5" t="s">
        <v>1190</v>
      </c>
      <c r="Z287" s="24">
        <v>4.0</v>
      </c>
      <c r="AA287" s="25">
        <v>3.0</v>
      </c>
      <c r="AB287" s="25">
        <v>5.0</v>
      </c>
      <c r="AC287" s="15"/>
      <c r="AD287" s="38"/>
      <c r="AE287" s="26">
        <v>2.8</v>
      </c>
      <c r="AF287" s="26" t="str">
        <f t="shared" si="3"/>
        <v/>
      </c>
      <c r="AG287" s="16" t="str">
        <f t="shared" si="4"/>
        <v>Verify</v>
      </c>
      <c r="AH287" s="15" t="str">
        <f t="shared" si="5"/>
        <v>No</v>
      </c>
      <c r="AI287" s="32">
        <v>3.5</v>
      </c>
      <c r="AJ287" s="16" t="s">
        <v>230</v>
      </c>
      <c r="AK287" s="15"/>
      <c r="AL287" s="15"/>
      <c r="AM287" s="15"/>
      <c r="AN287" s="9"/>
      <c r="AO287" s="9">
        <f t="shared" si="26"/>
        <v>3.7</v>
      </c>
      <c r="AP287" s="9" t="str">
        <f t="shared" si="27"/>
        <v/>
      </c>
      <c r="AQ287" s="9">
        <f t="shared" si="28"/>
        <v>13.6</v>
      </c>
      <c r="AR287" s="9" t="str">
        <f t="shared" si="29"/>
        <v/>
      </c>
      <c r="AS287" s="16" t="s">
        <v>302</v>
      </c>
      <c r="AT287" s="15"/>
      <c r="AU287" s="15"/>
    </row>
    <row r="288" ht="15.75" customHeight="1">
      <c r="A288" s="15" t="str">
        <f t="shared" si="1"/>
        <v/>
      </c>
      <c r="B288" s="15" t="str">
        <f t="shared" si="25"/>
        <v/>
      </c>
      <c r="C288" s="15"/>
      <c r="D288" s="16" t="s">
        <v>141</v>
      </c>
      <c r="E288" s="15"/>
      <c r="F288" s="79" t="s">
        <v>2396</v>
      </c>
      <c r="G288" s="11" t="s">
        <v>2397</v>
      </c>
      <c r="H288" s="46" t="s">
        <v>1759</v>
      </c>
      <c r="I288" s="13" t="s">
        <v>90</v>
      </c>
      <c r="J288" s="17" t="s">
        <v>663</v>
      </c>
      <c r="K288" s="18">
        <v>26.0</v>
      </c>
      <c r="L288" s="18">
        <v>45.0</v>
      </c>
      <c r="M288" s="18">
        <v>2.6</v>
      </c>
      <c r="N288" s="78"/>
      <c r="O288" s="20">
        <v>231.0</v>
      </c>
      <c r="P288" s="21">
        <v>0.0</v>
      </c>
      <c r="Q288" s="5">
        <v>24.9</v>
      </c>
      <c r="R288" s="22">
        <v>61250.0</v>
      </c>
      <c r="S288" s="5">
        <v>39.08229386</v>
      </c>
      <c r="T288" s="5">
        <v>-78.59135576</v>
      </c>
      <c r="U288" s="1">
        <v>2.0</v>
      </c>
      <c r="V288" s="5" t="s">
        <v>180</v>
      </c>
      <c r="W288" s="5">
        <v>0.0</v>
      </c>
      <c r="X288" s="5">
        <v>0.0</v>
      </c>
      <c r="Y288" s="5" t="s">
        <v>116</v>
      </c>
      <c r="Z288" s="24">
        <v>0.0</v>
      </c>
      <c r="AA288" s="25">
        <v>3.0</v>
      </c>
      <c r="AB288" s="25">
        <v>5.0</v>
      </c>
      <c r="AC288" s="15"/>
      <c r="AD288" s="38"/>
      <c r="AE288" s="26">
        <v>2.7</v>
      </c>
      <c r="AF288" s="26" t="str">
        <f t="shared" si="3"/>
        <v/>
      </c>
      <c r="AG288" s="16" t="str">
        <f t="shared" si="4"/>
        <v>Verify</v>
      </c>
      <c r="AH288" s="15" t="str">
        <f t="shared" si="5"/>
        <v>No</v>
      </c>
      <c r="AI288" s="32">
        <v>14.2</v>
      </c>
      <c r="AJ288" s="16" t="s">
        <v>230</v>
      </c>
      <c r="AK288" s="15"/>
      <c r="AL288" s="15"/>
      <c r="AM288" s="15"/>
      <c r="AN288" s="9"/>
      <c r="AO288" s="9">
        <f t="shared" si="26"/>
        <v>5</v>
      </c>
      <c r="AP288" s="9" t="str">
        <f t="shared" si="27"/>
        <v/>
      </c>
      <c r="AQ288" s="9">
        <f t="shared" si="28"/>
        <v>14.8</v>
      </c>
      <c r="AR288" s="9" t="str">
        <f t="shared" si="29"/>
        <v/>
      </c>
      <c r="AS288" s="16" t="s">
        <v>302</v>
      </c>
      <c r="AT288" s="15"/>
      <c r="AU288" s="15"/>
    </row>
    <row r="289" ht="15.75" customHeight="1">
      <c r="A289" s="15">
        <f t="shared" si="1"/>
        <v>79</v>
      </c>
      <c r="B289" s="15" t="str">
        <f t="shared" si="25"/>
        <v>Tier 3</v>
      </c>
      <c r="C289" s="15"/>
      <c r="D289" s="16" t="s">
        <v>141</v>
      </c>
      <c r="E289" s="15"/>
      <c r="F289" s="79" t="s">
        <v>2398</v>
      </c>
      <c r="G289" s="11" t="s">
        <v>2399</v>
      </c>
      <c r="H289" s="46" t="s">
        <v>1773</v>
      </c>
      <c r="I289" s="13" t="s">
        <v>268</v>
      </c>
      <c r="J289" s="17" t="s">
        <v>439</v>
      </c>
      <c r="K289" s="18">
        <v>53.0</v>
      </c>
      <c r="L289" s="18">
        <v>84.0</v>
      </c>
      <c r="M289" s="18">
        <v>34.6</v>
      </c>
      <c r="N289" s="78"/>
      <c r="O289" s="20">
        <v>23.0</v>
      </c>
      <c r="P289" s="21">
        <v>0.0</v>
      </c>
      <c r="Q289" s="5">
        <v>0.0</v>
      </c>
      <c r="R289" s="22">
        <v>36413.0</v>
      </c>
      <c r="S289" s="5">
        <v>39.22138108</v>
      </c>
      <c r="T289" s="5">
        <v>-81.6449971</v>
      </c>
      <c r="U289" s="1">
        <v>2.0</v>
      </c>
      <c r="V289" s="5" t="s">
        <v>180</v>
      </c>
      <c r="W289" s="5">
        <v>0.0</v>
      </c>
      <c r="X289" s="5">
        <v>0.0</v>
      </c>
      <c r="Y289" s="5" t="s">
        <v>116</v>
      </c>
      <c r="Z289" s="24">
        <v>0.0</v>
      </c>
      <c r="AA289" s="25">
        <v>3.0</v>
      </c>
      <c r="AB289" s="25">
        <v>5.0</v>
      </c>
      <c r="AC289" s="16" t="s">
        <v>2400</v>
      </c>
      <c r="AD289" s="26">
        <v>5.22</v>
      </c>
      <c r="AE289" s="26">
        <v>1.3</v>
      </c>
      <c r="AF289" s="26">
        <f t="shared" si="3"/>
        <v>3.92</v>
      </c>
      <c r="AG289" s="16" t="str">
        <f t="shared" si="4"/>
        <v>No</v>
      </c>
      <c r="AH289" s="15" t="str">
        <f t="shared" si="5"/>
        <v>No</v>
      </c>
      <c r="AI289" s="32">
        <v>5.1</v>
      </c>
      <c r="AJ289" s="16" t="s">
        <v>230</v>
      </c>
      <c r="AK289" s="15"/>
      <c r="AL289" s="15"/>
      <c r="AM289" s="15"/>
      <c r="AN289" s="9"/>
      <c r="AO289" s="9">
        <f t="shared" si="26"/>
        <v>10.2</v>
      </c>
      <c r="AP289" s="9">
        <f t="shared" si="27"/>
        <v>33.2</v>
      </c>
      <c r="AQ289" s="9">
        <f t="shared" si="28"/>
        <v>11.8</v>
      </c>
      <c r="AR289" s="9">
        <f t="shared" si="29"/>
        <v>20.8</v>
      </c>
      <c r="AS289" s="16" t="s">
        <v>556</v>
      </c>
      <c r="AT289" s="15"/>
      <c r="AU289" s="15"/>
    </row>
    <row r="290" ht="15.75" customHeight="1">
      <c r="A290" s="15" t="str">
        <f t="shared" si="1"/>
        <v/>
      </c>
      <c r="B290" s="15" t="str">
        <f t="shared" si="25"/>
        <v/>
      </c>
      <c r="C290" s="15"/>
      <c r="D290" s="16" t="s">
        <v>141</v>
      </c>
      <c r="E290" s="15"/>
      <c r="F290" s="79" t="s">
        <v>2401</v>
      </c>
      <c r="G290" s="11" t="s">
        <v>2402</v>
      </c>
      <c r="H290" s="46" t="s">
        <v>1784</v>
      </c>
      <c r="I290" s="13" t="s">
        <v>256</v>
      </c>
      <c r="J290" s="17" t="s">
        <v>715</v>
      </c>
      <c r="K290" s="18">
        <v>124.0</v>
      </c>
      <c r="L290" s="18">
        <v>193.0</v>
      </c>
      <c r="M290" s="18">
        <v>91.9</v>
      </c>
      <c r="N290" s="78"/>
      <c r="O290" s="20">
        <v>32.0</v>
      </c>
      <c r="P290" s="21">
        <v>0.0</v>
      </c>
      <c r="Q290" s="5">
        <v>0.0</v>
      </c>
      <c r="R290" s="22">
        <v>65568.0</v>
      </c>
      <c r="S290" s="5">
        <v>38.25559538</v>
      </c>
      <c r="T290" s="5">
        <v>-82.42903058</v>
      </c>
      <c r="U290" s="1">
        <v>2.0</v>
      </c>
      <c r="V290" s="5" t="s">
        <v>180</v>
      </c>
      <c r="W290" s="5">
        <v>0.0</v>
      </c>
      <c r="X290" s="5">
        <v>0.0</v>
      </c>
      <c r="Y290" s="5" t="s">
        <v>116</v>
      </c>
      <c r="Z290" s="24">
        <v>0.0</v>
      </c>
      <c r="AA290" s="25">
        <v>4.0</v>
      </c>
      <c r="AB290" s="25">
        <v>6.0</v>
      </c>
      <c r="AC290" s="15"/>
      <c r="AD290" s="38"/>
      <c r="AE290" s="26">
        <v>2.4</v>
      </c>
      <c r="AF290" s="26" t="str">
        <f t="shared" si="3"/>
        <v/>
      </c>
      <c r="AG290" s="16" t="str">
        <f t="shared" si="4"/>
        <v>Verify</v>
      </c>
      <c r="AH290" s="15" t="str">
        <f t="shared" si="5"/>
        <v>No</v>
      </c>
      <c r="AI290" s="32">
        <v>0.1</v>
      </c>
      <c r="AJ290" s="16" t="s">
        <v>230</v>
      </c>
      <c r="AK290" s="15"/>
      <c r="AL290" s="15"/>
      <c r="AM290" s="15"/>
      <c r="AN290" s="9"/>
      <c r="AO290" s="9">
        <f t="shared" si="26"/>
        <v>23.9</v>
      </c>
      <c r="AP290" s="9" t="str">
        <f t="shared" si="27"/>
        <v/>
      </c>
      <c r="AQ290" s="9">
        <f t="shared" si="28"/>
        <v>8</v>
      </c>
      <c r="AR290" s="9" t="str">
        <f t="shared" si="29"/>
        <v/>
      </c>
      <c r="AS290" s="16" t="s">
        <v>302</v>
      </c>
      <c r="AT290" s="15"/>
      <c r="AU290" s="15"/>
    </row>
    <row r="291" ht="15.75" customHeight="1">
      <c r="A291" s="15">
        <f t="shared" si="1"/>
        <v>46</v>
      </c>
      <c r="B291" s="15" t="str">
        <f t="shared" si="25"/>
        <v>Tier 2</v>
      </c>
      <c r="C291" s="15"/>
      <c r="D291" s="16" t="s">
        <v>141</v>
      </c>
      <c r="E291" s="15"/>
      <c r="F291" s="79" t="s">
        <v>2403</v>
      </c>
      <c r="G291" s="11" t="s">
        <v>2404</v>
      </c>
      <c r="H291" s="46" t="s">
        <v>1793</v>
      </c>
      <c r="I291" s="13" t="s">
        <v>256</v>
      </c>
      <c r="J291" s="17" t="s">
        <v>715</v>
      </c>
      <c r="K291" s="18">
        <v>124.0</v>
      </c>
      <c r="L291" s="18">
        <v>193.0</v>
      </c>
      <c r="M291" s="18">
        <v>91.9</v>
      </c>
      <c r="N291" s="78"/>
      <c r="O291" s="20">
        <v>32.0</v>
      </c>
      <c r="P291" s="21">
        <v>0.0</v>
      </c>
      <c r="Q291" s="5">
        <v>0.0</v>
      </c>
      <c r="R291" s="22">
        <v>65568.0</v>
      </c>
      <c r="S291" s="5">
        <v>38.2262137</v>
      </c>
      <c r="T291" s="5">
        <v>-82.44441153</v>
      </c>
      <c r="U291" s="1">
        <v>2.0</v>
      </c>
      <c r="V291" s="5" t="s">
        <v>180</v>
      </c>
      <c r="W291" s="5">
        <v>0.0</v>
      </c>
      <c r="X291" s="5">
        <v>0.0</v>
      </c>
      <c r="Y291" s="5" t="s">
        <v>116</v>
      </c>
      <c r="Z291" s="24">
        <v>0.0</v>
      </c>
      <c r="AA291" s="25">
        <v>1.0</v>
      </c>
      <c r="AB291" s="25">
        <v>2.0</v>
      </c>
      <c r="AC291" s="16" t="s">
        <v>2405</v>
      </c>
      <c r="AD291" s="26">
        <v>5.31</v>
      </c>
      <c r="AE291" s="26">
        <v>2.3</v>
      </c>
      <c r="AF291" s="26">
        <f t="shared" si="3"/>
        <v>3.01</v>
      </c>
      <c r="AG291" s="16" t="str">
        <f t="shared" si="4"/>
        <v>No</v>
      </c>
      <c r="AH291" s="15" t="str">
        <f t="shared" si="5"/>
        <v>No</v>
      </c>
      <c r="AI291" s="32">
        <v>2.3</v>
      </c>
      <c r="AJ291" s="16" t="s">
        <v>302</v>
      </c>
      <c r="AK291" s="15"/>
      <c r="AL291" s="15"/>
      <c r="AM291" s="15"/>
      <c r="AN291" s="9"/>
      <c r="AO291" s="9">
        <f t="shared" si="26"/>
        <v>23.9</v>
      </c>
      <c r="AP291" s="9">
        <f t="shared" si="27"/>
        <v>47.9</v>
      </c>
      <c r="AQ291" s="9">
        <f t="shared" si="28"/>
        <v>8</v>
      </c>
      <c r="AR291" s="9">
        <f t="shared" si="29"/>
        <v>31</v>
      </c>
      <c r="AS291" s="16" t="s">
        <v>302</v>
      </c>
      <c r="AT291" s="15"/>
      <c r="AU291" s="15"/>
    </row>
    <row r="292" ht="15.75" customHeight="1">
      <c r="A292" s="15" t="str">
        <f t="shared" si="1"/>
        <v/>
      </c>
      <c r="B292" s="15" t="str">
        <f t="shared" si="25"/>
        <v/>
      </c>
      <c r="C292" s="15"/>
      <c r="D292" s="16" t="s">
        <v>141</v>
      </c>
      <c r="E292" s="15"/>
      <c r="F292" s="79" t="s">
        <v>2406</v>
      </c>
      <c r="G292" s="11" t="s">
        <v>2407</v>
      </c>
      <c r="H292" s="46" t="s">
        <v>1803</v>
      </c>
      <c r="I292" s="13" t="s">
        <v>1034</v>
      </c>
      <c r="J292" s="17" t="s">
        <v>331</v>
      </c>
      <c r="K292" s="18">
        <v>39.0</v>
      </c>
      <c r="L292" s="18">
        <v>59.0</v>
      </c>
      <c r="M292" s="18">
        <v>101.5</v>
      </c>
      <c r="N292" s="78"/>
      <c r="O292" s="20">
        <v>0.0</v>
      </c>
      <c r="P292" s="21">
        <v>0.0</v>
      </c>
      <c r="Q292" s="5">
        <v>0.0</v>
      </c>
      <c r="R292" s="35"/>
      <c r="S292" s="5">
        <v>38.47547781</v>
      </c>
      <c r="T292" s="5">
        <v>-80.40996027</v>
      </c>
      <c r="U292" s="1">
        <v>10.0</v>
      </c>
      <c r="V292" s="5" t="s">
        <v>342</v>
      </c>
      <c r="W292" s="5">
        <v>3.0</v>
      </c>
      <c r="X292" s="5">
        <v>4.0</v>
      </c>
      <c r="Y292" s="5" t="s">
        <v>1190</v>
      </c>
      <c r="Z292" s="24">
        <v>4.0</v>
      </c>
      <c r="AA292" s="25">
        <v>2.0</v>
      </c>
      <c r="AB292" s="25">
        <v>4.0</v>
      </c>
      <c r="AC292" s="16" t="s">
        <v>2408</v>
      </c>
      <c r="AD292" s="26">
        <v>0.43</v>
      </c>
      <c r="AE292" s="26">
        <v>4.4</v>
      </c>
      <c r="AF292" s="26">
        <f t="shared" si="3"/>
        <v>0</v>
      </c>
      <c r="AG292" s="16" t="str">
        <f t="shared" si="4"/>
        <v>No</v>
      </c>
      <c r="AH292" s="15" t="str">
        <f t="shared" si="5"/>
        <v>No</v>
      </c>
      <c r="AI292" s="32">
        <v>0.3</v>
      </c>
      <c r="AJ292" s="16" t="s">
        <v>230</v>
      </c>
      <c r="AK292" s="15"/>
      <c r="AL292" s="15"/>
      <c r="AM292" s="15"/>
      <c r="AN292" s="9"/>
      <c r="AO292" s="9">
        <f t="shared" si="26"/>
        <v>7.5</v>
      </c>
      <c r="AP292" s="9">
        <f t="shared" si="27"/>
        <v>25.3</v>
      </c>
      <c r="AQ292" s="9" t="str">
        <f t="shared" si="28"/>
        <v/>
      </c>
      <c r="AR292" s="9" t="str">
        <f t="shared" si="29"/>
        <v/>
      </c>
      <c r="AS292" s="16" t="s">
        <v>302</v>
      </c>
      <c r="AT292" s="15"/>
      <c r="AU292" s="15"/>
    </row>
    <row r="293" ht="15.75" customHeight="1">
      <c r="A293" s="15" t="str">
        <f t="shared" si="1"/>
        <v/>
      </c>
      <c r="B293" s="15" t="str">
        <f t="shared" si="25"/>
        <v/>
      </c>
      <c r="C293" s="15"/>
      <c r="D293" s="16" t="s">
        <v>141</v>
      </c>
      <c r="E293" s="15"/>
      <c r="F293" s="79" t="s">
        <v>2409</v>
      </c>
      <c r="G293" s="11" t="s">
        <v>2410</v>
      </c>
      <c r="H293" s="46" t="s">
        <v>1805</v>
      </c>
      <c r="I293" s="13" t="s">
        <v>921</v>
      </c>
      <c r="J293" s="17" t="s">
        <v>1133</v>
      </c>
      <c r="K293" s="18">
        <v>214.0</v>
      </c>
      <c r="L293" s="18">
        <v>316.0</v>
      </c>
      <c r="M293" s="18">
        <v>458.8</v>
      </c>
      <c r="N293" s="78"/>
      <c r="O293" s="20">
        <v>161.0</v>
      </c>
      <c r="P293" s="21">
        <v>0.0</v>
      </c>
      <c r="Q293" s="5">
        <v>10.6</v>
      </c>
      <c r="R293" s="22">
        <v>30444.0</v>
      </c>
      <c r="S293" s="5">
        <v>40.40059828</v>
      </c>
      <c r="T293" s="5">
        <v>-80.54995669</v>
      </c>
      <c r="U293" s="1">
        <v>1.0</v>
      </c>
      <c r="V293" s="5" t="s">
        <v>180</v>
      </c>
      <c r="W293" s="5">
        <v>0.0</v>
      </c>
      <c r="X293" s="5">
        <v>0.0</v>
      </c>
      <c r="Y293" s="5" t="s">
        <v>116</v>
      </c>
      <c r="Z293" s="24">
        <v>0.0</v>
      </c>
      <c r="AA293" s="37"/>
      <c r="AB293" s="37"/>
      <c r="AC293" s="16" t="s">
        <v>2411</v>
      </c>
      <c r="AD293" s="26">
        <v>0.28</v>
      </c>
      <c r="AE293" s="26">
        <v>1.5</v>
      </c>
      <c r="AF293" s="26">
        <f t="shared" si="3"/>
        <v>0</v>
      </c>
      <c r="AG293" s="16" t="str">
        <f t="shared" si="4"/>
        <v>No</v>
      </c>
      <c r="AH293" s="15" t="str">
        <f t="shared" si="5"/>
        <v>Verify</v>
      </c>
      <c r="AI293" s="32">
        <v>0.1</v>
      </c>
      <c r="AJ293" s="16" t="s">
        <v>230</v>
      </c>
      <c r="AK293" s="15"/>
      <c r="AL293" s="15"/>
      <c r="AM293" s="15"/>
      <c r="AN293" s="9"/>
      <c r="AO293" s="9">
        <f t="shared" si="26"/>
        <v>41.2</v>
      </c>
      <c r="AP293" s="9" t="str">
        <f t="shared" si="27"/>
        <v/>
      </c>
      <c r="AQ293" s="9">
        <f t="shared" si="28"/>
        <v>16.1</v>
      </c>
      <c r="AR293" s="9" t="str">
        <f t="shared" si="29"/>
        <v/>
      </c>
      <c r="AS293" s="16" t="s">
        <v>302</v>
      </c>
      <c r="AT293" s="15"/>
      <c r="AU293" s="15"/>
    </row>
    <row r="294" ht="15.75" customHeight="1">
      <c r="A294" s="15">
        <f t="shared" si="1"/>
        <v>50</v>
      </c>
      <c r="B294" s="15" t="str">
        <f t="shared" si="25"/>
        <v>Tier 2</v>
      </c>
      <c r="C294" s="15"/>
      <c r="D294" s="16" t="s">
        <v>141</v>
      </c>
      <c r="E294" s="15"/>
      <c r="F294" s="79" t="s">
        <v>2412</v>
      </c>
      <c r="G294" s="11" t="s">
        <v>2413</v>
      </c>
      <c r="H294" s="46">
        <v>26062.0</v>
      </c>
      <c r="I294" s="13" t="s">
        <v>921</v>
      </c>
      <c r="J294" s="17" t="s">
        <v>1133</v>
      </c>
      <c r="K294" s="18">
        <v>214.0</v>
      </c>
      <c r="L294" s="18">
        <v>316.0</v>
      </c>
      <c r="M294" s="18">
        <v>458.8</v>
      </c>
      <c r="N294" s="78"/>
      <c r="O294" s="20">
        <v>161.0</v>
      </c>
      <c r="P294" s="21">
        <v>8.0</v>
      </c>
      <c r="Q294" s="5">
        <v>10.6</v>
      </c>
      <c r="R294" s="22">
        <v>30444.0</v>
      </c>
      <c r="S294" s="5">
        <v>40.41765857</v>
      </c>
      <c r="T294" s="5">
        <v>-80.55609128</v>
      </c>
      <c r="U294" s="1">
        <v>1.0</v>
      </c>
      <c r="V294" s="5" t="s">
        <v>180</v>
      </c>
      <c r="W294" s="5">
        <v>0.0</v>
      </c>
      <c r="X294" s="5">
        <v>0.0</v>
      </c>
      <c r="Y294" s="5" t="s">
        <v>116</v>
      </c>
      <c r="Z294" s="24">
        <v>0.0</v>
      </c>
      <c r="AA294" s="25">
        <v>2.0</v>
      </c>
      <c r="AB294" s="25">
        <v>4.0</v>
      </c>
      <c r="AC294" s="16" t="s">
        <v>2414</v>
      </c>
      <c r="AD294" s="26">
        <v>0.75</v>
      </c>
      <c r="AE294" s="26">
        <v>0.3</v>
      </c>
      <c r="AF294" s="26">
        <f t="shared" si="3"/>
        <v>0.45</v>
      </c>
      <c r="AG294" s="16" t="str">
        <f t="shared" si="4"/>
        <v>No</v>
      </c>
      <c r="AH294" s="15" t="str">
        <f t="shared" si="5"/>
        <v>No</v>
      </c>
      <c r="AI294" s="32">
        <v>0.8</v>
      </c>
      <c r="AJ294" s="16" t="s">
        <v>230</v>
      </c>
      <c r="AK294" s="15"/>
      <c r="AL294" s="15"/>
      <c r="AM294" s="15"/>
      <c r="AN294" s="9"/>
      <c r="AO294" s="9">
        <f t="shared" si="26"/>
        <v>41.2</v>
      </c>
      <c r="AP294" s="9">
        <f t="shared" si="27"/>
        <v>26.3</v>
      </c>
      <c r="AQ294" s="9">
        <f t="shared" si="28"/>
        <v>16.3</v>
      </c>
      <c r="AR294" s="9">
        <f t="shared" si="29"/>
        <v>29</v>
      </c>
      <c r="AS294" s="16" t="s">
        <v>302</v>
      </c>
      <c r="AT294" s="15"/>
      <c r="AU294" s="15"/>
    </row>
    <row r="295" ht="15.75" customHeight="1">
      <c r="A295" s="15" t="str">
        <f t="shared" si="1"/>
        <v/>
      </c>
      <c r="B295" s="15" t="str">
        <f t="shared" si="25"/>
        <v/>
      </c>
      <c r="C295" s="15"/>
      <c r="D295" s="16" t="s">
        <v>141</v>
      </c>
      <c r="E295" s="15"/>
      <c r="F295" s="79" t="s">
        <v>2415</v>
      </c>
      <c r="G295" s="11" t="s">
        <v>2416</v>
      </c>
      <c r="H295" s="46" t="s">
        <v>1810</v>
      </c>
      <c r="I295" s="13" t="s">
        <v>921</v>
      </c>
      <c r="J295" s="17" t="s">
        <v>1133</v>
      </c>
      <c r="K295" s="18">
        <v>214.0</v>
      </c>
      <c r="L295" s="18">
        <v>316.0</v>
      </c>
      <c r="M295" s="18">
        <v>458.8</v>
      </c>
      <c r="N295" s="78"/>
      <c r="O295" s="20">
        <v>161.0</v>
      </c>
      <c r="P295" s="21">
        <v>8.0</v>
      </c>
      <c r="Q295" s="5">
        <v>10.6</v>
      </c>
      <c r="R295" s="22">
        <v>30444.0</v>
      </c>
      <c r="S295" s="5">
        <v>40.42019724</v>
      </c>
      <c r="T295" s="5">
        <v>-80.57244608</v>
      </c>
      <c r="U295" s="1">
        <v>1.0</v>
      </c>
      <c r="V295" s="5" t="s">
        <v>180</v>
      </c>
      <c r="W295" s="5">
        <v>0.0</v>
      </c>
      <c r="X295" s="5">
        <v>0.0</v>
      </c>
      <c r="Y295" s="5" t="s">
        <v>116</v>
      </c>
      <c r="Z295" s="24">
        <v>0.0</v>
      </c>
      <c r="AA295" s="37"/>
      <c r="AB295" s="37"/>
      <c r="AC295" s="16" t="s">
        <v>2414</v>
      </c>
      <c r="AD295" s="26">
        <v>1.55</v>
      </c>
      <c r="AE295" s="26">
        <v>0.8</v>
      </c>
      <c r="AF295" s="26">
        <f t="shared" si="3"/>
        <v>0.75</v>
      </c>
      <c r="AG295" s="16" t="str">
        <f t="shared" si="4"/>
        <v>No</v>
      </c>
      <c r="AH295" s="15" t="str">
        <f t="shared" si="5"/>
        <v>Verify</v>
      </c>
      <c r="AI295" s="32">
        <v>1.6</v>
      </c>
      <c r="AJ295" s="16" t="s">
        <v>230</v>
      </c>
      <c r="AK295" s="15"/>
      <c r="AL295" s="15"/>
      <c r="AM295" s="15"/>
      <c r="AN295" s="9"/>
      <c r="AO295" s="9">
        <f t="shared" si="26"/>
        <v>41.2</v>
      </c>
      <c r="AP295" s="9" t="str">
        <f t="shared" si="27"/>
        <v/>
      </c>
      <c r="AQ295" s="9">
        <f t="shared" si="28"/>
        <v>16.3</v>
      </c>
      <c r="AR295" s="9" t="str">
        <f t="shared" si="29"/>
        <v/>
      </c>
      <c r="AS295" s="16" t="s">
        <v>302</v>
      </c>
      <c r="AT295" s="15"/>
      <c r="AU295" s="15"/>
    </row>
    <row r="296" ht="15.75" customHeight="1">
      <c r="A296" s="15">
        <f t="shared" si="1"/>
        <v>34</v>
      </c>
      <c r="B296" s="15" t="str">
        <f t="shared" si="25"/>
        <v>Tier 2</v>
      </c>
      <c r="C296" s="15"/>
      <c r="D296" s="16" t="s">
        <v>141</v>
      </c>
      <c r="E296" s="15"/>
      <c r="F296" s="79" t="s">
        <v>2417</v>
      </c>
      <c r="G296" s="11" t="s">
        <v>2418</v>
      </c>
      <c r="H296" s="46" t="s">
        <v>1812</v>
      </c>
      <c r="I296" s="13" t="s">
        <v>921</v>
      </c>
      <c r="J296" s="17" t="s">
        <v>1133</v>
      </c>
      <c r="K296" s="18">
        <v>214.0</v>
      </c>
      <c r="L296" s="18">
        <v>316.0</v>
      </c>
      <c r="M296" s="18">
        <v>458.8</v>
      </c>
      <c r="N296" s="78"/>
      <c r="O296" s="20">
        <v>161.0</v>
      </c>
      <c r="P296" s="21">
        <v>18.0</v>
      </c>
      <c r="Q296" s="5">
        <v>10.6</v>
      </c>
      <c r="R296" s="22">
        <v>30444.0</v>
      </c>
      <c r="S296" s="5">
        <v>40.39880524</v>
      </c>
      <c r="T296" s="5">
        <v>-80.5910427</v>
      </c>
      <c r="U296" s="1">
        <v>1.0</v>
      </c>
      <c r="V296" s="5" t="s">
        <v>180</v>
      </c>
      <c r="W296" s="5">
        <v>0.0</v>
      </c>
      <c r="X296" s="5">
        <v>0.0</v>
      </c>
      <c r="Y296" s="5" t="s">
        <v>116</v>
      </c>
      <c r="Z296" s="24">
        <v>0.0</v>
      </c>
      <c r="AA296" s="25">
        <v>1.0</v>
      </c>
      <c r="AB296" s="25">
        <v>2.0</v>
      </c>
      <c r="AC296" s="16" t="s">
        <v>2411</v>
      </c>
      <c r="AD296" s="26">
        <v>1.97</v>
      </c>
      <c r="AE296" s="26">
        <v>2.3</v>
      </c>
      <c r="AF296" s="26">
        <f t="shared" si="3"/>
        <v>0</v>
      </c>
      <c r="AG296" s="16" t="str">
        <f t="shared" si="4"/>
        <v>No</v>
      </c>
      <c r="AH296" s="15" t="str">
        <f t="shared" si="5"/>
        <v>No</v>
      </c>
      <c r="AI296" s="32">
        <v>2.0</v>
      </c>
      <c r="AJ296" s="16" t="s">
        <v>230</v>
      </c>
      <c r="AK296" s="15"/>
      <c r="AL296" s="15"/>
      <c r="AM296" s="15"/>
      <c r="AN296" s="9"/>
      <c r="AO296" s="9">
        <f t="shared" si="26"/>
        <v>41.2</v>
      </c>
      <c r="AP296" s="9">
        <f t="shared" si="27"/>
        <v>37.9</v>
      </c>
      <c r="AQ296" s="9">
        <f t="shared" si="28"/>
        <v>16.7</v>
      </c>
      <c r="AR296" s="9">
        <f t="shared" si="29"/>
        <v>34.3</v>
      </c>
      <c r="AS296" s="16" t="s">
        <v>302</v>
      </c>
      <c r="AT296" s="15"/>
      <c r="AU296" s="15"/>
    </row>
    <row r="297" ht="15.75" customHeight="1">
      <c r="A297" s="15" t="str">
        <f t="shared" si="1"/>
        <v/>
      </c>
      <c r="B297" s="15" t="str">
        <f t="shared" si="25"/>
        <v/>
      </c>
      <c r="C297" s="15"/>
      <c r="D297" s="16" t="s">
        <v>141</v>
      </c>
      <c r="E297" s="15"/>
      <c r="F297" s="79" t="s">
        <v>2419</v>
      </c>
      <c r="G297" s="11" t="s">
        <v>2420</v>
      </c>
      <c r="H297" s="46" t="s">
        <v>1814</v>
      </c>
      <c r="I297" s="13" t="s">
        <v>726</v>
      </c>
      <c r="J297" s="17" t="s">
        <v>392</v>
      </c>
      <c r="K297" s="18">
        <v>68.0</v>
      </c>
      <c r="L297" s="18">
        <v>106.0</v>
      </c>
      <c r="M297" s="18">
        <v>104.1</v>
      </c>
      <c r="N297" s="78"/>
      <c r="O297" s="20">
        <v>0.0</v>
      </c>
      <c r="P297" s="21">
        <v>0.0</v>
      </c>
      <c r="Q297" s="5">
        <v>0.0</v>
      </c>
      <c r="R297" s="22">
        <v>17083.0</v>
      </c>
      <c r="S297" s="5">
        <v>37.43136236</v>
      </c>
      <c r="T297" s="5">
        <v>-81.57153296</v>
      </c>
      <c r="U297" s="1">
        <v>10.0</v>
      </c>
      <c r="V297" s="5" t="s">
        <v>342</v>
      </c>
      <c r="W297" s="5">
        <v>3.0</v>
      </c>
      <c r="X297" s="5">
        <v>0.0</v>
      </c>
      <c r="Y297" s="5" t="s">
        <v>116</v>
      </c>
      <c r="Z297" s="24">
        <v>0.0</v>
      </c>
      <c r="AA297" s="37"/>
      <c r="AB297" s="37"/>
      <c r="AC297" s="16" t="s">
        <v>2059</v>
      </c>
      <c r="AD297" s="26">
        <v>0.05</v>
      </c>
      <c r="AE297" s="26">
        <v>2.8</v>
      </c>
      <c r="AF297" s="26">
        <f t="shared" si="3"/>
        <v>0</v>
      </c>
      <c r="AG297" s="16" t="str">
        <f t="shared" si="4"/>
        <v>No</v>
      </c>
      <c r="AH297" s="15" t="str">
        <f t="shared" si="5"/>
        <v>Verify</v>
      </c>
      <c r="AI297" s="32">
        <v>0.1</v>
      </c>
      <c r="AJ297" s="16" t="s">
        <v>230</v>
      </c>
      <c r="AK297" s="15"/>
      <c r="AL297" s="15"/>
      <c r="AM297" s="15"/>
      <c r="AN297" s="9"/>
      <c r="AO297" s="9">
        <f t="shared" si="26"/>
        <v>13.1</v>
      </c>
      <c r="AP297" s="9" t="str">
        <f t="shared" si="27"/>
        <v/>
      </c>
      <c r="AQ297" s="9">
        <f t="shared" si="28"/>
        <v>14.1</v>
      </c>
      <c r="AR297" s="9" t="str">
        <f t="shared" si="29"/>
        <v/>
      </c>
      <c r="AS297" s="16" t="s">
        <v>302</v>
      </c>
      <c r="AT297" s="15"/>
      <c r="AU297" s="15"/>
    </row>
    <row r="298" ht="15.75" customHeight="1">
      <c r="A298" s="15" t="str">
        <f t="shared" si="1"/>
        <v/>
      </c>
      <c r="B298" s="15" t="str">
        <f t="shared" si="25"/>
        <v/>
      </c>
      <c r="C298" s="15"/>
      <c r="D298" s="16" t="s">
        <v>141</v>
      </c>
      <c r="E298" s="15"/>
      <c r="F298" s="79" t="s">
        <v>2421</v>
      </c>
      <c r="G298" s="11" t="s">
        <v>2422</v>
      </c>
      <c r="H298" s="46" t="s">
        <v>1816</v>
      </c>
      <c r="I298" s="13" t="s">
        <v>293</v>
      </c>
      <c r="J298" s="17" t="s">
        <v>1133</v>
      </c>
      <c r="K298" s="18">
        <v>80.0</v>
      </c>
      <c r="L298" s="18">
        <v>114.0</v>
      </c>
      <c r="M298" s="18">
        <v>84.3</v>
      </c>
      <c r="N298" s="78"/>
      <c r="O298" s="20">
        <v>143.0</v>
      </c>
      <c r="P298" s="80"/>
      <c r="Q298" s="5">
        <v>0.0</v>
      </c>
      <c r="R298" s="22">
        <v>29912.0</v>
      </c>
      <c r="S298" s="5">
        <v>40.28007063</v>
      </c>
      <c r="T298" s="5">
        <v>-80.55953047</v>
      </c>
      <c r="U298" s="1">
        <v>1.0</v>
      </c>
      <c r="V298" s="5" t="s">
        <v>180</v>
      </c>
      <c r="W298" s="5">
        <v>0.0</v>
      </c>
      <c r="X298" s="5">
        <v>0.0</v>
      </c>
      <c r="Y298" s="5" t="s">
        <v>116</v>
      </c>
      <c r="Z298" s="24">
        <v>0.0</v>
      </c>
      <c r="AA298" s="25">
        <v>0.0</v>
      </c>
      <c r="AB298" s="25">
        <v>0.0</v>
      </c>
      <c r="AC298" s="16" t="s">
        <v>2423</v>
      </c>
      <c r="AD298" s="26">
        <v>2.65</v>
      </c>
      <c r="AE298" s="26">
        <v>1.8</v>
      </c>
      <c r="AF298" s="26">
        <f t="shared" si="3"/>
        <v>0.85</v>
      </c>
      <c r="AG298" s="16" t="str">
        <f t="shared" si="4"/>
        <v>No</v>
      </c>
      <c r="AH298" s="15" t="str">
        <f t="shared" si="5"/>
        <v>Yes</v>
      </c>
      <c r="AI298" s="32">
        <v>2.7</v>
      </c>
      <c r="AJ298" s="16" t="s">
        <v>230</v>
      </c>
      <c r="AK298" s="15"/>
      <c r="AL298" s="15"/>
      <c r="AM298" s="15"/>
      <c r="AN298" s="9"/>
      <c r="AO298" s="9">
        <f t="shared" si="26"/>
        <v>15.4</v>
      </c>
      <c r="AP298" s="9">
        <f t="shared" si="27"/>
        <v>48</v>
      </c>
      <c r="AQ298" s="9" t="str">
        <f t="shared" si="28"/>
        <v/>
      </c>
      <c r="AR298" s="9" t="str">
        <f t="shared" si="29"/>
        <v/>
      </c>
      <c r="AS298" s="16" t="s">
        <v>302</v>
      </c>
      <c r="AT298" s="15"/>
      <c r="AU298" s="15"/>
    </row>
    <row r="299" ht="15.75" customHeight="1">
      <c r="A299" s="15" t="str">
        <f t="shared" si="1"/>
        <v/>
      </c>
      <c r="B299" s="15" t="str">
        <f t="shared" si="25"/>
        <v/>
      </c>
      <c r="C299" s="15"/>
      <c r="D299" s="16" t="s">
        <v>420</v>
      </c>
      <c r="E299" s="16" t="s">
        <v>230</v>
      </c>
      <c r="F299" s="79" t="s">
        <v>2424</v>
      </c>
      <c r="G299" s="11" t="s">
        <v>2425</v>
      </c>
      <c r="H299" s="46" t="s">
        <v>1820</v>
      </c>
      <c r="I299" s="13" t="s">
        <v>293</v>
      </c>
      <c r="J299" s="17" t="s">
        <v>1133</v>
      </c>
      <c r="K299" s="18">
        <v>80.0</v>
      </c>
      <c r="L299" s="18">
        <v>114.0</v>
      </c>
      <c r="M299" s="18">
        <v>84.3</v>
      </c>
      <c r="N299" s="78"/>
      <c r="O299" s="20">
        <v>143.0</v>
      </c>
      <c r="P299" s="80"/>
      <c r="Q299" s="5">
        <v>0.0</v>
      </c>
      <c r="R299" s="22">
        <v>29912.0</v>
      </c>
      <c r="S299" s="5">
        <v>40.30616936</v>
      </c>
      <c r="T299" s="5">
        <v>-80.59847238</v>
      </c>
      <c r="U299" s="1">
        <v>1.0</v>
      </c>
      <c r="V299" s="5" t="s">
        <v>180</v>
      </c>
      <c r="W299" s="5">
        <v>0.0</v>
      </c>
      <c r="X299" s="5">
        <v>0.0</v>
      </c>
      <c r="Y299" s="5" t="s">
        <v>116</v>
      </c>
      <c r="Z299" s="24">
        <v>0.0</v>
      </c>
      <c r="AA299" s="25">
        <v>4.0</v>
      </c>
      <c r="AB299" s="25">
        <v>6.0</v>
      </c>
      <c r="AC299" s="15"/>
      <c r="AD299" s="38"/>
      <c r="AE299" s="26">
        <v>3.3</v>
      </c>
      <c r="AF299" s="26" t="str">
        <f t="shared" si="3"/>
        <v/>
      </c>
      <c r="AG299" s="16" t="str">
        <f t="shared" si="4"/>
        <v>Verify</v>
      </c>
      <c r="AH299" s="15" t="str">
        <f t="shared" si="5"/>
        <v>No</v>
      </c>
      <c r="AI299" s="32">
        <v>1.1</v>
      </c>
      <c r="AJ299" s="16" t="s">
        <v>230</v>
      </c>
      <c r="AK299" s="15"/>
      <c r="AL299" s="15"/>
      <c r="AM299" s="15"/>
      <c r="AN299" s="9"/>
      <c r="AO299" s="9">
        <f t="shared" si="26"/>
        <v>15.4</v>
      </c>
      <c r="AP299" s="9" t="str">
        <f t="shared" si="27"/>
        <v/>
      </c>
      <c r="AQ299" s="9" t="str">
        <f t="shared" si="28"/>
        <v/>
      </c>
      <c r="AR299" s="9" t="str">
        <f t="shared" si="29"/>
        <v/>
      </c>
      <c r="AS299" s="16" t="s">
        <v>302</v>
      </c>
      <c r="AT299" s="15"/>
      <c r="AU299" s="15"/>
    </row>
    <row r="300" ht="15.75" customHeight="1">
      <c r="A300" s="15" t="str">
        <f t="shared" si="1"/>
        <v/>
      </c>
      <c r="B300" s="15" t="str">
        <f t="shared" si="25"/>
        <v/>
      </c>
      <c r="C300" s="15"/>
      <c r="D300" s="16" t="s">
        <v>141</v>
      </c>
      <c r="E300" s="15"/>
      <c r="F300" s="79" t="s">
        <v>2426</v>
      </c>
      <c r="G300" s="11" t="s">
        <v>2427</v>
      </c>
      <c r="H300" s="46" t="s">
        <v>1822</v>
      </c>
      <c r="I300" s="13" t="s">
        <v>293</v>
      </c>
      <c r="J300" s="17" t="s">
        <v>1133</v>
      </c>
      <c r="K300" s="18">
        <v>80.0</v>
      </c>
      <c r="L300" s="18">
        <v>114.0</v>
      </c>
      <c r="M300" s="18">
        <v>84.3</v>
      </c>
      <c r="N300" s="78"/>
      <c r="O300" s="20">
        <v>143.0</v>
      </c>
      <c r="P300" s="80"/>
      <c r="Q300" s="5">
        <v>0.0</v>
      </c>
      <c r="R300" s="22">
        <v>29912.0</v>
      </c>
      <c r="S300" s="5">
        <v>40.2695849</v>
      </c>
      <c r="T300" s="5">
        <v>-80.61157792</v>
      </c>
      <c r="U300" s="1">
        <v>1.0</v>
      </c>
      <c r="V300" s="5" t="s">
        <v>180</v>
      </c>
      <c r="W300" s="5">
        <v>0.0</v>
      </c>
      <c r="X300" s="5">
        <v>0.0</v>
      </c>
      <c r="Y300" s="5" t="s">
        <v>116</v>
      </c>
      <c r="Z300" s="24">
        <v>0.0</v>
      </c>
      <c r="AA300" s="25">
        <v>5.0</v>
      </c>
      <c r="AB300" s="25">
        <v>7.0</v>
      </c>
      <c r="AC300" s="16" t="s">
        <v>2423</v>
      </c>
      <c r="AD300" s="26">
        <v>1.38</v>
      </c>
      <c r="AE300" s="26">
        <v>1.8</v>
      </c>
      <c r="AF300" s="26">
        <f t="shared" si="3"/>
        <v>0</v>
      </c>
      <c r="AG300" s="16" t="str">
        <f t="shared" si="4"/>
        <v>No</v>
      </c>
      <c r="AH300" s="15" t="str">
        <f t="shared" si="5"/>
        <v>No</v>
      </c>
      <c r="AI300" s="32">
        <v>1.4</v>
      </c>
      <c r="AJ300" s="16" t="s">
        <v>230</v>
      </c>
      <c r="AK300" s="15"/>
      <c r="AL300" s="15"/>
      <c r="AM300" s="15"/>
      <c r="AN300" s="9"/>
      <c r="AO300" s="9">
        <f t="shared" si="26"/>
        <v>15.4</v>
      </c>
      <c r="AP300" s="9">
        <f t="shared" si="27"/>
        <v>8.6</v>
      </c>
      <c r="AQ300" s="9" t="str">
        <f t="shared" si="28"/>
        <v/>
      </c>
      <c r="AR300" s="9" t="str">
        <f t="shared" si="29"/>
        <v/>
      </c>
      <c r="AS300" s="16" t="s">
        <v>302</v>
      </c>
      <c r="AT300" s="15"/>
      <c r="AU300" s="15"/>
    </row>
    <row r="301" ht="15.75" customHeight="1">
      <c r="A301" s="15" t="str">
        <f t="shared" si="1"/>
        <v/>
      </c>
      <c r="B301" s="15" t="str">
        <f t="shared" si="25"/>
        <v/>
      </c>
      <c r="C301" s="15"/>
      <c r="D301" s="16" t="s">
        <v>420</v>
      </c>
      <c r="E301" s="16" t="s">
        <v>230</v>
      </c>
      <c r="F301" s="79" t="s">
        <v>2428</v>
      </c>
      <c r="G301" s="11" t="s">
        <v>2429</v>
      </c>
      <c r="H301" s="46">
        <v>26451.0</v>
      </c>
      <c r="I301" s="13" t="s">
        <v>101</v>
      </c>
      <c r="J301" s="17" t="s">
        <v>169</v>
      </c>
      <c r="K301" s="18">
        <v>7.0</v>
      </c>
      <c r="L301" s="18">
        <v>8.0</v>
      </c>
      <c r="M301" s="18">
        <v>1.8</v>
      </c>
      <c r="N301" s="78"/>
      <c r="O301" s="20">
        <v>0.0</v>
      </c>
      <c r="P301" s="80"/>
      <c r="Q301" s="5">
        <v>0.0</v>
      </c>
      <c r="R301" s="35"/>
      <c r="S301" s="5">
        <v>39.20344509</v>
      </c>
      <c r="T301" s="5">
        <v>-80.40470884</v>
      </c>
      <c r="U301" s="1">
        <v>6.0</v>
      </c>
      <c r="V301" s="5" t="s">
        <v>540</v>
      </c>
      <c r="W301" s="5">
        <v>1.0</v>
      </c>
      <c r="X301" s="5">
        <v>0.0</v>
      </c>
      <c r="Y301" s="5" t="s">
        <v>116</v>
      </c>
      <c r="Z301" s="24">
        <v>0.0</v>
      </c>
      <c r="AA301" s="25">
        <v>4.0</v>
      </c>
      <c r="AB301" s="25">
        <v>6.0</v>
      </c>
      <c r="AC301" s="15"/>
      <c r="AD301" s="38"/>
      <c r="AE301" s="26">
        <v>0.1</v>
      </c>
      <c r="AF301" s="26" t="str">
        <f t="shared" si="3"/>
        <v/>
      </c>
      <c r="AG301" s="16" t="str">
        <f t="shared" si="4"/>
        <v>Verify</v>
      </c>
      <c r="AH301" s="15" t="str">
        <f t="shared" si="5"/>
        <v>No</v>
      </c>
      <c r="AI301" s="32">
        <v>4.9</v>
      </c>
      <c r="AJ301" s="16" t="s">
        <v>230</v>
      </c>
      <c r="AK301" s="15"/>
      <c r="AL301" s="15"/>
      <c r="AM301" s="15"/>
      <c r="AN301" s="9"/>
      <c r="AO301" s="9">
        <f t="shared" si="26"/>
        <v>1.3</v>
      </c>
      <c r="AP301" s="9" t="str">
        <f t="shared" si="27"/>
        <v/>
      </c>
      <c r="AQ301" s="9" t="str">
        <f t="shared" si="28"/>
        <v/>
      </c>
      <c r="AR301" s="9" t="str">
        <f t="shared" si="29"/>
        <v/>
      </c>
      <c r="AS301" s="16" t="s">
        <v>302</v>
      </c>
      <c r="AT301" s="15"/>
      <c r="AU301" s="15"/>
    </row>
    <row r="302" ht="15.75" customHeight="1">
      <c r="A302" s="15" t="str">
        <f t="shared" si="1"/>
        <v/>
      </c>
      <c r="B302" s="15" t="str">
        <f t="shared" si="25"/>
        <v/>
      </c>
      <c r="C302" s="15"/>
      <c r="D302" s="16" t="s">
        <v>141</v>
      </c>
      <c r="E302" s="15"/>
      <c r="F302" s="79" t="s">
        <v>2430</v>
      </c>
      <c r="G302" s="11" t="s">
        <v>2431</v>
      </c>
      <c r="H302" s="46" t="s">
        <v>1825</v>
      </c>
      <c r="I302" s="13" t="s">
        <v>705</v>
      </c>
      <c r="J302" s="17" t="s">
        <v>169</v>
      </c>
      <c r="K302" s="18">
        <v>47.0</v>
      </c>
      <c r="L302" s="18">
        <v>85.0</v>
      </c>
      <c r="M302" s="18">
        <v>32.4</v>
      </c>
      <c r="N302" s="78"/>
      <c r="O302" s="20">
        <v>0.0</v>
      </c>
      <c r="P302" s="80"/>
      <c r="Q302" s="5">
        <v>0.0</v>
      </c>
      <c r="R302" s="22">
        <v>37400.0</v>
      </c>
      <c r="S302" s="5">
        <v>39.29617102</v>
      </c>
      <c r="T302" s="5">
        <v>-80.7781589</v>
      </c>
      <c r="U302" s="1">
        <v>10.0</v>
      </c>
      <c r="V302" s="5" t="s">
        <v>342</v>
      </c>
      <c r="W302" s="5">
        <v>3.0</v>
      </c>
      <c r="X302" s="5">
        <v>0.0</v>
      </c>
      <c r="Y302" s="5" t="s">
        <v>116</v>
      </c>
      <c r="Z302" s="24">
        <v>0.0</v>
      </c>
      <c r="AA302" s="37"/>
      <c r="AB302" s="37"/>
      <c r="AC302" s="16" t="s">
        <v>2432</v>
      </c>
      <c r="AD302" s="26">
        <v>0.06</v>
      </c>
      <c r="AE302" s="26">
        <v>2.3</v>
      </c>
      <c r="AF302" s="26">
        <f t="shared" si="3"/>
        <v>0</v>
      </c>
      <c r="AG302" s="16" t="str">
        <f t="shared" si="4"/>
        <v>No</v>
      </c>
      <c r="AH302" s="15" t="str">
        <f t="shared" si="5"/>
        <v>Verify</v>
      </c>
      <c r="AI302" s="32">
        <v>0.1</v>
      </c>
      <c r="AJ302" s="16" t="s">
        <v>230</v>
      </c>
      <c r="AK302" s="15"/>
      <c r="AL302" s="15"/>
      <c r="AM302" s="15"/>
      <c r="AN302" s="9"/>
      <c r="AO302" s="9">
        <f t="shared" si="26"/>
        <v>9.1</v>
      </c>
      <c r="AP302" s="9" t="str">
        <f t="shared" si="27"/>
        <v/>
      </c>
      <c r="AQ302" s="9" t="str">
        <f t="shared" si="28"/>
        <v/>
      </c>
      <c r="AR302" s="9" t="str">
        <f t="shared" si="29"/>
        <v/>
      </c>
      <c r="AS302" s="16" t="s">
        <v>302</v>
      </c>
      <c r="AT302" s="15"/>
      <c r="AU302" s="15"/>
    </row>
    <row r="303" ht="15.75" customHeight="1">
      <c r="A303" s="15" t="str">
        <f t="shared" si="1"/>
        <v/>
      </c>
      <c r="B303" s="15" t="str">
        <f t="shared" si="25"/>
        <v/>
      </c>
      <c r="C303" s="15"/>
      <c r="D303" s="16" t="s">
        <v>141</v>
      </c>
      <c r="E303" s="15"/>
      <c r="F303" s="79" t="s">
        <v>2433</v>
      </c>
      <c r="G303" s="11" t="s">
        <v>2434</v>
      </c>
      <c r="H303" s="46" t="s">
        <v>1829</v>
      </c>
      <c r="I303" s="13" t="s">
        <v>147</v>
      </c>
      <c r="J303" s="17" t="s">
        <v>663</v>
      </c>
      <c r="K303" s="18">
        <v>160.0</v>
      </c>
      <c r="L303" s="18">
        <v>256.0</v>
      </c>
      <c r="M303" s="18">
        <v>314.5</v>
      </c>
      <c r="N303" s="78"/>
      <c r="O303" s="20">
        <v>16.0</v>
      </c>
      <c r="P303" s="80"/>
      <c r="Q303" s="5">
        <v>7.1</v>
      </c>
      <c r="R303" s="22">
        <v>47308.0</v>
      </c>
      <c r="S303" s="5">
        <v>39.03918028</v>
      </c>
      <c r="T303" s="5">
        <v>-80.44457727</v>
      </c>
      <c r="U303" s="1">
        <v>7.0</v>
      </c>
      <c r="V303" s="5" t="s">
        <v>1254</v>
      </c>
      <c r="W303" s="5">
        <v>2.0</v>
      </c>
      <c r="X303" s="5">
        <v>0.0</v>
      </c>
      <c r="Y303" s="5" t="s">
        <v>116</v>
      </c>
      <c r="Z303" s="24">
        <v>0.0</v>
      </c>
      <c r="AA303" s="37"/>
      <c r="AB303" s="37"/>
      <c r="AC303" s="15"/>
      <c r="AD303" s="38"/>
      <c r="AE303" s="26">
        <v>4.5</v>
      </c>
      <c r="AF303" s="26" t="str">
        <f t="shared" si="3"/>
        <v/>
      </c>
      <c r="AG303" s="16" t="str">
        <f t="shared" si="4"/>
        <v>Verify</v>
      </c>
      <c r="AH303" s="15" t="str">
        <f t="shared" si="5"/>
        <v>Verify</v>
      </c>
      <c r="AI303" s="32">
        <v>0.2</v>
      </c>
      <c r="AJ303" s="16" t="s">
        <v>230</v>
      </c>
      <c r="AK303" s="15"/>
      <c r="AL303" s="15"/>
      <c r="AM303" s="15"/>
      <c r="AN303" s="9"/>
      <c r="AO303" s="9">
        <f t="shared" si="26"/>
        <v>30.8</v>
      </c>
      <c r="AP303" s="9" t="str">
        <f t="shared" si="27"/>
        <v/>
      </c>
      <c r="AQ303" s="9" t="str">
        <f t="shared" si="28"/>
        <v/>
      </c>
      <c r="AR303" s="9" t="str">
        <f t="shared" si="29"/>
        <v/>
      </c>
      <c r="AS303" s="16" t="s">
        <v>302</v>
      </c>
      <c r="AT303" s="15"/>
      <c r="AU303" s="15"/>
    </row>
    <row r="304" ht="15.75" customHeight="1">
      <c r="A304" s="15" t="str">
        <f t="shared" si="1"/>
        <v/>
      </c>
      <c r="B304" s="15" t="str">
        <f t="shared" si="25"/>
        <v/>
      </c>
      <c r="C304" s="15"/>
      <c r="D304" s="16" t="s">
        <v>141</v>
      </c>
      <c r="E304" s="15"/>
      <c r="F304" s="79" t="s">
        <v>2435</v>
      </c>
      <c r="G304" s="11" t="s">
        <v>2436</v>
      </c>
      <c r="H304" s="46" t="s">
        <v>1831</v>
      </c>
      <c r="I304" s="13" t="s">
        <v>147</v>
      </c>
      <c r="J304" s="17" t="s">
        <v>663</v>
      </c>
      <c r="K304" s="18">
        <v>160.0</v>
      </c>
      <c r="L304" s="18">
        <v>256.0</v>
      </c>
      <c r="M304" s="18">
        <v>314.5</v>
      </c>
      <c r="N304" s="78"/>
      <c r="O304" s="20">
        <v>16.0</v>
      </c>
      <c r="P304" s="80"/>
      <c r="Q304" s="5">
        <v>7.1</v>
      </c>
      <c r="R304" s="22">
        <v>47308.0</v>
      </c>
      <c r="S304" s="5">
        <v>39.04862115</v>
      </c>
      <c r="T304" s="5">
        <v>-80.52038136</v>
      </c>
      <c r="U304" s="1">
        <v>7.0</v>
      </c>
      <c r="V304" s="5" t="s">
        <v>1254</v>
      </c>
      <c r="W304" s="5">
        <v>2.0</v>
      </c>
      <c r="X304" s="5">
        <v>0.0</v>
      </c>
      <c r="Y304" s="5" t="s">
        <v>116</v>
      </c>
      <c r="Z304" s="24">
        <v>0.0</v>
      </c>
      <c r="AA304" s="37"/>
      <c r="AB304" s="37"/>
      <c r="AC304" s="16" t="s">
        <v>2437</v>
      </c>
      <c r="AD304" s="26">
        <v>5.94</v>
      </c>
      <c r="AE304" s="26">
        <v>0.9</v>
      </c>
      <c r="AF304" s="26">
        <f t="shared" si="3"/>
        <v>5.04</v>
      </c>
      <c r="AG304" s="16" t="str">
        <f t="shared" si="4"/>
        <v>No</v>
      </c>
      <c r="AH304" s="15" t="str">
        <f t="shared" si="5"/>
        <v>Verify</v>
      </c>
      <c r="AI304" s="32">
        <v>2.8</v>
      </c>
      <c r="AJ304" s="16" t="s">
        <v>302</v>
      </c>
      <c r="AK304" s="15"/>
      <c r="AL304" s="15"/>
      <c r="AM304" s="15"/>
      <c r="AN304" s="9"/>
      <c r="AO304" s="9">
        <f t="shared" si="26"/>
        <v>30.8</v>
      </c>
      <c r="AP304" s="9" t="str">
        <f t="shared" si="27"/>
        <v/>
      </c>
      <c r="AQ304" s="9" t="str">
        <f t="shared" si="28"/>
        <v/>
      </c>
      <c r="AR304" s="9" t="str">
        <f t="shared" si="29"/>
        <v/>
      </c>
      <c r="AS304" s="16" t="s">
        <v>302</v>
      </c>
      <c r="AT304" s="15"/>
      <c r="AU304" s="15"/>
    </row>
    <row r="305" ht="15.75" customHeight="1">
      <c r="A305" s="15" t="str">
        <f t="shared" si="1"/>
        <v/>
      </c>
      <c r="B305" s="15" t="str">
        <f t="shared" si="25"/>
        <v/>
      </c>
      <c r="C305" s="15"/>
      <c r="D305" s="16" t="s">
        <v>141</v>
      </c>
      <c r="E305" s="15"/>
      <c r="F305" s="79" t="s">
        <v>2438</v>
      </c>
      <c r="G305" s="11" t="s">
        <v>2439</v>
      </c>
      <c r="H305" s="46" t="s">
        <v>1833</v>
      </c>
      <c r="I305" s="13" t="s">
        <v>206</v>
      </c>
      <c r="J305" s="17" t="s">
        <v>1133</v>
      </c>
      <c r="K305" s="18">
        <v>410.0</v>
      </c>
      <c r="L305" s="18">
        <v>601.0</v>
      </c>
      <c r="M305" s="18">
        <v>912.7</v>
      </c>
      <c r="N305" s="78"/>
      <c r="O305" s="20">
        <v>55.0</v>
      </c>
      <c r="P305" s="80"/>
      <c r="Q305" s="5">
        <v>0.0</v>
      </c>
      <c r="R305" s="22">
        <v>30729.0</v>
      </c>
      <c r="S305" s="5">
        <v>40.10331501</v>
      </c>
      <c r="T305" s="5">
        <v>-80.70163679</v>
      </c>
      <c r="U305" s="1">
        <v>1.0</v>
      </c>
      <c r="V305" s="5" t="s">
        <v>180</v>
      </c>
      <c r="W305" s="5">
        <v>0.0</v>
      </c>
      <c r="X305" s="5">
        <v>0.0</v>
      </c>
      <c r="Y305" s="5" t="s">
        <v>116</v>
      </c>
      <c r="Z305" s="24">
        <v>0.0</v>
      </c>
      <c r="AA305" s="37"/>
      <c r="AB305" s="37"/>
      <c r="AC305" s="16" t="s">
        <v>2440</v>
      </c>
      <c r="AD305" s="26">
        <v>0.78</v>
      </c>
      <c r="AE305" s="26">
        <v>3.6</v>
      </c>
      <c r="AF305" s="26">
        <f t="shared" si="3"/>
        <v>0</v>
      </c>
      <c r="AG305" s="16" t="str">
        <f t="shared" si="4"/>
        <v>No</v>
      </c>
      <c r="AH305" s="15" t="str">
        <f t="shared" si="5"/>
        <v>Verify</v>
      </c>
      <c r="AI305" s="32">
        <v>0.8</v>
      </c>
      <c r="AJ305" s="16" t="s">
        <v>230</v>
      </c>
      <c r="AK305" s="15"/>
      <c r="AL305" s="15"/>
      <c r="AM305" s="15"/>
      <c r="AN305" s="9"/>
      <c r="AO305" s="9">
        <f t="shared" si="26"/>
        <v>79</v>
      </c>
      <c r="AP305" s="9" t="str">
        <f t="shared" si="27"/>
        <v/>
      </c>
      <c r="AQ305" s="9" t="str">
        <f t="shared" si="28"/>
        <v/>
      </c>
      <c r="AR305" s="9" t="str">
        <f t="shared" si="29"/>
        <v/>
      </c>
      <c r="AS305" s="16" t="s">
        <v>302</v>
      </c>
      <c r="AT305" s="15"/>
      <c r="AU305" s="15"/>
    </row>
    <row r="306" ht="15.75" customHeight="1">
      <c r="A306" s="15" t="str">
        <f t="shared" si="1"/>
        <v/>
      </c>
      <c r="B306" s="15" t="str">
        <f t="shared" si="25"/>
        <v/>
      </c>
      <c r="C306" s="15"/>
      <c r="D306" s="16" t="s">
        <v>141</v>
      </c>
      <c r="E306" s="15"/>
      <c r="F306" s="79" t="s">
        <v>2441</v>
      </c>
      <c r="G306" s="11" t="s">
        <v>2442</v>
      </c>
      <c r="H306" s="46" t="s">
        <v>1835</v>
      </c>
      <c r="I306" s="13" t="s">
        <v>206</v>
      </c>
      <c r="J306" s="17" t="s">
        <v>1133</v>
      </c>
      <c r="K306" s="18">
        <v>410.0</v>
      </c>
      <c r="L306" s="18">
        <v>601.0</v>
      </c>
      <c r="M306" s="18">
        <v>912.7</v>
      </c>
      <c r="N306" s="78"/>
      <c r="O306" s="20">
        <v>55.0</v>
      </c>
      <c r="P306" s="80"/>
      <c r="Q306" s="5">
        <v>0.0</v>
      </c>
      <c r="R306" s="22">
        <v>30729.0</v>
      </c>
      <c r="S306" s="5">
        <v>40.07126355</v>
      </c>
      <c r="T306" s="5">
        <v>-80.68481184</v>
      </c>
      <c r="U306" s="1">
        <v>1.0</v>
      </c>
      <c r="V306" s="5" t="s">
        <v>180</v>
      </c>
      <c r="W306" s="5">
        <v>0.0</v>
      </c>
      <c r="X306" s="5">
        <v>0.0</v>
      </c>
      <c r="Y306" s="5" t="s">
        <v>116</v>
      </c>
      <c r="Z306" s="24">
        <v>0.0</v>
      </c>
      <c r="AA306" s="25">
        <v>0.0</v>
      </c>
      <c r="AB306" s="25">
        <v>0.0</v>
      </c>
      <c r="AC306" s="16" t="s">
        <v>2443</v>
      </c>
      <c r="AD306" s="26">
        <v>0.75</v>
      </c>
      <c r="AE306" s="26">
        <v>1.8</v>
      </c>
      <c r="AF306" s="26">
        <f t="shared" si="3"/>
        <v>0</v>
      </c>
      <c r="AG306" s="16" t="str">
        <f t="shared" si="4"/>
        <v>No</v>
      </c>
      <c r="AH306" s="15" t="str">
        <f t="shared" si="5"/>
        <v>Yes</v>
      </c>
      <c r="AI306" s="32">
        <v>0.8</v>
      </c>
      <c r="AJ306" s="16" t="s">
        <v>230</v>
      </c>
      <c r="AK306" s="15"/>
      <c r="AL306" s="15"/>
      <c r="AM306" s="15"/>
      <c r="AN306" s="9"/>
      <c r="AO306" s="9">
        <f t="shared" si="26"/>
        <v>79</v>
      </c>
      <c r="AP306" s="9">
        <f t="shared" si="27"/>
        <v>42.3</v>
      </c>
      <c r="AQ306" s="9" t="str">
        <f t="shared" si="28"/>
        <v/>
      </c>
      <c r="AR306" s="9" t="str">
        <f t="shared" si="29"/>
        <v/>
      </c>
      <c r="AS306" s="16" t="s">
        <v>302</v>
      </c>
      <c r="AT306" s="15"/>
      <c r="AU306" s="15"/>
    </row>
    <row r="307" ht="15.75" customHeight="1">
      <c r="A307" s="15" t="str">
        <f t="shared" si="1"/>
        <v/>
      </c>
      <c r="B307" s="15" t="str">
        <f t="shared" si="25"/>
        <v/>
      </c>
      <c r="C307" s="15"/>
      <c r="D307" s="16" t="s">
        <v>141</v>
      </c>
      <c r="E307" s="15"/>
      <c r="F307" s="79" t="s">
        <v>2444</v>
      </c>
      <c r="G307" s="11" t="s">
        <v>2445</v>
      </c>
      <c r="H307" s="46" t="s">
        <v>1839</v>
      </c>
      <c r="I307" s="13" t="s">
        <v>206</v>
      </c>
      <c r="J307" s="17" t="s">
        <v>1133</v>
      </c>
      <c r="K307" s="18">
        <v>410.0</v>
      </c>
      <c r="L307" s="18">
        <v>601.0</v>
      </c>
      <c r="M307" s="18">
        <v>912.7</v>
      </c>
      <c r="N307" s="78"/>
      <c r="O307" s="20">
        <v>55.0</v>
      </c>
      <c r="P307" s="80"/>
      <c r="Q307" s="5">
        <v>0.0</v>
      </c>
      <c r="R307" s="22">
        <v>30729.0</v>
      </c>
      <c r="S307" s="5">
        <v>40.038426</v>
      </c>
      <c r="T307" s="5">
        <v>-80.68879425</v>
      </c>
      <c r="U307" s="1">
        <v>1.0</v>
      </c>
      <c r="V307" s="5" t="s">
        <v>180</v>
      </c>
      <c r="W307" s="5">
        <v>0.0</v>
      </c>
      <c r="X307" s="5">
        <v>0.0</v>
      </c>
      <c r="Y307" s="5" t="s">
        <v>116</v>
      </c>
      <c r="Z307" s="24">
        <v>0.0</v>
      </c>
      <c r="AA307" s="25">
        <v>0.0</v>
      </c>
      <c r="AB307" s="25">
        <v>0.0</v>
      </c>
      <c r="AC307" s="16" t="s">
        <v>2446</v>
      </c>
      <c r="AD307" s="26">
        <v>2.11</v>
      </c>
      <c r="AE307" s="26">
        <v>2.9</v>
      </c>
      <c r="AF307" s="26">
        <f t="shared" si="3"/>
        <v>0</v>
      </c>
      <c r="AG307" s="16" t="str">
        <f t="shared" si="4"/>
        <v>No</v>
      </c>
      <c r="AH307" s="15" t="str">
        <f t="shared" si="5"/>
        <v>Yes</v>
      </c>
      <c r="AI307" s="32">
        <v>2.2</v>
      </c>
      <c r="AJ307" s="16" t="s">
        <v>230</v>
      </c>
      <c r="AK307" s="15"/>
      <c r="AL307" s="15"/>
      <c r="AM307" s="15"/>
      <c r="AN307" s="9"/>
      <c r="AO307" s="9">
        <f t="shared" si="26"/>
        <v>79</v>
      </c>
      <c r="AP307" s="9">
        <f t="shared" si="27"/>
        <v>46.3</v>
      </c>
      <c r="AQ307" s="9" t="str">
        <f t="shared" si="28"/>
        <v/>
      </c>
      <c r="AR307" s="9" t="str">
        <f t="shared" si="29"/>
        <v/>
      </c>
      <c r="AS307" s="16" t="s">
        <v>302</v>
      </c>
      <c r="AT307" s="15"/>
      <c r="AU307" s="15"/>
    </row>
    <row r="308" ht="15.75" customHeight="1">
      <c r="A308" s="15" t="str">
        <f t="shared" si="1"/>
        <v/>
      </c>
      <c r="B308" s="15"/>
      <c r="C308" s="15"/>
      <c r="D308" s="16" t="s">
        <v>420</v>
      </c>
      <c r="E308" s="16" t="s">
        <v>230</v>
      </c>
      <c r="F308" s="1" t="s">
        <v>148</v>
      </c>
      <c r="G308" s="11" t="s">
        <v>2447</v>
      </c>
      <c r="H308" s="46">
        <v>26003.0</v>
      </c>
      <c r="I308" s="13"/>
      <c r="J308" s="17"/>
      <c r="K308" s="18"/>
      <c r="L308" s="18"/>
      <c r="M308" s="18"/>
      <c r="N308" s="78"/>
      <c r="O308" s="20"/>
      <c r="P308" s="80"/>
      <c r="Q308" s="5"/>
      <c r="R308" s="22"/>
      <c r="S308" s="5">
        <v>40.10991938</v>
      </c>
      <c r="T308" s="5">
        <v>-80.63789146</v>
      </c>
      <c r="U308" s="1">
        <v>10.0</v>
      </c>
      <c r="V308" s="5"/>
      <c r="W308" s="5">
        <v>3.0</v>
      </c>
      <c r="X308" s="5">
        <v>0.0</v>
      </c>
      <c r="Y308" s="5" t="s">
        <v>116</v>
      </c>
      <c r="Z308" s="24">
        <v>0.0</v>
      </c>
      <c r="AA308" s="25"/>
      <c r="AB308" s="25"/>
      <c r="AC308" s="16"/>
      <c r="AD308" s="26"/>
      <c r="AE308" s="26">
        <v>2.9</v>
      </c>
      <c r="AF308" s="26" t="str">
        <f t="shared" si="3"/>
        <v/>
      </c>
      <c r="AG308" s="16" t="str">
        <f t="shared" si="4"/>
        <v>Verify</v>
      </c>
      <c r="AH308" s="15" t="str">
        <f t="shared" si="5"/>
        <v>Verify</v>
      </c>
      <c r="AI308" s="32">
        <v>3.3</v>
      </c>
      <c r="AJ308" s="16"/>
      <c r="AK308" s="15"/>
      <c r="AL308" s="15"/>
      <c r="AM308" s="15"/>
      <c r="AN308" s="9"/>
      <c r="AO308" s="9"/>
      <c r="AP308" s="9"/>
      <c r="AQ308" s="9"/>
      <c r="AR308" s="9"/>
      <c r="AS308" s="16" t="s">
        <v>302</v>
      </c>
      <c r="AT308" s="15"/>
      <c r="AU308" s="15"/>
    </row>
    <row r="309" ht="15.75" customHeight="1">
      <c r="A309" s="15" t="str">
        <f t="shared" si="1"/>
        <v/>
      </c>
      <c r="B309" s="15" t="str">
        <f t="shared" ref="B309:B319" si="30">IF(A309="","",IF(A309&lt;=25,"Tier 1",IF(A309&lt;=50,"Tier 2",IF(A309&lt;=100,"Tier 3",""))))</f>
        <v/>
      </c>
      <c r="C309" s="15"/>
      <c r="D309" s="16" t="s">
        <v>141</v>
      </c>
      <c r="E309" s="15"/>
      <c r="F309" s="79" t="s">
        <v>2448</v>
      </c>
      <c r="G309" s="11" t="s">
        <v>2449</v>
      </c>
      <c r="H309" s="46" t="s">
        <v>1842</v>
      </c>
      <c r="I309" s="13" t="s">
        <v>159</v>
      </c>
      <c r="J309" s="17" t="s">
        <v>169</v>
      </c>
      <c r="K309" s="18">
        <v>488.0</v>
      </c>
      <c r="L309" s="18">
        <v>724.0</v>
      </c>
      <c r="M309" s="18">
        <v>956.1</v>
      </c>
      <c r="N309" s="78"/>
      <c r="O309" s="20">
        <v>0.0</v>
      </c>
      <c r="P309" s="80"/>
      <c r="Q309" s="5">
        <v>0.0</v>
      </c>
      <c r="R309" s="35"/>
      <c r="S309" s="5">
        <v>39.42876737</v>
      </c>
      <c r="T309" s="5">
        <v>-80.18387099</v>
      </c>
      <c r="U309" s="1">
        <v>4.0</v>
      </c>
      <c r="V309" s="5" t="s">
        <v>540</v>
      </c>
      <c r="W309" s="5">
        <v>1.0</v>
      </c>
      <c r="X309" s="5">
        <v>0.0</v>
      </c>
      <c r="Y309" s="5" t="s">
        <v>116</v>
      </c>
      <c r="Z309" s="24">
        <v>0.0</v>
      </c>
      <c r="AA309" s="25">
        <v>0.0</v>
      </c>
      <c r="AB309" s="25">
        <v>0.0</v>
      </c>
      <c r="AC309" s="15"/>
      <c r="AD309" s="38"/>
      <c r="AE309" s="26">
        <v>4.7</v>
      </c>
      <c r="AF309" s="26" t="str">
        <f t="shared" si="3"/>
        <v/>
      </c>
      <c r="AG309" s="16" t="str">
        <f t="shared" si="4"/>
        <v>Verify</v>
      </c>
      <c r="AH309" s="15" t="str">
        <f t="shared" si="5"/>
        <v>Yes</v>
      </c>
      <c r="AI309" s="32">
        <v>0.5</v>
      </c>
      <c r="AJ309" s="16" t="s">
        <v>230</v>
      </c>
      <c r="AK309" s="15"/>
      <c r="AL309" s="15"/>
      <c r="AM309" s="15"/>
      <c r="AN309" s="9"/>
      <c r="AO309" s="9">
        <f t="shared" ref="AO309:AO348" si="31">IF(K309="","",ROUND((K309/MAX($K$2:$K$319))*100,1))</f>
        <v>94</v>
      </c>
      <c r="AP309" s="9" t="str">
        <f t="shared" ref="AP309:AP343" si="32">IF(OR(AA309="",AB309="",AD309=""),"",ROUND(
(MIN(AD309,20)/20*100)*0.6+
(MAX(0,1-MIN(AA309,5)/5)*100)*0.25+
(MAX(0,1-MIN(AB309,10)/10)*100)*0.15
,1))</f>
        <v/>
      </c>
      <c r="AQ309" s="9" t="str">
        <f t="shared" ref="AQ309:AQ319" si="33">IF(OR(O309="",P309="",Q309="",R309=""),"",ROUND(
(MIN(Q309/MAX($Q$2:$Q$319),1)*100)*0.4+
(MIN(O309/MAX($O$2:$O$319),1)*100)*0.25+
(MIN(P309/MAX($P$2:$P$319),1)*100)*0.2+
((1-(R309-MIN($R$2:$R$319))/(MAX($R$2:$R$319)-MIN($R$2:$R$319)))*100)*0.15
,1))</f>
        <v/>
      </c>
      <c r="AR309" s="9" t="str">
        <f t="shared" ref="AR309:AR395" si="34">IF(OR(AO309="",AP309="",AQ309=""),"",ROUND((AO309*30+AP309*40+AQ309*20)/90,1))</f>
        <v/>
      </c>
      <c r="AS309" s="16" t="s">
        <v>302</v>
      </c>
      <c r="AT309" s="15"/>
      <c r="AU309" s="15"/>
    </row>
    <row r="310" ht="15.75" customHeight="1">
      <c r="A310" s="15" t="str">
        <f t="shared" si="1"/>
        <v/>
      </c>
      <c r="B310" s="15" t="str">
        <f t="shared" si="30"/>
        <v/>
      </c>
      <c r="C310" s="15"/>
      <c r="D310" s="16" t="s">
        <v>141</v>
      </c>
      <c r="E310" s="15"/>
      <c r="F310" s="79" t="s">
        <v>2450</v>
      </c>
      <c r="G310" s="11" t="s">
        <v>2451</v>
      </c>
      <c r="H310" s="46" t="s">
        <v>1844</v>
      </c>
      <c r="I310" s="13" t="s">
        <v>288</v>
      </c>
      <c r="J310" s="17" t="s">
        <v>715</v>
      </c>
      <c r="K310" s="18">
        <v>16.0</v>
      </c>
      <c r="L310" s="18">
        <v>21.0</v>
      </c>
      <c r="M310" s="18">
        <v>10.1</v>
      </c>
      <c r="N310" s="78"/>
      <c r="O310" s="20">
        <v>21.0</v>
      </c>
      <c r="P310" s="80"/>
      <c r="Q310" s="5">
        <v>0.0</v>
      </c>
      <c r="R310" s="22">
        <v>48268.0</v>
      </c>
      <c r="S310" s="5">
        <v>37.93069806</v>
      </c>
      <c r="T310" s="5">
        <v>-81.54067178</v>
      </c>
      <c r="U310" s="1">
        <v>2.0</v>
      </c>
      <c r="V310" s="5" t="s">
        <v>180</v>
      </c>
      <c r="W310" s="5">
        <v>0.0</v>
      </c>
      <c r="X310" s="5">
        <v>0.0</v>
      </c>
      <c r="Y310" s="5" t="s">
        <v>116</v>
      </c>
      <c r="Z310" s="24">
        <v>0.0</v>
      </c>
      <c r="AA310" s="37"/>
      <c r="AB310" s="37"/>
      <c r="AC310" s="15"/>
      <c r="AD310" s="38"/>
      <c r="AE310" s="26">
        <v>2.2</v>
      </c>
      <c r="AF310" s="26" t="str">
        <f t="shared" si="3"/>
        <v/>
      </c>
      <c r="AG310" s="16" t="str">
        <f t="shared" si="4"/>
        <v>Verify</v>
      </c>
      <c r="AH310" s="15" t="str">
        <f t="shared" si="5"/>
        <v>Verify</v>
      </c>
      <c r="AI310" s="32">
        <v>7.5</v>
      </c>
      <c r="AJ310" s="16" t="s">
        <v>230</v>
      </c>
      <c r="AK310" s="15"/>
      <c r="AL310" s="15"/>
      <c r="AM310" s="15"/>
      <c r="AN310" s="9"/>
      <c r="AO310" s="9">
        <f t="shared" si="31"/>
        <v>3.1</v>
      </c>
      <c r="AP310" s="9" t="str">
        <f t="shared" si="32"/>
        <v/>
      </c>
      <c r="AQ310" s="9" t="str">
        <f t="shared" si="33"/>
        <v/>
      </c>
      <c r="AR310" s="9" t="str">
        <f t="shared" si="34"/>
        <v/>
      </c>
      <c r="AS310" s="16" t="s">
        <v>302</v>
      </c>
      <c r="AT310" s="15"/>
      <c r="AU310" s="15"/>
    </row>
    <row r="311" ht="15.75" customHeight="1">
      <c r="A311" s="15" t="str">
        <f t="shared" si="1"/>
        <v/>
      </c>
      <c r="B311" s="15" t="str">
        <f t="shared" si="30"/>
        <v/>
      </c>
      <c r="C311" s="15"/>
      <c r="D311" s="16" t="s">
        <v>141</v>
      </c>
      <c r="E311" s="15"/>
      <c r="F311" s="79" t="s">
        <v>2452</v>
      </c>
      <c r="G311" s="11" t="s">
        <v>2453</v>
      </c>
      <c r="H311" s="46">
        <v>24895.0</v>
      </c>
      <c r="I311" s="13" t="s">
        <v>726</v>
      </c>
      <c r="J311" s="17" t="s">
        <v>392</v>
      </c>
      <c r="K311" s="18">
        <v>4.0</v>
      </c>
      <c r="L311" s="18">
        <v>6.0</v>
      </c>
      <c r="M311" s="18">
        <v>0.0</v>
      </c>
      <c r="N311" s="78"/>
      <c r="O311" s="40"/>
      <c r="P311" s="80"/>
      <c r="Q311" s="41"/>
      <c r="R311" s="35"/>
      <c r="S311" s="5">
        <v>37.3798471</v>
      </c>
      <c r="T311" s="5">
        <v>-81.56479182</v>
      </c>
      <c r="U311" s="1">
        <v>10.0</v>
      </c>
      <c r="V311" s="5" t="s">
        <v>342</v>
      </c>
      <c r="W311" s="5">
        <v>3.0</v>
      </c>
      <c r="X311" s="5" t="s">
        <v>732</v>
      </c>
      <c r="Y311" s="5" t="s">
        <v>733</v>
      </c>
      <c r="Z311" s="24" t="s">
        <v>732</v>
      </c>
      <c r="AA311" s="25">
        <v>0.0</v>
      </c>
      <c r="AB311" s="25">
        <v>0.0</v>
      </c>
      <c r="AC311" s="15"/>
      <c r="AD311" s="38"/>
      <c r="AE311" s="26">
        <v>1.0</v>
      </c>
      <c r="AF311" s="26" t="str">
        <f t="shared" si="3"/>
        <v/>
      </c>
      <c r="AG311" s="16" t="str">
        <f t="shared" si="4"/>
        <v>Verify</v>
      </c>
      <c r="AH311" s="15" t="str">
        <f t="shared" si="5"/>
        <v>Yes</v>
      </c>
      <c r="AI311" s="32">
        <v>3.5</v>
      </c>
      <c r="AJ311" s="16" t="s">
        <v>230</v>
      </c>
      <c r="AK311" s="15"/>
      <c r="AL311" s="15"/>
      <c r="AM311" s="15"/>
      <c r="AN311" s="9"/>
      <c r="AO311" s="9">
        <f t="shared" si="31"/>
        <v>0.8</v>
      </c>
      <c r="AP311" s="9" t="str">
        <f t="shared" si="32"/>
        <v/>
      </c>
      <c r="AQ311" s="9" t="str">
        <f t="shared" si="33"/>
        <v/>
      </c>
      <c r="AR311" s="9" t="str">
        <f t="shared" si="34"/>
        <v/>
      </c>
      <c r="AS311" s="16" t="s">
        <v>302</v>
      </c>
      <c r="AT311" s="15"/>
      <c r="AU311" s="15"/>
    </row>
    <row r="312" ht="15.75" customHeight="1">
      <c r="A312" s="15" t="str">
        <f t="shared" si="1"/>
        <v/>
      </c>
      <c r="B312" s="15" t="str">
        <f t="shared" si="30"/>
        <v/>
      </c>
      <c r="C312" s="15"/>
      <c r="D312" s="16" t="s">
        <v>141</v>
      </c>
      <c r="E312" s="15"/>
      <c r="F312" s="79" t="s">
        <v>2454</v>
      </c>
      <c r="G312" s="11" t="s">
        <v>2455</v>
      </c>
      <c r="H312" s="46">
        <v>25661.0</v>
      </c>
      <c r="I312" s="13" t="s">
        <v>978</v>
      </c>
      <c r="J312" s="17" t="s">
        <v>392</v>
      </c>
      <c r="K312" s="18">
        <v>95.0</v>
      </c>
      <c r="L312" s="18">
        <v>158.0</v>
      </c>
      <c r="M312" s="18">
        <v>171.3</v>
      </c>
      <c r="N312" s="78"/>
      <c r="O312" s="20">
        <v>29.0</v>
      </c>
      <c r="P312" s="80"/>
      <c r="Q312" s="5">
        <v>0.0</v>
      </c>
      <c r="R312" s="22">
        <v>39323.0</v>
      </c>
      <c r="S312" s="5">
        <v>37.7983308</v>
      </c>
      <c r="T312" s="5">
        <v>-82.28725881</v>
      </c>
      <c r="U312" s="1">
        <v>10.0</v>
      </c>
      <c r="V312" s="5" t="s">
        <v>342</v>
      </c>
      <c r="W312" s="5">
        <v>3.0</v>
      </c>
      <c r="X312" s="5">
        <v>4.0</v>
      </c>
      <c r="Y312" s="5" t="s">
        <v>1190</v>
      </c>
      <c r="Z312" s="24">
        <v>4.0</v>
      </c>
      <c r="AA312" s="25">
        <v>1.0</v>
      </c>
      <c r="AB312" s="25">
        <v>2.0</v>
      </c>
      <c r="AC312" s="15"/>
      <c r="AD312" s="38"/>
      <c r="AE312" s="26">
        <v>6.3</v>
      </c>
      <c r="AF312" s="26" t="str">
        <f t="shared" si="3"/>
        <v/>
      </c>
      <c r="AG312" s="16" t="str">
        <f t="shared" si="4"/>
        <v>Verify</v>
      </c>
      <c r="AH312" s="15" t="str">
        <f t="shared" si="5"/>
        <v>No</v>
      </c>
      <c r="AI312" s="32">
        <v>7.8</v>
      </c>
      <c r="AJ312" s="16" t="s">
        <v>230</v>
      </c>
      <c r="AK312" s="15"/>
      <c r="AL312" s="15"/>
      <c r="AM312" s="15"/>
      <c r="AN312" s="9"/>
      <c r="AO312" s="9">
        <f t="shared" si="31"/>
        <v>18.3</v>
      </c>
      <c r="AP312" s="9" t="str">
        <f t="shared" si="32"/>
        <v/>
      </c>
      <c r="AQ312" s="9" t="str">
        <f t="shared" si="33"/>
        <v/>
      </c>
      <c r="AR312" s="9" t="str">
        <f t="shared" si="34"/>
        <v/>
      </c>
      <c r="AS312" s="16" t="s">
        <v>302</v>
      </c>
      <c r="AT312" s="15"/>
      <c r="AU312" s="15"/>
    </row>
    <row r="313" ht="15.75" customHeight="1">
      <c r="A313" s="15" t="str">
        <f t="shared" si="1"/>
        <v/>
      </c>
      <c r="B313" s="15" t="str">
        <f t="shared" si="30"/>
        <v/>
      </c>
      <c r="C313" s="15"/>
      <c r="D313" s="16" t="s">
        <v>141</v>
      </c>
      <c r="E313" s="15"/>
      <c r="F313" s="79" t="s">
        <v>2456</v>
      </c>
      <c r="G313" s="11" t="s">
        <v>2457</v>
      </c>
      <c r="H313" s="46">
        <v>25661.0</v>
      </c>
      <c r="I313" s="13" t="s">
        <v>978</v>
      </c>
      <c r="J313" s="17" t="s">
        <v>392</v>
      </c>
      <c r="K313" s="18">
        <v>95.0</v>
      </c>
      <c r="L313" s="18">
        <v>158.0</v>
      </c>
      <c r="M313" s="18">
        <v>171.3</v>
      </c>
      <c r="N313" s="78"/>
      <c r="O313" s="20">
        <v>29.0</v>
      </c>
      <c r="P313" s="80"/>
      <c r="Q313" s="5">
        <v>0.0</v>
      </c>
      <c r="R313" s="22">
        <v>39323.0</v>
      </c>
      <c r="S313" s="5">
        <v>37.67703981</v>
      </c>
      <c r="T313" s="5">
        <v>-82.29166115</v>
      </c>
      <c r="U313" s="1">
        <v>10.0</v>
      </c>
      <c r="V313" s="5" t="s">
        <v>342</v>
      </c>
      <c r="W313" s="5">
        <v>3.0</v>
      </c>
      <c r="X313" s="5">
        <v>4.0</v>
      </c>
      <c r="Y313" s="5" t="s">
        <v>1190</v>
      </c>
      <c r="Z313" s="24">
        <v>4.0</v>
      </c>
      <c r="AA313" s="25">
        <v>0.0</v>
      </c>
      <c r="AB313" s="25">
        <v>0.0</v>
      </c>
      <c r="AC313" s="16" t="s">
        <v>1682</v>
      </c>
      <c r="AD313" s="26">
        <v>25.79</v>
      </c>
      <c r="AE313" s="26">
        <v>3.1</v>
      </c>
      <c r="AF313" s="26">
        <f t="shared" si="3"/>
        <v>22.69</v>
      </c>
      <c r="AG313" s="16" t="str">
        <f t="shared" si="4"/>
        <v>Yes</v>
      </c>
      <c r="AH313" s="15" t="str">
        <f t="shared" si="5"/>
        <v>Yes</v>
      </c>
      <c r="AI313" s="32">
        <v>1.5</v>
      </c>
      <c r="AJ313" s="16" t="s">
        <v>230</v>
      </c>
      <c r="AK313" s="15"/>
      <c r="AL313" s="15"/>
      <c r="AM313" s="15"/>
      <c r="AN313" s="9"/>
      <c r="AO313" s="9">
        <f t="shared" si="31"/>
        <v>18.3</v>
      </c>
      <c r="AP313" s="9">
        <f t="shared" si="32"/>
        <v>100</v>
      </c>
      <c r="AQ313" s="9" t="str">
        <f t="shared" si="33"/>
        <v/>
      </c>
      <c r="AR313" s="9" t="str">
        <f t="shared" si="34"/>
        <v/>
      </c>
      <c r="AS313" s="16" t="s">
        <v>302</v>
      </c>
      <c r="AT313" s="15"/>
      <c r="AU313" s="15"/>
    </row>
    <row r="314" ht="15.75" customHeight="1">
      <c r="A314" s="15" t="str">
        <f t="shared" si="1"/>
        <v/>
      </c>
      <c r="B314" s="15" t="str">
        <f t="shared" si="30"/>
        <v/>
      </c>
      <c r="C314" s="15"/>
      <c r="D314" s="16" t="s">
        <v>141</v>
      </c>
      <c r="E314" s="15"/>
      <c r="F314" s="79" t="s">
        <v>2458</v>
      </c>
      <c r="G314" s="11" t="s">
        <v>2459</v>
      </c>
      <c r="H314" s="46">
        <v>26187.0</v>
      </c>
      <c r="I314" s="13" t="s">
        <v>268</v>
      </c>
      <c r="J314" s="17" t="s">
        <v>439</v>
      </c>
      <c r="K314" s="18">
        <v>39.0</v>
      </c>
      <c r="L314" s="18">
        <v>71.0</v>
      </c>
      <c r="M314" s="18">
        <v>73.3</v>
      </c>
      <c r="N314" s="78"/>
      <c r="O314" s="20">
        <v>0.0</v>
      </c>
      <c r="P314" s="80"/>
      <c r="Q314" s="5">
        <v>0.0</v>
      </c>
      <c r="R314" s="35"/>
      <c r="S314" s="5">
        <v>39.39451199</v>
      </c>
      <c r="T314" s="5">
        <v>-81.44821615</v>
      </c>
      <c r="U314" s="1">
        <v>4.0</v>
      </c>
      <c r="V314" s="5" t="s">
        <v>540</v>
      </c>
      <c r="W314" s="5">
        <v>1.0</v>
      </c>
      <c r="X314" s="5">
        <v>0.0</v>
      </c>
      <c r="Y314" s="5" t="s">
        <v>116</v>
      </c>
      <c r="Z314" s="24">
        <v>0.0</v>
      </c>
      <c r="AA314" s="37"/>
      <c r="AB314" s="37"/>
      <c r="AC314" s="16" t="s">
        <v>2384</v>
      </c>
      <c r="AD314" s="26">
        <v>7.54</v>
      </c>
      <c r="AE314" s="26">
        <v>2.0</v>
      </c>
      <c r="AF314" s="26">
        <f t="shared" si="3"/>
        <v>5.54</v>
      </c>
      <c r="AG314" s="16" t="str">
        <f t="shared" si="4"/>
        <v>No</v>
      </c>
      <c r="AH314" s="15" t="str">
        <f t="shared" si="5"/>
        <v>Verify</v>
      </c>
      <c r="AI314" s="32">
        <v>1.6</v>
      </c>
      <c r="AJ314" s="16" t="s">
        <v>230</v>
      </c>
      <c r="AK314" s="15"/>
      <c r="AL314" s="15"/>
      <c r="AM314" s="15"/>
      <c r="AN314" s="9"/>
      <c r="AO314" s="9">
        <f t="shared" si="31"/>
        <v>7.5</v>
      </c>
      <c r="AP314" s="9" t="str">
        <f t="shared" si="32"/>
        <v/>
      </c>
      <c r="AQ314" s="9" t="str">
        <f t="shared" si="33"/>
        <v/>
      </c>
      <c r="AR314" s="9" t="str">
        <f t="shared" si="34"/>
        <v/>
      </c>
      <c r="AS314" s="16" t="s">
        <v>302</v>
      </c>
      <c r="AT314" s="15"/>
      <c r="AU314" s="15"/>
    </row>
    <row r="315" ht="15.75" customHeight="1">
      <c r="A315" s="15" t="str">
        <f t="shared" si="1"/>
        <v/>
      </c>
      <c r="B315" s="15" t="str">
        <f t="shared" si="30"/>
        <v/>
      </c>
      <c r="C315" s="15"/>
      <c r="D315" s="16" t="s">
        <v>141</v>
      </c>
      <c r="E315" s="15"/>
      <c r="F315" s="79" t="s">
        <v>2460</v>
      </c>
      <c r="G315" s="11" t="s">
        <v>2461</v>
      </c>
      <c r="H315" s="46" t="s">
        <v>1854</v>
      </c>
      <c r="I315" s="13" t="s">
        <v>268</v>
      </c>
      <c r="J315" s="17" t="s">
        <v>439</v>
      </c>
      <c r="K315" s="18">
        <v>39.0</v>
      </c>
      <c r="L315" s="18">
        <v>71.0</v>
      </c>
      <c r="M315" s="18">
        <v>73.3</v>
      </c>
      <c r="N315" s="78"/>
      <c r="O315" s="20">
        <v>0.0</v>
      </c>
      <c r="P315" s="80"/>
      <c r="Q315" s="5">
        <v>0.0</v>
      </c>
      <c r="R315" s="35"/>
      <c r="S315" s="5">
        <v>39.33413497</v>
      </c>
      <c r="T315" s="5">
        <v>-81.4232166</v>
      </c>
      <c r="U315" s="1">
        <v>4.0</v>
      </c>
      <c r="V315" s="5" t="s">
        <v>540</v>
      </c>
      <c r="W315" s="5">
        <v>1.0</v>
      </c>
      <c r="X315" s="5">
        <v>0.0</v>
      </c>
      <c r="Y315" s="5" t="s">
        <v>116</v>
      </c>
      <c r="Z315" s="24">
        <v>0.0</v>
      </c>
      <c r="AA315" s="37"/>
      <c r="AB315" s="37"/>
      <c r="AC315" s="16" t="s">
        <v>2462</v>
      </c>
      <c r="AD315" s="26">
        <v>6.98</v>
      </c>
      <c r="AE315" s="26">
        <v>2.5</v>
      </c>
      <c r="AF315" s="26">
        <f t="shared" si="3"/>
        <v>4.48</v>
      </c>
      <c r="AG315" s="16" t="str">
        <f t="shared" si="4"/>
        <v>No</v>
      </c>
      <c r="AH315" s="15" t="str">
        <f t="shared" si="5"/>
        <v>Verify</v>
      </c>
      <c r="AI315" s="32">
        <v>4.8</v>
      </c>
      <c r="AJ315" s="16" t="s">
        <v>230</v>
      </c>
      <c r="AK315" s="15"/>
      <c r="AL315" s="15"/>
      <c r="AM315" s="15"/>
      <c r="AN315" s="9"/>
      <c r="AO315" s="9">
        <f t="shared" si="31"/>
        <v>7.5</v>
      </c>
      <c r="AP315" s="9" t="str">
        <f t="shared" si="32"/>
        <v/>
      </c>
      <c r="AQ315" s="9" t="str">
        <f t="shared" si="33"/>
        <v/>
      </c>
      <c r="AR315" s="9" t="str">
        <f t="shared" si="34"/>
        <v/>
      </c>
      <c r="AS315" s="16" t="s">
        <v>302</v>
      </c>
      <c r="AT315" s="15"/>
      <c r="AU315" s="15"/>
    </row>
    <row r="316" ht="15.75" customHeight="1">
      <c r="A316" s="15" t="str">
        <f t="shared" si="1"/>
        <v/>
      </c>
      <c r="B316" s="15" t="str">
        <f t="shared" si="30"/>
        <v/>
      </c>
      <c r="C316" s="15"/>
      <c r="D316" s="16" t="s">
        <v>141</v>
      </c>
      <c r="E316" s="15"/>
      <c r="F316" s="79" t="s">
        <v>2463</v>
      </c>
      <c r="G316" s="11" t="s">
        <v>2464</v>
      </c>
      <c r="H316" s="46" t="s">
        <v>1856</v>
      </c>
      <c r="I316" s="13" t="s">
        <v>218</v>
      </c>
      <c r="J316" s="17" t="s">
        <v>715</v>
      </c>
      <c r="K316" s="18">
        <v>38.0</v>
      </c>
      <c r="L316" s="18">
        <v>51.0</v>
      </c>
      <c r="M316" s="18">
        <v>95.8</v>
      </c>
      <c r="N316" s="78"/>
      <c r="O316" s="20">
        <v>52.0</v>
      </c>
      <c r="P316" s="80"/>
      <c r="Q316" s="5">
        <v>2.4</v>
      </c>
      <c r="R316" s="22">
        <v>54583.0</v>
      </c>
      <c r="S316" s="5">
        <v>38.53667433</v>
      </c>
      <c r="T316" s="5">
        <v>-81.88853</v>
      </c>
      <c r="U316" s="1">
        <v>1.0</v>
      </c>
      <c r="V316" s="5" t="s">
        <v>180</v>
      </c>
      <c r="W316" s="5">
        <v>0.0</v>
      </c>
      <c r="X316" s="5">
        <v>0.0</v>
      </c>
      <c r="Y316" s="5" t="s">
        <v>116</v>
      </c>
      <c r="Z316" s="24">
        <v>0.0</v>
      </c>
      <c r="AA316" s="37"/>
      <c r="AB316" s="37"/>
      <c r="AC316" s="15"/>
      <c r="AD316" s="38"/>
      <c r="AE316" s="26">
        <v>2.1</v>
      </c>
      <c r="AF316" s="26" t="str">
        <f t="shared" si="3"/>
        <v/>
      </c>
      <c r="AG316" s="16" t="str">
        <f t="shared" si="4"/>
        <v>Verify</v>
      </c>
      <c r="AH316" s="15" t="str">
        <f t="shared" si="5"/>
        <v>Verify</v>
      </c>
      <c r="AI316" s="32">
        <v>1.7</v>
      </c>
      <c r="AJ316" s="16" t="s">
        <v>230</v>
      </c>
      <c r="AK316" s="15"/>
      <c r="AL316" s="15"/>
      <c r="AM316" s="15"/>
      <c r="AN316" s="9"/>
      <c r="AO316" s="9">
        <f t="shared" si="31"/>
        <v>7.3</v>
      </c>
      <c r="AP316" s="9" t="str">
        <f t="shared" si="32"/>
        <v/>
      </c>
      <c r="AQ316" s="9" t="str">
        <f t="shared" si="33"/>
        <v/>
      </c>
      <c r="AR316" s="9" t="str">
        <f t="shared" si="34"/>
        <v/>
      </c>
      <c r="AS316" s="16" t="s">
        <v>302</v>
      </c>
      <c r="AT316" s="15"/>
      <c r="AU316" s="15"/>
    </row>
    <row r="317" ht="15.75" customHeight="1">
      <c r="A317" s="15" t="str">
        <f t="shared" si="1"/>
        <v/>
      </c>
      <c r="B317" s="15" t="str">
        <f t="shared" si="30"/>
        <v/>
      </c>
      <c r="C317" s="15"/>
      <c r="D317" s="16" t="s">
        <v>420</v>
      </c>
      <c r="E317" s="16" t="s">
        <v>230</v>
      </c>
      <c r="F317" s="79" t="s">
        <v>2465</v>
      </c>
      <c r="G317" s="11" t="s">
        <v>2466</v>
      </c>
      <c r="H317" s="46">
        <v>25213.0</v>
      </c>
      <c r="I317" s="13" t="s">
        <v>218</v>
      </c>
      <c r="J317" s="17" t="s">
        <v>715</v>
      </c>
      <c r="K317" s="18">
        <v>38.0</v>
      </c>
      <c r="L317" s="18">
        <v>51.0</v>
      </c>
      <c r="M317" s="18">
        <v>95.8</v>
      </c>
      <c r="N317" s="78"/>
      <c r="O317" s="20">
        <v>52.0</v>
      </c>
      <c r="P317" s="80"/>
      <c r="Q317" s="5">
        <v>2.4</v>
      </c>
      <c r="R317" s="22">
        <v>54583.0</v>
      </c>
      <c r="S317" s="5">
        <v>38.49625644</v>
      </c>
      <c r="T317" s="5">
        <v>-81.84580717</v>
      </c>
      <c r="U317" s="1">
        <v>1.0</v>
      </c>
      <c r="V317" s="5" t="s">
        <v>180</v>
      </c>
      <c r="W317" s="5">
        <v>0.0</v>
      </c>
      <c r="X317" s="5">
        <v>0.0</v>
      </c>
      <c r="Y317" s="5" t="s">
        <v>116</v>
      </c>
      <c r="Z317" s="24">
        <v>0.0</v>
      </c>
      <c r="AA317" s="37"/>
      <c r="AB317" s="37"/>
      <c r="AC317" s="16" t="s">
        <v>1581</v>
      </c>
      <c r="AD317" s="26">
        <v>5.78</v>
      </c>
      <c r="AE317" s="26">
        <v>3.8</v>
      </c>
      <c r="AF317" s="26">
        <f t="shared" si="3"/>
        <v>1.98</v>
      </c>
      <c r="AG317" s="16" t="str">
        <f t="shared" si="4"/>
        <v>No</v>
      </c>
      <c r="AH317" s="15" t="str">
        <f t="shared" si="5"/>
        <v>Verify</v>
      </c>
      <c r="AI317" s="32">
        <v>2.3</v>
      </c>
      <c r="AJ317" s="16" t="s">
        <v>302</v>
      </c>
      <c r="AK317" s="15"/>
      <c r="AL317" s="15"/>
      <c r="AM317" s="15"/>
      <c r="AN317" s="9"/>
      <c r="AO317" s="9">
        <f t="shared" si="31"/>
        <v>7.3</v>
      </c>
      <c r="AP317" s="9" t="str">
        <f t="shared" si="32"/>
        <v/>
      </c>
      <c r="AQ317" s="9" t="str">
        <f t="shared" si="33"/>
        <v/>
      </c>
      <c r="AR317" s="9" t="str">
        <f t="shared" si="34"/>
        <v/>
      </c>
      <c r="AS317" s="16" t="s">
        <v>302</v>
      </c>
      <c r="AT317" s="15"/>
      <c r="AU317" s="15"/>
    </row>
    <row r="318" ht="15.75" customHeight="1">
      <c r="A318" s="15" t="str">
        <f t="shared" si="1"/>
        <v/>
      </c>
      <c r="B318" s="15" t="str">
        <f t="shared" si="30"/>
        <v/>
      </c>
      <c r="C318" s="15"/>
      <c r="D318" s="16" t="s">
        <v>141</v>
      </c>
      <c r="E318" s="15"/>
      <c r="F318" s="79" t="s">
        <v>2467</v>
      </c>
      <c r="G318" s="11" t="s">
        <v>2468</v>
      </c>
      <c r="H318" s="46">
        <v>26591.0</v>
      </c>
      <c r="I318" s="13" t="s">
        <v>159</v>
      </c>
      <c r="J318" s="17" t="s">
        <v>169</v>
      </c>
      <c r="K318" s="18">
        <v>17.0</v>
      </c>
      <c r="L318" s="18">
        <v>26.0</v>
      </c>
      <c r="M318" s="18">
        <v>174.0</v>
      </c>
      <c r="N318" s="78"/>
      <c r="O318" s="20">
        <v>37.0</v>
      </c>
      <c r="P318" s="80"/>
      <c r="Q318" s="5">
        <v>8.1</v>
      </c>
      <c r="R318" s="22">
        <v>34531.0</v>
      </c>
      <c r="S318" s="5">
        <v>39.45151872</v>
      </c>
      <c r="T318" s="5">
        <v>-80.27033004</v>
      </c>
      <c r="U318" s="1">
        <v>5.0</v>
      </c>
      <c r="V318" s="5" t="s">
        <v>540</v>
      </c>
      <c r="W318" s="5">
        <v>1.0</v>
      </c>
      <c r="X318" s="5">
        <v>0.0</v>
      </c>
      <c r="Y318" s="5" t="s">
        <v>116</v>
      </c>
      <c r="Z318" s="24">
        <v>0.0</v>
      </c>
      <c r="AA318" s="37"/>
      <c r="AB318" s="37"/>
      <c r="AC318" s="16" t="s">
        <v>1627</v>
      </c>
      <c r="AD318" s="26">
        <v>4.1</v>
      </c>
      <c r="AE318" s="26">
        <v>1.4</v>
      </c>
      <c r="AF318" s="26">
        <f t="shared" si="3"/>
        <v>2.7</v>
      </c>
      <c r="AG318" s="16" t="str">
        <f t="shared" si="4"/>
        <v>No</v>
      </c>
      <c r="AH318" s="15" t="str">
        <f t="shared" si="5"/>
        <v>Verify</v>
      </c>
      <c r="AI318" s="32">
        <v>4.6</v>
      </c>
      <c r="AJ318" s="16" t="s">
        <v>230</v>
      </c>
      <c r="AK318" s="15"/>
      <c r="AL318" s="15"/>
      <c r="AM318" s="15"/>
      <c r="AN318" s="9"/>
      <c r="AO318" s="9">
        <f t="shared" si="31"/>
        <v>3.3</v>
      </c>
      <c r="AP318" s="9" t="str">
        <f t="shared" si="32"/>
        <v/>
      </c>
      <c r="AQ318" s="9" t="str">
        <f t="shared" si="33"/>
        <v/>
      </c>
      <c r="AR318" s="9" t="str">
        <f t="shared" si="34"/>
        <v/>
      </c>
      <c r="AS318" s="16" t="s">
        <v>302</v>
      </c>
      <c r="AT318" s="15"/>
      <c r="AU318" s="15"/>
    </row>
    <row r="319" ht="15.75" customHeight="1">
      <c r="A319" s="15" t="str">
        <f t="shared" si="1"/>
        <v/>
      </c>
      <c r="B319" s="15" t="str">
        <f t="shared" si="30"/>
        <v/>
      </c>
      <c r="C319" s="15"/>
      <c r="D319" s="16" t="s">
        <v>141</v>
      </c>
      <c r="E319" s="15"/>
      <c r="F319" s="79" t="s">
        <v>2469</v>
      </c>
      <c r="G319" s="11" t="s">
        <v>2470</v>
      </c>
      <c r="H319" s="46" t="s">
        <v>1862</v>
      </c>
      <c r="I319" s="13" t="s">
        <v>585</v>
      </c>
      <c r="J319" s="17" t="s">
        <v>715</v>
      </c>
      <c r="K319" s="18">
        <v>7.0</v>
      </c>
      <c r="L319" s="18">
        <v>9.0</v>
      </c>
      <c r="M319" s="18">
        <v>58.6</v>
      </c>
      <c r="N319" s="78"/>
      <c r="O319" s="20">
        <v>4.0</v>
      </c>
      <c r="P319" s="80"/>
      <c r="Q319" s="5">
        <v>0.0</v>
      </c>
      <c r="R319" s="22">
        <v>43750.0</v>
      </c>
      <c r="S319" s="5">
        <v>38.22197285</v>
      </c>
      <c r="T319" s="5">
        <v>-81.95723755</v>
      </c>
      <c r="U319" s="1">
        <v>2.0</v>
      </c>
      <c r="V319" s="5" t="s">
        <v>180</v>
      </c>
      <c r="W319" s="5">
        <v>0.0</v>
      </c>
      <c r="X319" s="5">
        <v>0.0</v>
      </c>
      <c r="Y319" s="5" t="s">
        <v>116</v>
      </c>
      <c r="Z319" s="24">
        <v>0.0</v>
      </c>
      <c r="AA319" s="37"/>
      <c r="AB319" s="37"/>
      <c r="AC319" s="16" t="s">
        <v>1687</v>
      </c>
      <c r="AD319" s="26">
        <v>6.42</v>
      </c>
      <c r="AE319" s="26">
        <v>1.1</v>
      </c>
      <c r="AF319" s="26">
        <f t="shared" si="3"/>
        <v>5.32</v>
      </c>
      <c r="AG319" s="16" t="str">
        <f t="shared" si="4"/>
        <v>No</v>
      </c>
      <c r="AH319" s="15" t="str">
        <f t="shared" si="5"/>
        <v>Verify</v>
      </c>
      <c r="AI319" s="32">
        <v>8.4</v>
      </c>
      <c r="AJ319" s="16" t="s">
        <v>230</v>
      </c>
      <c r="AK319" s="15"/>
      <c r="AL319" s="15"/>
      <c r="AM319" s="15"/>
      <c r="AN319" s="9"/>
      <c r="AO319" s="9">
        <f t="shared" si="31"/>
        <v>1.3</v>
      </c>
      <c r="AP319" s="9" t="str">
        <f t="shared" si="32"/>
        <v/>
      </c>
      <c r="AQ319" s="9" t="str">
        <f t="shared" si="33"/>
        <v/>
      </c>
      <c r="AR319" s="9" t="str">
        <f t="shared" si="34"/>
        <v/>
      </c>
      <c r="AS319" s="16" t="s">
        <v>302</v>
      </c>
      <c r="AT319" s="15"/>
      <c r="AU319" s="15"/>
    </row>
    <row r="320" ht="15.75" customHeight="1">
      <c r="A320" s="15" t="str">
        <f t="shared" si="1"/>
        <v/>
      </c>
      <c r="B320" s="15"/>
      <c r="C320" s="15"/>
      <c r="D320" s="15"/>
      <c r="E320" s="15"/>
      <c r="F320" s="43"/>
      <c r="G320" s="15"/>
      <c r="H320" s="43"/>
      <c r="I320" s="15"/>
      <c r="J320" s="15"/>
      <c r="K320" s="78"/>
      <c r="L320" s="78"/>
      <c r="M320" s="78"/>
      <c r="N320" s="78"/>
      <c r="O320" s="78"/>
      <c r="P320" s="80"/>
      <c r="Q320" s="81"/>
      <c r="R320" s="82"/>
      <c r="S320" s="15"/>
      <c r="T320" s="15"/>
      <c r="U320" s="83"/>
      <c r="V320" s="81"/>
      <c r="W320" s="83"/>
      <c r="X320" s="81"/>
      <c r="Y320" s="83"/>
      <c r="Z320" s="81"/>
      <c r="AA320" s="37"/>
      <c r="AB320" s="37"/>
      <c r="AC320" s="15"/>
      <c r="AD320" s="9"/>
      <c r="AE320" s="38"/>
      <c r="AF320" s="38"/>
      <c r="AG320" s="15"/>
      <c r="AH320" s="15"/>
      <c r="AI320" s="15"/>
      <c r="AJ320" s="16"/>
      <c r="AK320" s="15"/>
      <c r="AL320" s="15"/>
      <c r="AM320" s="15"/>
      <c r="AN320" s="9"/>
      <c r="AO320" s="9" t="str">
        <f t="shared" si="31"/>
        <v/>
      </c>
      <c r="AP320" s="9" t="str">
        <f t="shared" si="32"/>
        <v/>
      </c>
      <c r="AQ320" s="9" t="str">
        <f t="shared" ref="AQ320:AQ343" si="35">IF(K320="","",ROUND((K320/MAX($K$2:$K$319))*100,1))</f>
        <v/>
      </c>
      <c r="AR320" s="9" t="str">
        <f t="shared" si="34"/>
        <v/>
      </c>
      <c r="AS320" s="15"/>
      <c r="AT320" s="15"/>
      <c r="AU320" s="15"/>
    </row>
    <row r="321" ht="15.75" customHeight="1">
      <c r="A321" s="15" t="str">
        <f t="shared" si="1"/>
        <v/>
      </c>
      <c r="B321" s="15"/>
      <c r="C321" s="15"/>
      <c r="D321" s="15"/>
      <c r="E321" s="15"/>
      <c r="F321" s="43"/>
      <c r="G321" s="15"/>
      <c r="H321" s="43"/>
      <c r="I321" s="15"/>
      <c r="J321" s="15"/>
      <c r="K321" s="78"/>
      <c r="L321" s="78"/>
      <c r="M321" s="78"/>
      <c r="N321" s="78"/>
      <c r="O321" s="78"/>
      <c r="P321" s="80"/>
      <c r="Q321" s="81"/>
      <c r="R321" s="82"/>
      <c r="S321" s="15"/>
      <c r="T321" s="15"/>
      <c r="U321" s="83"/>
      <c r="V321" s="81"/>
      <c r="W321" s="83"/>
      <c r="X321" s="81"/>
      <c r="Y321" s="83"/>
      <c r="Z321" s="81"/>
      <c r="AA321" s="37"/>
      <c r="AB321" s="37"/>
      <c r="AC321" s="15"/>
      <c r="AD321" s="9"/>
      <c r="AE321" s="38"/>
      <c r="AF321" s="38"/>
      <c r="AG321" s="15"/>
      <c r="AH321" s="15"/>
      <c r="AI321" s="15"/>
      <c r="AJ321" s="16"/>
      <c r="AK321" s="15"/>
      <c r="AL321" s="15"/>
      <c r="AM321" s="15"/>
      <c r="AN321" s="9"/>
      <c r="AO321" s="9" t="str">
        <f t="shared" si="31"/>
        <v/>
      </c>
      <c r="AP321" s="9" t="str">
        <f t="shared" si="32"/>
        <v/>
      </c>
      <c r="AQ321" s="9" t="str">
        <f t="shared" si="35"/>
        <v/>
      </c>
      <c r="AR321" s="9" t="str">
        <f t="shared" si="34"/>
        <v/>
      </c>
      <c r="AS321" s="15"/>
      <c r="AT321" s="15"/>
      <c r="AU321" s="15"/>
    </row>
    <row r="322" ht="15.75" customHeight="1">
      <c r="A322" s="15" t="str">
        <f t="shared" si="1"/>
        <v/>
      </c>
      <c r="B322" s="15"/>
      <c r="C322" s="15"/>
      <c r="D322" s="15"/>
      <c r="E322" s="15"/>
      <c r="F322" s="43"/>
      <c r="G322" s="15"/>
      <c r="H322" s="43"/>
      <c r="I322" s="15"/>
      <c r="J322" s="15"/>
      <c r="K322" s="78"/>
      <c r="L322" s="78"/>
      <c r="M322" s="78"/>
      <c r="N322" s="78"/>
      <c r="O322" s="78"/>
      <c r="P322" s="80"/>
      <c r="Q322" s="81"/>
      <c r="R322" s="82"/>
      <c r="S322" s="15"/>
      <c r="T322" s="15"/>
      <c r="U322" s="83"/>
      <c r="V322" s="81"/>
      <c r="W322" s="83"/>
      <c r="X322" s="81"/>
      <c r="Y322" s="83"/>
      <c r="Z322" s="81"/>
      <c r="AA322" s="37"/>
      <c r="AB322" s="37"/>
      <c r="AC322" s="15"/>
      <c r="AD322" s="9"/>
      <c r="AE322" s="38"/>
      <c r="AF322" s="38"/>
      <c r="AG322" s="15"/>
      <c r="AH322" s="15"/>
      <c r="AI322" s="15"/>
      <c r="AJ322" s="16"/>
      <c r="AK322" s="15"/>
      <c r="AL322" s="15"/>
      <c r="AM322" s="15"/>
      <c r="AN322" s="9"/>
      <c r="AO322" s="9" t="str">
        <f t="shared" si="31"/>
        <v/>
      </c>
      <c r="AP322" s="9" t="str">
        <f t="shared" si="32"/>
        <v/>
      </c>
      <c r="AQ322" s="9" t="str">
        <f t="shared" si="35"/>
        <v/>
      </c>
      <c r="AR322" s="9" t="str">
        <f t="shared" si="34"/>
        <v/>
      </c>
      <c r="AS322" s="15"/>
      <c r="AT322" s="15"/>
      <c r="AU322" s="15"/>
    </row>
    <row r="323" ht="15.75" customHeight="1">
      <c r="A323" s="15" t="str">
        <f t="shared" si="1"/>
        <v/>
      </c>
      <c r="B323" s="15"/>
      <c r="C323" s="15"/>
      <c r="D323" s="15"/>
      <c r="E323" s="15"/>
      <c r="F323" s="43"/>
      <c r="G323" s="15"/>
      <c r="H323" s="43"/>
      <c r="I323" s="15"/>
      <c r="J323" s="15"/>
      <c r="K323" s="78"/>
      <c r="L323" s="78"/>
      <c r="M323" s="78"/>
      <c r="N323" s="78"/>
      <c r="O323" s="78"/>
      <c r="P323" s="80"/>
      <c r="Q323" s="81"/>
      <c r="R323" s="82"/>
      <c r="S323" s="15"/>
      <c r="T323" s="15"/>
      <c r="U323" s="83"/>
      <c r="V323" s="81"/>
      <c r="W323" s="83"/>
      <c r="X323" s="81"/>
      <c r="Y323" s="83"/>
      <c r="Z323" s="81"/>
      <c r="AA323" s="37"/>
      <c r="AB323" s="37"/>
      <c r="AC323" s="15"/>
      <c r="AD323" s="9"/>
      <c r="AE323" s="38"/>
      <c r="AF323" s="38"/>
      <c r="AG323" s="15"/>
      <c r="AH323" s="15"/>
      <c r="AI323" s="15"/>
      <c r="AJ323" s="16"/>
      <c r="AK323" s="15"/>
      <c r="AL323" s="15"/>
      <c r="AM323" s="15"/>
      <c r="AN323" s="9"/>
      <c r="AO323" s="9" t="str">
        <f t="shared" si="31"/>
        <v/>
      </c>
      <c r="AP323" s="9" t="str">
        <f t="shared" si="32"/>
        <v/>
      </c>
      <c r="AQ323" s="9" t="str">
        <f t="shared" si="35"/>
        <v/>
      </c>
      <c r="AR323" s="9" t="str">
        <f t="shared" si="34"/>
        <v/>
      </c>
      <c r="AS323" s="15"/>
      <c r="AT323" s="15"/>
      <c r="AU323" s="15"/>
    </row>
    <row r="324" ht="15.75" customHeight="1">
      <c r="A324" s="15" t="str">
        <f t="shared" si="1"/>
        <v/>
      </c>
      <c r="B324" s="15"/>
      <c r="C324" s="15"/>
      <c r="D324" s="15"/>
      <c r="E324" s="15"/>
      <c r="F324" s="43"/>
      <c r="G324" s="15"/>
      <c r="H324" s="43"/>
      <c r="I324" s="15"/>
      <c r="J324" s="15"/>
      <c r="K324" s="78"/>
      <c r="L324" s="78"/>
      <c r="M324" s="78"/>
      <c r="N324" s="78"/>
      <c r="O324" s="78"/>
      <c r="P324" s="80"/>
      <c r="Q324" s="81"/>
      <c r="R324" s="82"/>
      <c r="S324" s="15"/>
      <c r="T324" s="15"/>
      <c r="U324" s="83"/>
      <c r="V324" s="81"/>
      <c r="W324" s="83"/>
      <c r="X324" s="81"/>
      <c r="Y324" s="83"/>
      <c r="Z324" s="81"/>
      <c r="AA324" s="37"/>
      <c r="AB324" s="37"/>
      <c r="AC324" s="15"/>
      <c r="AD324" s="9"/>
      <c r="AE324" s="38"/>
      <c r="AF324" s="38"/>
      <c r="AG324" s="15"/>
      <c r="AH324" s="15"/>
      <c r="AI324" s="15"/>
      <c r="AJ324" s="16"/>
      <c r="AK324" s="15"/>
      <c r="AL324" s="15"/>
      <c r="AM324" s="15"/>
      <c r="AN324" s="9"/>
      <c r="AO324" s="9" t="str">
        <f t="shared" si="31"/>
        <v/>
      </c>
      <c r="AP324" s="9" t="str">
        <f t="shared" si="32"/>
        <v/>
      </c>
      <c r="AQ324" s="9" t="str">
        <f t="shared" si="35"/>
        <v/>
      </c>
      <c r="AR324" s="9" t="str">
        <f t="shared" si="34"/>
        <v/>
      </c>
      <c r="AS324" s="15"/>
      <c r="AT324" s="15"/>
      <c r="AU324" s="15"/>
    </row>
    <row r="325" ht="15.75" customHeight="1">
      <c r="A325" s="15" t="str">
        <f t="shared" si="1"/>
        <v/>
      </c>
      <c r="B325" s="15"/>
      <c r="C325" s="15"/>
      <c r="D325" s="15"/>
      <c r="E325" s="15"/>
      <c r="F325" s="43"/>
      <c r="G325" s="15"/>
      <c r="H325" s="43"/>
      <c r="I325" s="15"/>
      <c r="J325" s="15"/>
      <c r="K325" s="78"/>
      <c r="L325" s="78"/>
      <c r="M325" s="78"/>
      <c r="N325" s="78"/>
      <c r="O325" s="78"/>
      <c r="P325" s="80"/>
      <c r="Q325" s="81"/>
      <c r="R325" s="82"/>
      <c r="S325" s="15"/>
      <c r="T325" s="15"/>
      <c r="U325" s="83"/>
      <c r="V325" s="81"/>
      <c r="W325" s="83"/>
      <c r="X325" s="81"/>
      <c r="Y325" s="83"/>
      <c r="Z325" s="81"/>
      <c r="AA325" s="37"/>
      <c r="AB325" s="37"/>
      <c r="AC325" s="15"/>
      <c r="AD325" s="9"/>
      <c r="AE325" s="38"/>
      <c r="AF325" s="38"/>
      <c r="AG325" s="15"/>
      <c r="AH325" s="15"/>
      <c r="AI325" s="15"/>
      <c r="AJ325" s="16"/>
      <c r="AK325" s="15"/>
      <c r="AL325" s="15"/>
      <c r="AM325" s="15"/>
      <c r="AN325" s="9"/>
      <c r="AO325" s="9" t="str">
        <f t="shared" si="31"/>
        <v/>
      </c>
      <c r="AP325" s="9" t="str">
        <f t="shared" si="32"/>
        <v/>
      </c>
      <c r="AQ325" s="9" t="str">
        <f t="shared" si="35"/>
        <v/>
      </c>
      <c r="AR325" s="9" t="str">
        <f t="shared" si="34"/>
        <v/>
      </c>
      <c r="AS325" s="15"/>
      <c r="AT325" s="15"/>
      <c r="AU325" s="15"/>
    </row>
    <row r="326" ht="15.75" customHeight="1">
      <c r="A326" s="15" t="str">
        <f t="shared" si="1"/>
        <v/>
      </c>
      <c r="B326" s="15"/>
      <c r="C326" s="15"/>
      <c r="D326" s="15"/>
      <c r="E326" s="15"/>
      <c r="F326" s="43"/>
      <c r="G326" s="15"/>
      <c r="H326" s="43"/>
      <c r="I326" s="15"/>
      <c r="J326" s="15"/>
      <c r="K326" s="78"/>
      <c r="L326" s="78"/>
      <c r="M326" s="78"/>
      <c r="N326" s="78"/>
      <c r="O326" s="78"/>
      <c r="P326" s="80"/>
      <c r="Q326" s="81"/>
      <c r="R326" s="82"/>
      <c r="S326" s="15"/>
      <c r="T326" s="15"/>
      <c r="U326" s="83"/>
      <c r="V326" s="81"/>
      <c r="W326" s="83"/>
      <c r="X326" s="81"/>
      <c r="Y326" s="83"/>
      <c r="Z326" s="81"/>
      <c r="AA326" s="37"/>
      <c r="AB326" s="37"/>
      <c r="AC326" s="15"/>
      <c r="AD326" s="9"/>
      <c r="AE326" s="38"/>
      <c r="AF326" s="38"/>
      <c r="AG326" s="15"/>
      <c r="AH326" s="15"/>
      <c r="AI326" s="15"/>
      <c r="AJ326" s="16"/>
      <c r="AK326" s="15"/>
      <c r="AL326" s="15"/>
      <c r="AM326" s="15"/>
      <c r="AN326" s="9"/>
      <c r="AO326" s="9" t="str">
        <f t="shared" si="31"/>
        <v/>
      </c>
      <c r="AP326" s="9" t="str">
        <f t="shared" si="32"/>
        <v/>
      </c>
      <c r="AQ326" s="9" t="str">
        <f t="shared" si="35"/>
        <v/>
      </c>
      <c r="AR326" s="9" t="str">
        <f t="shared" si="34"/>
        <v/>
      </c>
      <c r="AS326" s="15"/>
      <c r="AT326" s="15"/>
      <c r="AU326" s="15"/>
    </row>
    <row r="327" ht="15.75" customHeight="1">
      <c r="A327" s="15" t="str">
        <f t="shared" si="1"/>
        <v/>
      </c>
      <c r="B327" s="15"/>
      <c r="C327" s="15"/>
      <c r="D327" s="15"/>
      <c r="E327" s="15"/>
      <c r="F327" s="43"/>
      <c r="G327" s="15"/>
      <c r="H327" s="43"/>
      <c r="I327" s="15"/>
      <c r="J327" s="15"/>
      <c r="K327" s="78"/>
      <c r="L327" s="78"/>
      <c r="M327" s="78"/>
      <c r="N327" s="78"/>
      <c r="O327" s="78"/>
      <c r="P327" s="80"/>
      <c r="Q327" s="81"/>
      <c r="R327" s="82"/>
      <c r="S327" s="15"/>
      <c r="T327" s="15"/>
      <c r="U327" s="83"/>
      <c r="V327" s="81"/>
      <c r="W327" s="83"/>
      <c r="X327" s="81"/>
      <c r="Y327" s="83"/>
      <c r="Z327" s="81"/>
      <c r="AA327" s="37"/>
      <c r="AB327" s="37"/>
      <c r="AC327" s="15"/>
      <c r="AD327" s="9"/>
      <c r="AE327" s="38"/>
      <c r="AF327" s="38"/>
      <c r="AG327" s="15"/>
      <c r="AH327" s="15"/>
      <c r="AI327" s="15"/>
      <c r="AJ327" s="16"/>
      <c r="AK327" s="15"/>
      <c r="AL327" s="15"/>
      <c r="AM327" s="15"/>
      <c r="AN327" s="9"/>
      <c r="AO327" s="9" t="str">
        <f t="shared" si="31"/>
        <v/>
      </c>
      <c r="AP327" s="9" t="str">
        <f t="shared" si="32"/>
        <v/>
      </c>
      <c r="AQ327" s="9" t="str">
        <f t="shared" si="35"/>
        <v/>
      </c>
      <c r="AR327" s="9" t="str">
        <f t="shared" si="34"/>
        <v/>
      </c>
      <c r="AS327" s="15"/>
      <c r="AT327" s="15"/>
      <c r="AU327" s="15"/>
    </row>
    <row r="328" ht="15.75" customHeight="1">
      <c r="A328" s="15" t="str">
        <f t="shared" si="1"/>
        <v/>
      </c>
      <c r="B328" s="15"/>
      <c r="C328" s="15"/>
      <c r="D328" s="15"/>
      <c r="E328" s="15"/>
      <c r="F328" s="43"/>
      <c r="G328" s="15"/>
      <c r="H328" s="43"/>
      <c r="I328" s="15"/>
      <c r="J328" s="15"/>
      <c r="K328" s="78"/>
      <c r="L328" s="78"/>
      <c r="M328" s="78"/>
      <c r="N328" s="78"/>
      <c r="O328" s="78"/>
      <c r="P328" s="80"/>
      <c r="Q328" s="81"/>
      <c r="R328" s="82"/>
      <c r="S328" s="15"/>
      <c r="T328" s="15"/>
      <c r="U328" s="83"/>
      <c r="V328" s="81"/>
      <c r="W328" s="83"/>
      <c r="X328" s="81"/>
      <c r="Y328" s="83"/>
      <c r="Z328" s="81"/>
      <c r="AA328" s="37"/>
      <c r="AB328" s="37"/>
      <c r="AC328" s="15"/>
      <c r="AD328" s="9"/>
      <c r="AE328" s="38"/>
      <c r="AF328" s="38"/>
      <c r="AG328" s="15"/>
      <c r="AH328" s="15"/>
      <c r="AI328" s="15"/>
      <c r="AJ328" s="16"/>
      <c r="AK328" s="15"/>
      <c r="AL328" s="15"/>
      <c r="AM328" s="15"/>
      <c r="AN328" s="9"/>
      <c r="AO328" s="9" t="str">
        <f t="shared" si="31"/>
        <v/>
      </c>
      <c r="AP328" s="9" t="str">
        <f t="shared" si="32"/>
        <v/>
      </c>
      <c r="AQ328" s="9" t="str">
        <f t="shared" si="35"/>
        <v/>
      </c>
      <c r="AR328" s="9" t="str">
        <f t="shared" si="34"/>
        <v/>
      </c>
      <c r="AS328" s="15"/>
      <c r="AT328" s="15"/>
      <c r="AU328" s="15"/>
    </row>
    <row r="329" ht="15.75" customHeight="1">
      <c r="A329" s="15" t="str">
        <f t="shared" si="1"/>
        <v/>
      </c>
      <c r="B329" s="15"/>
      <c r="C329" s="15"/>
      <c r="D329" s="15"/>
      <c r="E329" s="15"/>
      <c r="F329" s="43"/>
      <c r="G329" s="15"/>
      <c r="H329" s="43"/>
      <c r="I329" s="15"/>
      <c r="J329" s="15"/>
      <c r="K329" s="78"/>
      <c r="L329" s="78"/>
      <c r="M329" s="78"/>
      <c r="N329" s="78"/>
      <c r="O329" s="78"/>
      <c r="P329" s="80"/>
      <c r="Q329" s="81"/>
      <c r="R329" s="82"/>
      <c r="S329" s="15"/>
      <c r="T329" s="15"/>
      <c r="U329" s="83"/>
      <c r="V329" s="81"/>
      <c r="W329" s="83"/>
      <c r="X329" s="81"/>
      <c r="Y329" s="83"/>
      <c r="Z329" s="81"/>
      <c r="AA329" s="37"/>
      <c r="AB329" s="37"/>
      <c r="AC329" s="15"/>
      <c r="AD329" s="9"/>
      <c r="AE329" s="38"/>
      <c r="AF329" s="38"/>
      <c r="AG329" s="15"/>
      <c r="AH329" s="15"/>
      <c r="AI329" s="15"/>
      <c r="AJ329" s="16"/>
      <c r="AK329" s="15"/>
      <c r="AL329" s="15"/>
      <c r="AM329" s="15"/>
      <c r="AN329" s="9"/>
      <c r="AO329" s="9" t="str">
        <f t="shared" si="31"/>
        <v/>
      </c>
      <c r="AP329" s="9" t="str">
        <f t="shared" si="32"/>
        <v/>
      </c>
      <c r="AQ329" s="9" t="str">
        <f t="shared" si="35"/>
        <v/>
      </c>
      <c r="AR329" s="9" t="str">
        <f t="shared" si="34"/>
        <v/>
      </c>
      <c r="AS329" s="15"/>
      <c r="AT329" s="15"/>
      <c r="AU329" s="15"/>
    </row>
    <row r="330" ht="15.75" customHeight="1">
      <c r="A330" s="15" t="str">
        <f t="shared" si="1"/>
        <v/>
      </c>
      <c r="B330" s="15"/>
      <c r="C330" s="15"/>
      <c r="D330" s="15"/>
      <c r="E330" s="15"/>
      <c r="F330" s="43"/>
      <c r="G330" s="15"/>
      <c r="H330" s="43"/>
      <c r="I330" s="15"/>
      <c r="J330" s="15"/>
      <c r="K330" s="78"/>
      <c r="L330" s="78"/>
      <c r="M330" s="78"/>
      <c r="N330" s="78"/>
      <c r="O330" s="78"/>
      <c r="P330" s="80"/>
      <c r="Q330" s="81"/>
      <c r="R330" s="82"/>
      <c r="S330" s="15"/>
      <c r="T330" s="15"/>
      <c r="U330" s="83"/>
      <c r="V330" s="81"/>
      <c r="W330" s="83"/>
      <c r="X330" s="81"/>
      <c r="Y330" s="83"/>
      <c r="Z330" s="81"/>
      <c r="AA330" s="37"/>
      <c r="AB330" s="37"/>
      <c r="AC330" s="15"/>
      <c r="AD330" s="9"/>
      <c r="AE330" s="38"/>
      <c r="AF330" s="38"/>
      <c r="AG330" s="15"/>
      <c r="AH330" s="15"/>
      <c r="AI330" s="15"/>
      <c r="AJ330" s="16"/>
      <c r="AK330" s="15"/>
      <c r="AL330" s="15"/>
      <c r="AM330" s="15"/>
      <c r="AN330" s="9"/>
      <c r="AO330" s="9" t="str">
        <f t="shared" si="31"/>
        <v/>
      </c>
      <c r="AP330" s="9" t="str">
        <f t="shared" si="32"/>
        <v/>
      </c>
      <c r="AQ330" s="9" t="str">
        <f t="shared" si="35"/>
        <v/>
      </c>
      <c r="AR330" s="9" t="str">
        <f t="shared" si="34"/>
        <v/>
      </c>
      <c r="AS330" s="15"/>
      <c r="AT330" s="15"/>
      <c r="AU330" s="15"/>
    </row>
    <row r="331" ht="15.75" customHeight="1">
      <c r="A331" s="15" t="str">
        <f t="shared" si="1"/>
        <v/>
      </c>
      <c r="B331" s="15"/>
      <c r="C331" s="15"/>
      <c r="D331" s="15"/>
      <c r="E331" s="15"/>
      <c r="F331" s="43"/>
      <c r="G331" s="15"/>
      <c r="H331" s="43"/>
      <c r="I331" s="15"/>
      <c r="J331" s="15"/>
      <c r="K331" s="78"/>
      <c r="L331" s="78"/>
      <c r="M331" s="78"/>
      <c r="N331" s="78"/>
      <c r="O331" s="78"/>
      <c r="P331" s="80"/>
      <c r="Q331" s="81"/>
      <c r="R331" s="82"/>
      <c r="S331" s="15"/>
      <c r="T331" s="15"/>
      <c r="U331" s="83"/>
      <c r="V331" s="81"/>
      <c r="W331" s="83"/>
      <c r="X331" s="81"/>
      <c r="Y331" s="83"/>
      <c r="Z331" s="81"/>
      <c r="AA331" s="37"/>
      <c r="AB331" s="37"/>
      <c r="AC331" s="15"/>
      <c r="AD331" s="9"/>
      <c r="AE331" s="38"/>
      <c r="AF331" s="38" t="str">
        <f t="shared" ref="AF331:AF598" si="36">IF(OR(AD331="",AE331=""),"",MAX(0,AD331-AE331))</f>
        <v/>
      </c>
      <c r="AG331" s="15"/>
      <c r="AH331" s="15"/>
      <c r="AI331" s="15"/>
      <c r="AJ331" s="16"/>
      <c r="AK331" s="15"/>
      <c r="AL331" s="15"/>
      <c r="AM331" s="15"/>
      <c r="AN331" s="9"/>
      <c r="AO331" s="9" t="str">
        <f t="shared" si="31"/>
        <v/>
      </c>
      <c r="AP331" s="9" t="str">
        <f t="shared" si="32"/>
        <v/>
      </c>
      <c r="AQ331" s="9" t="str">
        <f t="shared" si="35"/>
        <v/>
      </c>
      <c r="AR331" s="9" t="str">
        <f t="shared" si="34"/>
        <v/>
      </c>
      <c r="AS331" s="15"/>
      <c r="AT331" s="15"/>
      <c r="AU331" s="15"/>
    </row>
    <row r="332" ht="15.75" customHeight="1">
      <c r="A332" s="15" t="str">
        <f t="shared" si="1"/>
        <v/>
      </c>
      <c r="B332" s="15"/>
      <c r="C332" s="15"/>
      <c r="D332" s="15"/>
      <c r="E332" s="15"/>
      <c r="F332" s="43"/>
      <c r="G332" s="15"/>
      <c r="H332" s="43"/>
      <c r="I332" s="15"/>
      <c r="J332" s="15"/>
      <c r="K332" s="78"/>
      <c r="L332" s="78"/>
      <c r="M332" s="78"/>
      <c r="N332" s="78"/>
      <c r="O332" s="78"/>
      <c r="P332" s="80"/>
      <c r="Q332" s="81"/>
      <c r="R332" s="82"/>
      <c r="S332" s="15"/>
      <c r="T332" s="15"/>
      <c r="U332" s="83"/>
      <c r="V332" s="81"/>
      <c r="W332" s="83"/>
      <c r="X332" s="81"/>
      <c r="Y332" s="83"/>
      <c r="Z332" s="81"/>
      <c r="AA332" s="37"/>
      <c r="AB332" s="37"/>
      <c r="AC332" s="15"/>
      <c r="AD332" s="9"/>
      <c r="AE332" s="38"/>
      <c r="AF332" s="38" t="str">
        <f t="shared" si="36"/>
        <v/>
      </c>
      <c r="AG332" s="15"/>
      <c r="AH332" s="15"/>
      <c r="AI332" s="15"/>
      <c r="AJ332" s="16"/>
      <c r="AK332" s="15"/>
      <c r="AL332" s="15"/>
      <c r="AM332" s="15"/>
      <c r="AN332" s="9"/>
      <c r="AO332" s="9" t="str">
        <f t="shared" si="31"/>
        <v/>
      </c>
      <c r="AP332" s="9" t="str">
        <f t="shared" si="32"/>
        <v/>
      </c>
      <c r="AQ332" s="9" t="str">
        <f t="shared" si="35"/>
        <v/>
      </c>
      <c r="AR332" s="9" t="str">
        <f t="shared" si="34"/>
        <v/>
      </c>
      <c r="AS332" s="15"/>
      <c r="AT332" s="15"/>
      <c r="AU332" s="15"/>
    </row>
    <row r="333" ht="15.75" customHeight="1">
      <c r="A333" s="15" t="str">
        <f t="shared" si="1"/>
        <v/>
      </c>
      <c r="B333" s="15"/>
      <c r="C333" s="15"/>
      <c r="D333" s="15"/>
      <c r="E333" s="15"/>
      <c r="F333" s="43"/>
      <c r="G333" s="15"/>
      <c r="H333" s="43"/>
      <c r="I333" s="15"/>
      <c r="J333" s="15"/>
      <c r="K333" s="78"/>
      <c r="L333" s="78"/>
      <c r="M333" s="78"/>
      <c r="N333" s="78"/>
      <c r="O333" s="78"/>
      <c r="P333" s="80"/>
      <c r="Q333" s="81"/>
      <c r="R333" s="82"/>
      <c r="S333" s="15"/>
      <c r="T333" s="15"/>
      <c r="U333" s="83"/>
      <c r="V333" s="81"/>
      <c r="W333" s="83"/>
      <c r="X333" s="81"/>
      <c r="Y333" s="83"/>
      <c r="Z333" s="81"/>
      <c r="AA333" s="37"/>
      <c r="AB333" s="37"/>
      <c r="AC333" s="15"/>
      <c r="AD333" s="9"/>
      <c r="AE333" s="38"/>
      <c r="AF333" s="38" t="str">
        <f t="shared" si="36"/>
        <v/>
      </c>
      <c r="AG333" s="15"/>
      <c r="AH333" s="15"/>
      <c r="AI333" s="15"/>
      <c r="AJ333" s="16"/>
      <c r="AK333" s="15"/>
      <c r="AL333" s="15"/>
      <c r="AM333" s="15"/>
      <c r="AN333" s="9"/>
      <c r="AO333" s="9" t="str">
        <f t="shared" si="31"/>
        <v/>
      </c>
      <c r="AP333" s="9" t="str">
        <f t="shared" si="32"/>
        <v/>
      </c>
      <c r="AQ333" s="9" t="str">
        <f t="shared" si="35"/>
        <v/>
      </c>
      <c r="AR333" s="9" t="str">
        <f t="shared" si="34"/>
        <v/>
      </c>
      <c r="AS333" s="15"/>
      <c r="AT333" s="15"/>
      <c r="AU333" s="15"/>
    </row>
    <row r="334" ht="15.75" customHeight="1">
      <c r="A334" s="15" t="str">
        <f t="shared" si="1"/>
        <v/>
      </c>
      <c r="B334" s="15"/>
      <c r="C334" s="15"/>
      <c r="D334" s="15"/>
      <c r="E334" s="15"/>
      <c r="F334" s="43"/>
      <c r="G334" s="15"/>
      <c r="H334" s="43"/>
      <c r="I334" s="15"/>
      <c r="J334" s="15"/>
      <c r="K334" s="78"/>
      <c r="L334" s="78"/>
      <c r="M334" s="78"/>
      <c r="N334" s="78"/>
      <c r="O334" s="78"/>
      <c r="P334" s="80"/>
      <c r="Q334" s="81"/>
      <c r="R334" s="82"/>
      <c r="S334" s="15"/>
      <c r="T334" s="15"/>
      <c r="U334" s="83"/>
      <c r="V334" s="81"/>
      <c r="W334" s="83"/>
      <c r="X334" s="81"/>
      <c r="Y334" s="83"/>
      <c r="Z334" s="81"/>
      <c r="AA334" s="37"/>
      <c r="AB334" s="37"/>
      <c r="AC334" s="15"/>
      <c r="AD334" s="9"/>
      <c r="AE334" s="38"/>
      <c r="AF334" s="38" t="str">
        <f t="shared" si="36"/>
        <v/>
      </c>
      <c r="AG334" s="15"/>
      <c r="AH334" s="15"/>
      <c r="AI334" s="15"/>
      <c r="AJ334" s="16"/>
      <c r="AK334" s="15"/>
      <c r="AL334" s="15"/>
      <c r="AM334" s="15"/>
      <c r="AN334" s="9"/>
      <c r="AO334" s="9" t="str">
        <f t="shared" si="31"/>
        <v/>
      </c>
      <c r="AP334" s="9" t="str">
        <f t="shared" si="32"/>
        <v/>
      </c>
      <c r="AQ334" s="9" t="str">
        <f t="shared" si="35"/>
        <v/>
      </c>
      <c r="AR334" s="9" t="str">
        <f t="shared" si="34"/>
        <v/>
      </c>
      <c r="AS334" s="15"/>
      <c r="AT334" s="15"/>
      <c r="AU334" s="15"/>
    </row>
    <row r="335" ht="15.75" customHeight="1">
      <c r="A335" s="15" t="str">
        <f t="shared" si="1"/>
        <v/>
      </c>
      <c r="B335" s="15"/>
      <c r="C335" s="15"/>
      <c r="D335" s="15"/>
      <c r="E335" s="15"/>
      <c r="F335" s="43"/>
      <c r="G335" s="15"/>
      <c r="H335" s="43"/>
      <c r="I335" s="15"/>
      <c r="J335" s="15"/>
      <c r="K335" s="78"/>
      <c r="L335" s="78"/>
      <c r="M335" s="78"/>
      <c r="N335" s="78"/>
      <c r="O335" s="78"/>
      <c r="P335" s="80"/>
      <c r="Q335" s="81"/>
      <c r="R335" s="82"/>
      <c r="S335" s="15"/>
      <c r="T335" s="15"/>
      <c r="U335" s="83"/>
      <c r="V335" s="81"/>
      <c r="W335" s="83"/>
      <c r="X335" s="81"/>
      <c r="Y335" s="83"/>
      <c r="Z335" s="81"/>
      <c r="AA335" s="37"/>
      <c r="AB335" s="37"/>
      <c r="AC335" s="15"/>
      <c r="AD335" s="9"/>
      <c r="AE335" s="38"/>
      <c r="AF335" s="38" t="str">
        <f t="shared" si="36"/>
        <v/>
      </c>
      <c r="AG335" s="15"/>
      <c r="AH335" s="15"/>
      <c r="AI335" s="15"/>
      <c r="AJ335" s="16"/>
      <c r="AK335" s="15"/>
      <c r="AL335" s="15"/>
      <c r="AM335" s="15"/>
      <c r="AN335" s="9"/>
      <c r="AO335" s="9" t="str">
        <f t="shared" si="31"/>
        <v/>
      </c>
      <c r="AP335" s="9" t="str">
        <f t="shared" si="32"/>
        <v/>
      </c>
      <c r="AQ335" s="9" t="str">
        <f t="shared" si="35"/>
        <v/>
      </c>
      <c r="AR335" s="9" t="str">
        <f t="shared" si="34"/>
        <v/>
      </c>
      <c r="AS335" s="15"/>
      <c r="AT335" s="15"/>
      <c r="AU335" s="15"/>
    </row>
    <row r="336" ht="15.75" customHeight="1">
      <c r="A336" s="15" t="str">
        <f t="shared" si="1"/>
        <v/>
      </c>
      <c r="B336" s="15"/>
      <c r="C336" s="15"/>
      <c r="D336" s="15"/>
      <c r="E336" s="15"/>
      <c r="F336" s="43"/>
      <c r="G336" s="15"/>
      <c r="H336" s="43"/>
      <c r="I336" s="15"/>
      <c r="J336" s="15"/>
      <c r="K336" s="78"/>
      <c r="L336" s="78"/>
      <c r="M336" s="78"/>
      <c r="N336" s="78"/>
      <c r="O336" s="78"/>
      <c r="P336" s="80"/>
      <c r="Q336" s="81"/>
      <c r="R336" s="82"/>
      <c r="S336" s="15"/>
      <c r="T336" s="15"/>
      <c r="U336" s="83"/>
      <c r="V336" s="81"/>
      <c r="W336" s="83"/>
      <c r="X336" s="81"/>
      <c r="Y336" s="83"/>
      <c r="Z336" s="81"/>
      <c r="AA336" s="37"/>
      <c r="AB336" s="37"/>
      <c r="AC336" s="15"/>
      <c r="AD336" s="9"/>
      <c r="AE336" s="38"/>
      <c r="AF336" s="38" t="str">
        <f t="shared" si="36"/>
        <v/>
      </c>
      <c r="AG336" s="15"/>
      <c r="AH336" s="15"/>
      <c r="AI336" s="15"/>
      <c r="AJ336" s="16"/>
      <c r="AK336" s="15"/>
      <c r="AL336" s="15"/>
      <c r="AM336" s="15"/>
      <c r="AN336" s="9"/>
      <c r="AO336" s="9" t="str">
        <f t="shared" si="31"/>
        <v/>
      </c>
      <c r="AP336" s="9" t="str">
        <f t="shared" si="32"/>
        <v/>
      </c>
      <c r="AQ336" s="9" t="str">
        <f t="shared" si="35"/>
        <v/>
      </c>
      <c r="AR336" s="9" t="str">
        <f t="shared" si="34"/>
        <v/>
      </c>
      <c r="AS336" s="15"/>
      <c r="AT336" s="15"/>
      <c r="AU336" s="15"/>
    </row>
    <row r="337" ht="15.75" customHeight="1">
      <c r="A337" s="15" t="str">
        <f t="shared" si="1"/>
        <v/>
      </c>
      <c r="B337" s="15"/>
      <c r="C337" s="15"/>
      <c r="D337" s="15"/>
      <c r="E337" s="15"/>
      <c r="F337" s="43"/>
      <c r="G337" s="15"/>
      <c r="H337" s="43"/>
      <c r="I337" s="15"/>
      <c r="J337" s="15"/>
      <c r="K337" s="78"/>
      <c r="L337" s="78"/>
      <c r="M337" s="78"/>
      <c r="N337" s="78"/>
      <c r="O337" s="78"/>
      <c r="P337" s="80"/>
      <c r="Q337" s="81"/>
      <c r="R337" s="82"/>
      <c r="S337" s="15"/>
      <c r="T337" s="15"/>
      <c r="U337" s="83"/>
      <c r="V337" s="81"/>
      <c r="W337" s="83"/>
      <c r="X337" s="81"/>
      <c r="Y337" s="83"/>
      <c r="Z337" s="81"/>
      <c r="AA337" s="37"/>
      <c r="AB337" s="37"/>
      <c r="AC337" s="15"/>
      <c r="AD337" s="9"/>
      <c r="AE337" s="38"/>
      <c r="AF337" s="38" t="str">
        <f t="shared" si="36"/>
        <v/>
      </c>
      <c r="AG337" s="15"/>
      <c r="AH337" s="15"/>
      <c r="AI337" s="15"/>
      <c r="AJ337" s="16"/>
      <c r="AK337" s="15"/>
      <c r="AL337" s="15"/>
      <c r="AM337" s="15"/>
      <c r="AN337" s="9"/>
      <c r="AO337" s="9" t="str">
        <f t="shared" si="31"/>
        <v/>
      </c>
      <c r="AP337" s="9" t="str">
        <f t="shared" si="32"/>
        <v/>
      </c>
      <c r="AQ337" s="9" t="str">
        <f t="shared" si="35"/>
        <v/>
      </c>
      <c r="AR337" s="9" t="str">
        <f t="shared" si="34"/>
        <v/>
      </c>
      <c r="AS337" s="15"/>
      <c r="AT337" s="15"/>
      <c r="AU337" s="15"/>
    </row>
    <row r="338" ht="15.75" customHeight="1">
      <c r="A338" s="15" t="str">
        <f t="shared" si="1"/>
        <v/>
      </c>
      <c r="B338" s="15"/>
      <c r="C338" s="15"/>
      <c r="D338" s="15"/>
      <c r="E338" s="15"/>
      <c r="F338" s="43"/>
      <c r="G338" s="15"/>
      <c r="H338" s="43"/>
      <c r="I338" s="15"/>
      <c r="J338" s="15"/>
      <c r="K338" s="78"/>
      <c r="L338" s="78"/>
      <c r="M338" s="78"/>
      <c r="N338" s="78"/>
      <c r="O338" s="78"/>
      <c r="P338" s="80"/>
      <c r="Q338" s="81"/>
      <c r="R338" s="82"/>
      <c r="S338" s="15"/>
      <c r="T338" s="15"/>
      <c r="U338" s="83"/>
      <c r="V338" s="81"/>
      <c r="W338" s="83"/>
      <c r="X338" s="81"/>
      <c r="Y338" s="83"/>
      <c r="Z338" s="81"/>
      <c r="AA338" s="37"/>
      <c r="AB338" s="37"/>
      <c r="AC338" s="15"/>
      <c r="AD338" s="9"/>
      <c r="AE338" s="38"/>
      <c r="AF338" s="38" t="str">
        <f t="shared" si="36"/>
        <v/>
      </c>
      <c r="AG338" s="15"/>
      <c r="AH338" s="15"/>
      <c r="AI338" s="15"/>
      <c r="AJ338" s="16"/>
      <c r="AK338" s="15"/>
      <c r="AL338" s="15"/>
      <c r="AM338" s="15"/>
      <c r="AN338" s="9"/>
      <c r="AO338" s="9" t="str">
        <f t="shared" si="31"/>
        <v/>
      </c>
      <c r="AP338" s="9" t="str">
        <f t="shared" si="32"/>
        <v/>
      </c>
      <c r="AQ338" s="9" t="str">
        <f t="shared" si="35"/>
        <v/>
      </c>
      <c r="AR338" s="9" t="str">
        <f t="shared" si="34"/>
        <v/>
      </c>
      <c r="AS338" s="15"/>
      <c r="AT338" s="15"/>
      <c r="AU338" s="15"/>
    </row>
    <row r="339" ht="15.75" customHeight="1">
      <c r="A339" s="15" t="str">
        <f t="shared" si="1"/>
        <v/>
      </c>
      <c r="B339" s="15"/>
      <c r="C339" s="15"/>
      <c r="D339" s="15"/>
      <c r="E339" s="15"/>
      <c r="F339" s="43"/>
      <c r="G339" s="15"/>
      <c r="H339" s="43"/>
      <c r="I339" s="15"/>
      <c r="J339" s="15"/>
      <c r="K339" s="78"/>
      <c r="L339" s="78"/>
      <c r="M339" s="78"/>
      <c r="N339" s="78"/>
      <c r="O339" s="78"/>
      <c r="P339" s="80"/>
      <c r="Q339" s="81"/>
      <c r="R339" s="82"/>
      <c r="S339" s="15"/>
      <c r="T339" s="15"/>
      <c r="U339" s="83"/>
      <c r="V339" s="81"/>
      <c r="W339" s="83"/>
      <c r="X339" s="81"/>
      <c r="Y339" s="83"/>
      <c r="Z339" s="81"/>
      <c r="AA339" s="37"/>
      <c r="AB339" s="37"/>
      <c r="AC339" s="15"/>
      <c r="AD339" s="9"/>
      <c r="AE339" s="38"/>
      <c r="AF339" s="38" t="str">
        <f t="shared" si="36"/>
        <v/>
      </c>
      <c r="AG339" s="15"/>
      <c r="AH339" s="15"/>
      <c r="AI339" s="15"/>
      <c r="AJ339" s="16"/>
      <c r="AK339" s="15"/>
      <c r="AL339" s="15"/>
      <c r="AM339" s="15"/>
      <c r="AN339" s="9"/>
      <c r="AO339" s="9" t="str">
        <f t="shared" si="31"/>
        <v/>
      </c>
      <c r="AP339" s="9" t="str">
        <f t="shared" si="32"/>
        <v/>
      </c>
      <c r="AQ339" s="9" t="str">
        <f t="shared" si="35"/>
        <v/>
      </c>
      <c r="AR339" s="9" t="str">
        <f t="shared" si="34"/>
        <v/>
      </c>
      <c r="AS339" s="15"/>
      <c r="AT339" s="15"/>
      <c r="AU339" s="15"/>
    </row>
    <row r="340" ht="15.75" customHeight="1">
      <c r="A340" s="15" t="str">
        <f t="shared" si="1"/>
        <v/>
      </c>
      <c r="B340" s="15"/>
      <c r="C340" s="15"/>
      <c r="D340" s="15"/>
      <c r="E340" s="15"/>
      <c r="F340" s="43"/>
      <c r="G340" s="15"/>
      <c r="H340" s="43"/>
      <c r="I340" s="15"/>
      <c r="J340" s="15"/>
      <c r="K340" s="78"/>
      <c r="L340" s="78"/>
      <c r="M340" s="78"/>
      <c r="N340" s="78"/>
      <c r="O340" s="78"/>
      <c r="P340" s="80"/>
      <c r="Q340" s="81"/>
      <c r="R340" s="82"/>
      <c r="S340" s="15"/>
      <c r="T340" s="15"/>
      <c r="U340" s="83"/>
      <c r="V340" s="81"/>
      <c r="W340" s="83"/>
      <c r="X340" s="81"/>
      <c r="Y340" s="83"/>
      <c r="Z340" s="81"/>
      <c r="AA340" s="37"/>
      <c r="AB340" s="37"/>
      <c r="AC340" s="15"/>
      <c r="AD340" s="9"/>
      <c r="AE340" s="38"/>
      <c r="AF340" s="38" t="str">
        <f t="shared" si="36"/>
        <v/>
      </c>
      <c r="AG340" s="15"/>
      <c r="AH340" s="15"/>
      <c r="AI340" s="15"/>
      <c r="AJ340" s="16"/>
      <c r="AK340" s="15"/>
      <c r="AL340" s="15"/>
      <c r="AM340" s="15"/>
      <c r="AN340" s="9"/>
      <c r="AO340" s="9" t="str">
        <f t="shared" si="31"/>
        <v/>
      </c>
      <c r="AP340" s="9" t="str">
        <f t="shared" si="32"/>
        <v/>
      </c>
      <c r="AQ340" s="9" t="str">
        <f t="shared" si="35"/>
        <v/>
      </c>
      <c r="AR340" s="9" t="str">
        <f t="shared" si="34"/>
        <v/>
      </c>
      <c r="AS340" s="15"/>
      <c r="AT340" s="15"/>
      <c r="AU340" s="15"/>
    </row>
    <row r="341" ht="15.75" customHeight="1">
      <c r="A341" s="15" t="str">
        <f t="shared" si="1"/>
        <v/>
      </c>
      <c r="B341" s="15"/>
      <c r="C341" s="15"/>
      <c r="D341" s="15"/>
      <c r="E341" s="15"/>
      <c r="F341" s="43"/>
      <c r="G341" s="15"/>
      <c r="H341" s="43"/>
      <c r="I341" s="15"/>
      <c r="J341" s="15"/>
      <c r="K341" s="78"/>
      <c r="L341" s="78"/>
      <c r="M341" s="78"/>
      <c r="N341" s="78"/>
      <c r="O341" s="78"/>
      <c r="P341" s="80"/>
      <c r="Q341" s="81"/>
      <c r="R341" s="82"/>
      <c r="S341" s="15"/>
      <c r="T341" s="15"/>
      <c r="U341" s="83"/>
      <c r="V341" s="81"/>
      <c r="W341" s="83"/>
      <c r="X341" s="81"/>
      <c r="Y341" s="83"/>
      <c r="Z341" s="81"/>
      <c r="AA341" s="37"/>
      <c r="AB341" s="37"/>
      <c r="AC341" s="15"/>
      <c r="AD341" s="9"/>
      <c r="AE341" s="38"/>
      <c r="AF341" s="38" t="str">
        <f t="shared" si="36"/>
        <v/>
      </c>
      <c r="AG341" s="15"/>
      <c r="AH341" s="15"/>
      <c r="AI341" s="15"/>
      <c r="AJ341" s="16"/>
      <c r="AK341" s="15"/>
      <c r="AL341" s="15"/>
      <c r="AM341" s="15"/>
      <c r="AN341" s="9"/>
      <c r="AO341" s="9" t="str">
        <f t="shared" si="31"/>
        <v/>
      </c>
      <c r="AP341" s="9" t="str">
        <f t="shared" si="32"/>
        <v/>
      </c>
      <c r="AQ341" s="9" t="str">
        <f t="shared" si="35"/>
        <v/>
      </c>
      <c r="AR341" s="9" t="str">
        <f t="shared" si="34"/>
        <v/>
      </c>
      <c r="AS341" s="15"/>
      <c r="AT341" s="15"/>
      <c r="AU341" s="15"/>
    </row>
    <row r="342" ht="15.75" customHeight="1">
      <c r="A342" s="15" t="str">
        <f t="shared" si="1"/>
        <v/>
      </c>
      <c r="B342" s="15"/>
      <c r="C342" s="15"/>
      <c r="D342" s="15"/>
      <c r="E342" s="15"/>
      <c r="F342" s="43"/>
      <c r="G342" s="15"/>
      <c r="H342" s="43"/>
      <c r="I342" s="15"/>
      <c r="J342" s="15"/>
      <c r="K342" s="78"/>
      <c r="L342" s="78"/>
      <c r="M342" s="78"/>
      <c r="N342" s="78"/>
      <c r="O342" s="78"/>
      <c r="P342" s="80"/>
      <c r="Q342" s="81"/>
      <c r="R342" s="82"/>
      <c r="S342" s="15"/>
      <c r="T342" s="15"/>
      <c r="U342" s="83"/>
      <c r="V342" s="81"/>
      <c r="W342" s="83"/>
      <c r="X342" s="81"/>
      <c r="Y342" s="83"/>
      <c r="Z342" s="81"/>
      <c r="AA342" s="37"/>
      <c r="AB342" s="37"/>
      <c r="AC342" s="15"/>
      <c r="AD342" s="9"/>
      <c r="AE342" s="38"/>
      <c r="AF342" s="38" t="str">
        <f t="shared" si="36"/>
        <v/>
      </c>
      <c r="AG342" s="15"/>
      <c r="AH342" s="15"/>
      <c r="AI342" s="15"/>
      <c r="AJ342" s="16"/>
      <c r="AK342" s="15"/>
      <c r="AL342" s="15"/>
      <c r="AM342" s="15"/>
      <c r="AN342" s="9"/>
      <c r="AO342" s="9" t="str">
        <f t="shared" si="31"/>
        <v/>
      </c>
      <c r="AP342" s="9" t="str">
        <f t="shared" si="32"/>
        <v/>
      </c>
      <c r="AQ342" s="9" t="str">
        <f t="shared" si="35"/>
        <v/>
      </c>
      <c r="AR342" s="9" t="str">
        <f t="shared" si="34"/>
        <v/>
      </c>
      <c r="AS342" s="15"/>
      <c r="AT342" s="15"/>
      <c r="AU342" s="15"/>
    </row>
    <row r="343" ht="15.75" customHeight="1">
      <c r="A343" s="15" t="str">
        <f t="shared" si="1"/>
        <v/>
      </c>
      <c r="B343" s="15"/>
      <c r="C343" s="15"/>
      <c r="D343" s="15"/>
      <c r="E343" s="15"/>
      <c r="F343" s="43"/>
      <c r="G343" s="15"/>
      <c r="H343" s="43"/>
      <c r="I343" s="15"/>
      <c r="J343" s="15"/>
      <c r="K343" s="78"/>
      <c r="L343" s="78"/>
      <c r="M343" s="78"/>
      <c r="N343" s="78"/>
      <c r="O343" s="78"/>
      <c r="P343" s="80"/>
      <c r="Q343" s="81"/>
      <c r="R343" s="82"/>
      <c r="S343" s="15"/>
      <c r="T343" s="15"/>
      <c r="U343" s="83"/>
      <c r="V343" s="81"/>
      <c r="W343" s="83"/>
      <c r="X343" s="81"/>
      <c r="Y343" s="83"/>
      <c r="Z343" s="81"/>
      <c r="AA343" s="37"/>
      <c r="AB343" s="37"/>
      <c r="AC343" s="15"/>
      <c r="AD343" s="9"/>
      <c r="AE343" s="38"/>
      <c r="AF343" s="38" t="str">
        <f t="shared" si="36"/>
        <v/>
      </c>
      <c r="AG343" s="15"/>
      <c r="AH343" s="15"/>
      <c r="AI343" s="15"/>
      <c r="AJ343" s="16"/>
      <c r="AK343" s="15"/>
      <c r="AL343" s="15"/>
      <c r="AM343" s="15"/>
      <c r="AN343" s="9"/>
      <c r="AO343" s="9" t="str">
        <f t="shared" si="31"/>
        <v/>
      </c>
      <c r="AP343" s="9" t="str">
        <f t="shared" si="32"/>
        <v/>
      </c>
      <c r="AQ343" s="9" t="str">
        <f t="shared" si="35"/>
        <v/>
      </c>
      <c r="AR343" s="9" t="str">
        <f t="shared" si="34"/>
        <v/>
      </c>
      <c r="AS343" s="15"/>
      <c r="AT343" s="15"/>
      <c r="AU343" s="15"/>
    </row>
    <row r="344" ht="15.75" customHeight="1">
      <c r="A344" s="15" t="str">
        <f t="shared" si="1"/>
        <v/>
      </c>
      <c r="B344" s="15"/>
      <c r="C344" s="15"/>
      <c r="D344" s="15"/>
      <c r="E344" s="15"/>
      <c r="F344" s="43"/>
      <c r="G344" s="15"/>
      <c r="H344" s="43"/>
      <c r="I344" s="15"/>
      <c r="J344" s="15"/>
      <c r="K344" s="78"/>
      <c r="L344" s="78"/>
      <c r="M344" s="78"/>
      <c r="N344" s="78"/>
      <c r="O344" s="78"/>
      <c r="P344" s="80"/>
      <c r="Q344" s="81"/>
      <c r="R344" s="82"/>
      <c r="S344" s="15"/>
      <c r="T344" s="15"/>
      <c r="U344" s="83"/>
      <c r="V344" s="81"/>
      <c r="W344" s="83"/>
      <c r="X344" s="81"/>
      <c r="Y344" s="83"/>
      <c r="Z344" s="81"/>
      <c r="AA344" s="37"/>
      <c r="AB344" s="37"/>
      <c r="AC344" s="15"/>
      <c r="AD344" s="9"/>
      <c r="AE344" s="38"/>
      <c r="AF344" s="38" t="str">
        <f t="shared" si="36"/>
        <v/>
      </c>
      <c r="AG344" s="15"/>
      <c r="AH344" s="15"/>
      <c r="AI344" s="15"/>
      <c r="AJ344" s="15"/>
      <c r="AK344" s="15"/>
      <c r="AL344" s="15"/>
      <c r="AM344" s="15"/>
      <c r="AN344" s="9"/>
      <c r="AO344" s="9" t="str">
        <f t="shared" si="31"/>
        <v/>
      </c>
      <c r="AP344" s="9"/>
      <c r="AQ344" s="9"/>
      <c r="AR344" s="9" t="str">
        <f t="shared" si="34"/>
        <v/>
      </c>
      <c r="AS344" s="15"/>
      <c r="AT344" s="15"/>
      <c r="AU344" s="15"/>
    </row>
    <row r="345" ht="15.75" customHeight="1">
      <c r="A345" s="15" t="str">
        <f t="shared" si="1"/>
        <v/>
      </c>
      <c r="B345" s="15"/>
      <c r="C345" s="15"/>
      <c r="D345" s="15"/>
      <c r="E345" s="15"/>
      <c r="F345" s="43"/>
      <c r="G345" s="15"/>
      <c r="H345" s="43"/>
      <c r="I345" s="15"/>
      <c r="J345" s="15"/>
      <c r="K345" s="78"/>
      <c r="L345" s="78"/>
      <c r="M345" s="78"/>
      <c r="N345" s="78"/>
      <c r="O345" s="78"/>
      <c r="P345" s="80"/>
      <c r="Q345" s="81"/>
      <c r="R345" s="82"/>
      <c r="S345" s="15"/>
      <c r="T345" s="15"/>
      <c r="U345" s="83"/>
      <c r="V345" s="81"/>
      <c r="W345" s="83"/>
      <c r="X345" s="81"/>
      <c r="Y345" s="83"/>
      <c r="Z345" s="81"/>
      <c r="AA345" s="37"/>
      <c r="AB345" s="37"/>
      <c r="AC345" s="15"/>
      <c r="AD345" s="9"/>
      <c r="AE345" s="38"/>
      <c r="AF345" s="38" t="str">
        <f t="shared" si="36"/>
        <v/>
      </c>
      <c r="AG345" s="15"/>
      <c r="AH345" s="15"/>
      <c r="AI345" s="15"/>
      <c r="AJ345" s="15"/>
      <c r="AK345" s="15"/>
      <c r="AL345" s="15"/>
      <c r="AM345" s="15"/>
      <c r="AN345" s="9"/>
      <c r="AO345" s="9" t="str">
        <f t="shared" si="31"/>
        <v/>
      </c>
      <c r="AP345" s="9"/>
      <c r="AQ345" s="9"/>
      <c r="AR345" s="9" t="str">
        <f t="shared" si="34"/>
        <v/>
      </c>
      <c r="AS345" s="15"/>
      <c r="AT345" s="15"/>
      <c r="AU345" s="15"/>
    </row>
    <row r="346" ht="15.75" customHeight="1">
      <c r="A346" s="15" t="str">
        <f t="shared" si="1"/>
        <v/>
      </c>
      <c r="B346" s="15"/>
      <c r="C346" s="15"/>
      <c r="D346" s="15"/>
      <c r="E346" s="15"/>
      <c r="F346" s="43"/>
      <c r="G346" s="15"/>
      <c r="H346" s="43"/>
      <c r="I346" s="15"/>
      <c r="J346" s="15"/>
      <c r="K346" s="78"/>
      <c r="L346" s="78"/>
      <c r="M346" s="78"/>
      <c r="N346" s="78"/>
      <c r="O346" s="78"/>
      <c r="P346" s="80"/>
      <c r="Q346" s="81"/>
      <c r="R346" s="82"/>
      <c r="S346" s="15"/>
      <c r="T346" s="15"/>
      <c r="U346" s="83"/>
      <c r="V346" s="81"/>
      <c r="W346" s="83"/>
      <c r="X346" s="81"/>
      <c r="Y346" s="83"/>
      <c r="Z346" s="81"/>
      <c r="AA346" s="37"/>
      <c r="AB346" s="37"/>
      <c r="AC346" s="15"/>
      <c r="AD346" s="9"/>
      <c r="AE346" s="38"/>
      <c r="AF346" s="38" t="str">
        <f t="shared" si="36"/>
        <v/>
      </c>
      <c r="AG346" s="15"/>
      <c r="AH346" s="15"/>
      <c r="AI346" s="15"/>
      <c r="AJ346" s="15"/>
      <c r="AK346" s="15"/>
      <c r="AL346" s="15"/>
      <c r="AM346" s="15"/>
      <c r="AN346" s="9"/>
      <c r="AO346" s="9" t="str">
        <f t="shared" si="31"/>
        <v/>
      </c>
      <c r="AP346" s="9"/>
      <c r="AQ346" s="9"/>
      <c r="AR346" s="9" t="str">
        <f t="shared" si="34"/>
        <v/>
      </c>
      <c r="AS346" s="15"/>
      <c r="AT346" s="15"/>
      <c r="AU346" s="15"/>
    </row>
    <row r="347" ht="15.75" customHeight="1">
      <c r="A347" s="15" t="str">
        <f t="shared" si="1"/>
        <v/>
      </c>
      <c r="B347" s="15"/>
      <c r="C347" s="15"/>
      <c r="D347" s="15"/>
      <c r="E347" s="15"/>
      <c r="F347" s="43"/>
      <c r="G347" s="15"/>
      <c r="H347" s="43"/>
      <c r="I347" s="15"/>
      <c r="J347" s="15"/>
      <c r="K347" s="78"/>
      <c r="L347" s="78"/>
      <c r="M347" s="78"/>
      <c r="N347" s="78"/>
      <c r="O347" s="78"/>
      <c r="P347" s="80"/>
      <c r="Q347" s="81"/>
      <c r="R347" s="82"/>
      <c r="S347" s="15"/>
      <c r="T347" s="15"/>
      <c r="U347" s="83"/>
      <c r="V347" s="81"/>
      <c r="W347" s="83"/>
      <c r="X347" s="81"/>
      <c r="Y347" s="83"/>
      <c r="Z347" s="81"/>
      <c r="AA347" s="37"/>
      <c r="AB347" s="37"/>
      <c r="AC347" s="15"/>
      <c r="AD347" s="9"/>
      <c r="AE347" s="38"/>
      <c r="AF347" s="38" t="str">
        <f t="shared" si="36"/>
        <v/>
      </c>
      <c r="AG347" s="15"/>
      <c r="AH347" s="15"/>
      <c r="AI347" s="15"/>
      <c r="AJ347" s="15"/>
      <c r="AK347" s="15"/>
      <c r="AL347" s="15"/>
      <c r="AM347" s="15"/>
      <c r="AN347" s="9"/>
      <c r="AO347" s="9" t="str">
        <f t="shared" si="31"/>
        <v/>
      </c>
      <c r="AP347" s="9"/>
      <c r="AQ347" s="9"/>
      <c r="AR347" s="9" t="str">
        <f t="shared" si="34"/>
        <v/>
      </c>
      <c r="AS347" s="15"/>
      <c r="AT347" s="15"/>
      <c r="AU347" s="15"/>
    </row>
    <row r="348" ht="15.75" customHeight="1">
      <c r="A348" s="15" t="str">
        <f t="shared" si="1"/>
        <v/>
      </c>
      <c r="B348" s="15"/>
      <c r="C348" s="15"/>
      <c r="D348" s="15"/>
      <c r="E348" s="15"/>
      <c r="F348" s="43"/>
      <c r="G348" s="15"/>
      <c r="H348" s="43"/>
      <c r="I348" s="15"/>
      <c r="J348" s="15"/>
      <c r="K348" s="78"/>
      <c r="L348" s="78"/>
      <c r="M348" s="78"/>
      <c r="N348" s="78"/>
      <c r="O348" s="78"/>
      <c r="P348" s="80"/>
      <c r="Q348" s="81"/>
      <c r="R348" s="82"/>
      <c r="S348" s="15"/>
      <c r="T348" s="15"/>
      <c r="U348" s="83"/>
      <c r="V348" s="81"/>
      <c r="W348" s="83"/>
      <c r="X348" s="81"/>
      <c r="Y348" s="83"/>
      <c r="Z348" s="81"/>
      <c r="AA348" s="37"/>
      <c r="AB348" s="37"/>
      <c r="AC348" s="15"/>
      <c r="AD348" s="9"/>
      <c r="AE348" s="38"/>
      <c r="AF348" s="38" t="str">
        <f t="shared" si="36"/>
        <v/>
      </c>
      <c r="AG348" s="15"/>
      <c r="AH348" s="15"/>
      <c r="AI348" s="15"/>
      <c r="AJ348" s="15"/>
      <c r="AK348" s="15"/>
      <c r="AL348" s="15"/>
      <c r="AM348" s="15"/>
      <c r="AN348" s="9"/>
      <c r="AO348" s="9" t="str">
        <f t="shared" si="31"/>
        <v/>
      </c>
      <c r="AP348" s="9"/>
      <c r="AQ348" s="9"/>
      <c r="AR348" s="9" t="str">
        <f t="shared" si="34"/>
        <v/>
      </c>
      <c r="AS348" s="15"/>
      <c r="AT348" s="15"/>
      <c r="AU348" s="15"/>
    </row>
    <row r="349" ht="15.75" customHeight="1">
      <c r="A349" s="15" t="str">
        <f t="shared" si="1"/>
        <v/>
      </c>
      <c r="B349" s="15"/>
      <c r="C349" s="15"/>
      <c r="D349" s="15"/>
      <c r="E349" s="15"/>
      <c r="F349" s="43"/>
      <c r="G349" s="15"/>
      <c r="H349" s="43"/>
      <c r="I349" s="15"/>
      <c r="J349" s="15"/>
      <c r="K349" s="78"/>
      <c r="L349" s="78"/>
      <c r="M349" s="78"/>
      <c r="N349" s="78"/>
      <c r="O349" s="78"/>
      <c r="P349" s="80"/>
      <c r="Q349" s="81"/>
      <c r="R349" s="82"/>
      <c r="S349" s="15"/>
      <c r="T349" s="15"/>
      <c r="U349" s="83"/>
      <c r="V349" s="81"/>
      <c r="W349" s="83"/>
      <c r="X349" s="81"/>
      <c r="Y349" s="83"/>
      <c r="Z349" s="81"/>
      <c r="AA349" s="37"/>
      <c r="AB349" s="37"/>
      <c r="AC349" s="15"/>
      <c r="AD349" s="9"/>
      <c r="AE349" s="38"/>
      <c r="AF349" s="38" t="str">
        <f t="shared" si="36"/>
        <v/>
      </c>
      <c r="AG349" s="15"/>
      <c r="AH349" s="15"/>
      <c r="AI349" s="15"/>
      <c r="AJ349" s="15"/>
      <c r="AK349" s="15"/>
      <c r="AL349" s="15"/>
      <c r="AM349" s="15"/>
      <c r="AN349" s="9"/>
      <c r="AO349" s="9"/>
      <c r="AP349" s="9"/>
      <c r="AQ349" s="9"/>
      <c r="AR349" s="9" t="str">
        <f t="shared" si="34"/>
        <v/>
      </c>
      <c r="AS349" s="15"/>
      <c r="AT349" s="15"/>
      <c r="AU349" s="15"/>
    </row>
    <row r="350" ht="15.75" customHeight="1">
      <c r="A350" s="15" t="str">
        <f t="shared" si="1"/>
        <v/>
      </c>
      <c r="B350" s="15"/>
      <c r="C350" s="15"/>
      <c r="D350" s="15"/>
      <c r="E350" s="15"/>
      <c r="F350" s="43"/>
      <c r="G350" s="15"/>
      <c r="H350" s="43"/>
      <c r="I350" s="15"/>
      <c r="J350" s="15"/>
      <c r="K350" s="78"/>
      <c r="L350" s="78"/>
      <c r="M350" s="78"/>
      <c r="N350" s="78"/>
      <c r="O350" s="78"/>
      <c r="P350" s="80"/>
      <c r="Q350" s="81"/>
      <c r="R350" s="82"/>
      <c r="S350" s="15"/>
      <c r="T350" s="15"/>
      <c r="U350" s="83"/>
      <c r="V350" s="81"/>
      <c r="W350" s="83"/>
      <c r="X350" s="81"/>
      <c r="Y350" s="83"/>
      <c r="Z350" s="81"/>
      <c r="AA350" s="37"/>
      <c r="AB350" s="37"/>
      <c r="AC350" s="15"/>
      <c r="AD350" s="9"/>
      <c r="AE350" s="38"/>
      <c r="AF350" s="38" t="str">
        <f t="shared" si="36"/>
        <v/>
      </c>
      <c r="AG350" s="15"/>
      <c r="AH350" s="15"/>
      <c r="AI350" s="15"/>
      <c r="AJ350" s="15"/>
      <c r="AK350" s="15"/>
      <c r="AL350" s="15"/>
      <c r="AM350" s="15"/>
      <c r="AN350" s="9"/>
      <c r="AO350" s="9"/>
      <c r="AP350" s="9"/>
      <c r="AQ350" s="9"/>
      <c r="AR350" s="9" t="str">
        <f t="shared" si="34"/>
        <v/>
      </c>
      <c r="AS350" s="15"/>
      <c r="AT350" s="15"/>
      <c r="AU350" s="15"/>
    </row>
    <row r="351" ht="15.75" customHeight="1">
      <c r="A351" s="15" t="str">
        <f t="shared" si="1"/>
        <v/>
      </c>
      <c r="B351" s="15"/>
      <c r="C351" s="15"/>
      <c r="D351" s="15"/>
      <c r="E351" s="15"/>
      <c r="F351" s="43"/>
      <c r="G351" s="15"/>
      <c r="H351" s="43"/>
      <c r="I351" s="15"/>
      <c r="J351" s="15"/>
      <c r="K351" s="78"/>
      <c r="L351" s="78"/>
      <c r="M351" s="78"/>
      <c r="N351" s="78"/>
      <c r="O351" s="78"/>
      <c r="P351" s="80"/>
      <c r="Q351" s="81"/>
      <c r="R351" s="82"/>
      <c r="S351" s="15"/>
      <c r="T351" s="15"/>
      <c r="U351" s="83"/>
      <c r="V351" s="81"/>
      <c r="W351" s="83"/>
      <c r="X351" s="81"/>
      <c r="Y351" s="83"/>
      <c r="Z351" s="81"/>
      <c r="AA351" s="37"/>
      <c r="AB351" s="37"/>
      <c r="AC351" s="15"/>
      <c r="AD351" s="9"/>
      <c r="AE351" s="38"/>
      <c r="AF351" s="38" t="str">
        <f t="shared" si="36"/>
        <v/>
      </c>
      <c r="AG351" s="15"/>
      <c r="AH351" s="15"/>
      <c r="AI351" s="15"/>
      <c r="AJ351" s="15"/>
      <c r="AK351" s="15"/>
      <c r="AL351" s="15"/>
      <c r="AM351" s="15"/>
      <c r="AN351" s="9"/>
      <c r="AO351" s="9"/>
      <c r="AP351" s="9"/>
      <c r="AQ351" s="9"/>
      <c r="AR351" s="9" t="str">
        <f t="shared" si="34"/>
        <v/>
      </c>
      <c r="AS351" s="15"/>
      <c r="AT351" s="15"/>
      <c r="AU351" s="15"/>
    </row>
    <row r="352" ht="15.75" customHeight="1">
      <c r="A352" s="15" t="str">
        <f t="shared" si="1"/>
        <v/>
      </c>
      <c r="B352" s="15"/>
      <c r="C352" s="15"/>
      <c r="D352" s="15"/>
      <c r="E352" s="15"/>
      <c r="F352" s="43"/>
      <c r="G352" s="15"/>
      <c r="H352" s="43"/>
      <c r="I352" s="15"/>
      <c r="J352" s="15"/>
      <c r="K352" s="78"/>
      <c r="L352" s="78"/>
      <c r="M352" s="78"/>
      <c r="N352" s="78"/>
      <c r="O352" s="78"/>
      <c r="P352" s="80"/>
      <c r="Q352" s="81"/>
      <c r="R352" s="82"/>
      <c r="S352" s="15"/>
      <c r="T352" s="15"/>
      <c r="U352" s="83"/>
      <c r="V352" s="81"/>
      <c r="W352" s="83"/>
      <c r="X352" s="81"/>
      <c r="Y352" s="83"/>
      <c r="Z352" s="81"/>
      <c r="AA352" s="37"/>
      <c r="AB352" s="37"/>
      <c r="AC352" s="15"/>
      <c r="AD352" s="9"/>
      <c r="AE352" s="38"/>
      <c r="AF352" s="38" t="str">
        <f t="shared" si="36"/>
        <v/>
      </c>
      <c r="AG352" s="15"/>
      <c r="AH352" s="15"/>
      <c r="AI352" s="15"/>
      <c r="AJ352" s="15"/>
      <c r="AK352" s="15"/>
      <c r="AL352" s="15"/>
      <c r="AM352" s="15"/>
      <c r="AN352" s="9"/>
      <c r="AO352" s="9"/>
      <c r="AP352" s="9"/>
      <c r="AQ352" s="9"/>
      <c r="AR352" s="9" t="str">
        <f t="shared" si="34"/>
        <v/>
      </c>
      <c r="AS352" s="15"/>
      <c r="AT352" s="15"/>
      <c r="AU352" s="15"/>
    </row>
    <row r="353" ht="15.75" customHeight="1">
      <c r="A353" s="15" t="str">
        <f t="shared" si="1"/>
        <v/>
      </c>
      <c r="B353" s="15"/>
      <c r="C353" s="15"/>
      <c r="D353" s="15"/>
      <c r="E353" s="15"/>
      <c r="F353" s="43"/>
      <c r="G353" s="15"/>
      <c r="H353" s="43"/>
      <c r="I353" s="15"/>
      <c r="J353" s="15"/>
      <c r="K353" s="78"/>
      <c r="L353" s="78"/>
      <c r="M353" s="78"/>
      <c r="N353" s="78"/>
      <c r="O353" s="78"/>
      <c r="P353" s="80"/>
      <c r="Q353" s="81"/>
      <c r="R353" s="82"/>
      <c r="S353" s="15"/>
      <c r="T353" s="15"/>
      <c r="U353" s="83"/>
      <c r="V353" s="81"/>
      <c r="W353" s="83"/>
      <c r="X353" s="81"/>
      <c r="Y353" s="83"/>
      <c r="Z353" s="81"/>
      <c r="AA353" s="37"/>
      <c r="AB353" s="37"/>
      <c r="AC353" s="15"/>
      <c r="AD353" s="9"/>
      <c r="AE353" s="38"/>
      <c r="AF353" s="38" t="str">
        <f t="shared" si="36"/>
        <v/>
      </c>
      <c r="AG353" s="15"/>
      <c r="AH353" s="15"/>
      <c r="AI353" s="15"/>
      <c r="AJ353" s="15"/>
      <c r="AK353" s="15"/>
      <c r="AL353" s="15"/>
      <c r="AM353" s="15"/>
      <c r="AN353" s="9"/>
      <c r="AO353" s="9"/>
      <c r="AP353" s="9"/>
      <c r="AQ353" s="9"/>
      <c r="AR353" s="9" t="str">
        <f t="shared" si="34"/>
        <v/>
      </c>
      <c r="AS353" s="15"/>
      <c r="AT353" s="15"/>
      <c r="AU353" s="15"/>
    </row>
    <row r="354" ht="15.75" customHeight="1">
      <c r="A354" s="15" t="str">
        <f t="shared" si="1"/>
        <v/>
      </c>
      <c r="B354" s="15"/>
      <c r="C354" s="15"/>
      <c r="D354" s="15"/>
      <c r="E354" s="15"/>
      <c r="F354" s="43"/>
      <c r="G354" s="15"/>
      <c r="H354" s="43"/>
      <c r="I354" s="15"/>
      <c r="J354" s="15"/>
      <c r="K354" s="78"/>
      <c r="L354" s="78"/>
      <c r="M354" s="78"/>
      <c r="N354" s="78"/>
      <c r="O354" s="78"/>
      <c r="P354" s="80"/>
      <c r="Q354" s="81"/>
      <c r="R354" s="82"/>
      <c r="S354" s="15"/>
      <c r="T354" s="15"/>
      <c r="U354" s="83"/>
      <c r="V354" s="81"/>
      <c r="W354" s="83"/>
      <c r="X354" s="81"/>
      <c r="Y354" s="83"/>
      <c r="Z354" s="81"/>
      <c r="AA354" s="37"/>
      <c r="AB354" s="37"/>
      <c r="AC354" s="15"/>
      <c r="AD354" s="9"/>
      <c r="AE354" s="38"/>
      <c r="AF354" s="38" t="str">
        <f t="shared" si="36"/>
        <v/>
      </c>
      <c r="AG354" s="15"/>
      <c r="AH354" s="15"/>
      <c r="AI354" s="15"/>
      <c r="AJ354" s="15"/>
      <c r="AK354" s="15"/>
      <c r="AL354" s="15"/>
      <c r="AM354" s="15"/>
      <c r="AN354" s="9"/>
      <c r="AO354" s="9"/>
      <c r="AP354" s="9"/>
      <c r="AQ354" s="9"/>
      <c r="AR354" s="9" t="str">
        <f t="shared" si="34"/>
        <v/>
      </c>
      <c r="AS354" s="15"/>
      <c r="AT354" s="15"/>
      <c r="AU354" s="15"/>
    </row>
    <row r="355" ht="15.75" customHeight="1">
      <c r="A355" s="15" t="str">
        <f t="shared" si="1"/>
        <v/>
      </c>
      <c r="B355" s="15"/>
      <c r="C355" s="15"/>
      <c r="D355" s="15"/>
      <c r="E355" s="15"/>
      <c r="F355" s="43"/>
      <c r="G355" s="15"/>
      <c r="H355" s="43"/>
      <c r="I355" s="15"/>
      <c r="J355" s="15"/>
      <c r="K355" s="78"/>
      <c r="L355" s="78"/>
      <c r="M355" s="78"/>
      <c r="N355" s="78"/>
      <c r="O355" s="78"/>
      <c r="P355" s="80"/>
      <c r="Q355" s="81"/>
      <c r="R355" s="82"/>
      <c r="S355" s="15"/>
      <c r="T355" s="15"/>
      <c r="U355" s="83"/>
      <c r="V355" s="81"/>
      <c r="W355" s="83"/>
      <c r="X355" s="81"/>
      <c r="Y355" s="83"/>
      <c r="Z355" s="81"/>
      <c r="AA355" s="37"/>
      <c r="AB355" s="37"/>
      <c r="AC355" s="15"/>
      <c r="AD355" s="9"/>
      <c r="AE355" s="38"/>
      <c r="AF355" s="38" t="str">
        <f t="shared" si="36"/>
        <v/>
      </c>
      <c r="AG355" s="15"/>
      <c r="AH355" s="15"/>
      <c r="AI355" s="15"/>
      <c r="AJ355" s="15"/>
      <c r="AK355" s="15"/>
      <c r="AL355" s="15"/>
      <c r="AM355" s="15"/>
      <c r="AN355" s="9"/>
      <c r="AO355" s="9"/>
      <c r="AP355" s="9"/>
      <c r="AQ355" s="9"/>
      <c r="AR355" s="9" t="str">
        <f t="shared" si="34"/>
        <v/>
      </c>
      <c r="AS355" s="15"/>
      <c r="AT355" s="15"/>
      <c r="AU355" s="15"/>
    </row>
    <row r="356" ht="15.75" customHeight="1">
      <c r="A356" s="15" t="str">
        <f t="shared" si="1"/>
        <v/>
      </c>
      <c r="B356" s="15"/>
      <c r="C356" s="15"/>
      <c r="D356" s="15"/>
      <c r="E356" s="15"/>
      <c r="F356" s="43"/>
      <c r="G356" s="15"/>
      <c r="H356" s="43"/>
      <c r="I356" s="15"/>
      <c r="J356" s="15"/>
      <c r="K356" s="78"/>
      <c r="L356" s="78"/>
      <c r="M356" s="78"/>
      <c r="N356" s="78"/>
      <c r="O356" s="78"/>
      <c r="P356" s="80"/>
      <c r="Q356" s="81"/>
      <c r="R356" s="82"/>
      <c r="S356" s="15"/>
      <c r="T356" s="15"/>
      <c r="U356" s="83"/>
      <c r="V356" s="81"/>
      <c r="W356" s="83"/>
      <c r="X356" s="81"/>
      <c r="Y356" s="83"/>
      <c r="Z356" s="81"/>
      <c r="AA356" s="37"/>
      <c r="AB356" s="37"/>
      <c r="AC356" s="15"/>
      <c r="AD356" s="9"/>
      <c r="AE356" s="38"/>
      <c r="AF356" s="38" t="str">
        <f t="shared" si="36"/>
        <v/>
      </c>
      <c r="AG356" s="15"/>
      <c r="AH356" s="15"/>
      <c r="AI356" s="15"/>
      <c r="AJ356" s="15"/>
      <c r="AK356" s="15"/>
      <c r="AL356" s="15"/>
      <c r="AM356" s="15"/>
      <c r="AN356" s="9"/>
      <c r="AO356" s="9"/>
      <c r="AP356" s="9"/>
      <c r="AQ356" s="9"/>
      <c r="AR356" s="9" t="str">
        <f t="shared" si="34"/>
        <v/>
      </c>
      <c r="AS356" s="15"/>
      <c r="AT356" s="15"/>
      <c r="AU356" s="15"/>
    </row>
    <row r="357" ht="15.75" customHeight="1">
      <c r="A357" s="15" t="str">
        <f t="shared" si="1"/>
        <v/>
      </c>
      <c r="B357" s="15"/>
      <c r="C357" s="15"/>
      <c r="D357" s="15"/>
      <c r="E357" s="15"/>
      <c r="F357" s="43"/>
      <c r="G357" s="15"/>
      <c r="H357" s="43"/>
      <c r="I357" s="15"/>
      <c r="J357" s="15"/>
      <c r="K357" s="78"/>
      <c r="L357" s="78"/>
      <c r="M357" s="78"/>
      <c r="N357" s="78"/>
      <c r="O357" s="78"/>
      <c r="P357" s="80"/>
      <c r="Q357" s="81"/>
      <c r="R357" s="82"/>
      <c r="S357" s="15"/>
      <c r="T357" s="15"/>
      <c r="U357" s="83"/>
      <c r="V357" s="81"/>
      <c r="W357" s="83"/>
      <c r="X357" s="81"/>
      <c r="Y357" s="83"/>
      <c r="Z357" s="81"/>
      <c r="AA357" s="37"/>
      <c r="AB357" s="37"/>
      <c r="AC357" s="15"/>
      <c r="AD357" s="9"/>
      <c r="AE357" s="38"/>
      <c r="AF357" s="38" t="str">
        <f t="shared" si="36"/>
        <v/>
      </c>
      <c r="AG357" s="15"/>
      <c r="AH357" s="15"/>
      <c r="AI357" s="15"/>
      <c r="AJ357" s="15"/>
      <c r="AK357" s="15"/>
      <c r="AL357" s="15"/>
      <c r="AM357" s="15"/>
      <c r="AN357" s="9"/>
      <c r="AO357" s="9"/>
      <c r="AP357" s="9"/>
      <c r="AQ357" s="9"/>
      <c r="AR357" s="9" t="str">
        <f t="shared" si="34"/>
        <v/>
      </c>
      <c r="AS357" s="15"/>
      <c r="AT357" s="15"/>
      <c r="AU357" s="15"/>
    </row>
    <row r="358" ht="15.75" customHeight="1">
      <c r="A358" s="15" t="str">
        <f t="shared" si="1"/>
        <v/>
      </c>
      <c r="B358" s="15"/>
      <c r="C358" s="15"/>
      <c r="D358" s="15"/>
      <c r="E358" s="15"/>
      <c r="F358" s="43"/>
      <c r="G358" s="15"/>
      <c r="H358" s="43"/>
      <c r="I358" s="15"/>
      <c r="J358" s="15"/>
      <c r="K358" s="78"/>
      <c r="L358" s="78"/>
      <c r="M358" s="78"/>
      <c r="N358" s="78"/>
      <c r="O358" s="78"/>
      <c r="P358" s="80"/>
      <c r="Q358" s="81"/>
      <c r="R358" s="82"/>
      <c r="S358" s="15"/>
      <c r="T358" s="15"/>
      <c r="U358" s="83"/>
      <c r="V358" s="81"/>
      <c r="W358" s="83"/>
      <c r="X358" s="81"/>
      <c r="Y358" s="83"/>
      <c r="Z358" s="81"/>
      <c r="AA358" s="37"/>
      <c r="AB358" s="37"/>
      <c r="AC358" s="15"/>
      <c r="AD358" s="9"/>
      <c r="AE358" s="38"/>
      <c r="AF358" s="38" t="str">
        <f t="shared" si="36"/>
        <v/>
      </c>
      <c r="AG358" s="15" t="str">
        <f t="shared" ref="AG358:AG598" si="37">IF(AD358="","",IF(AD358&gt;10,"Yes","No"))</f>
        <v/>
      </c>
      <c r="AH358" s="15"/>
      <c r="AI358" s="15"/>
      <c r="AJ358" s="15"/>
      <c r="AK358" s="15"/>
      <c r="AL358" s="15"/>
      <c r="AM358" s="15"/>
      <c r="AN358" s="9"/>
      <c r="AO358" s="9"/>
      <c r="AP358" s="9"/>
      <c r="AQ358" s="9"/>
      <c r="AR358" s="9" t="str">
        <f t="shared" si="34"/>
        <v/>
      </c>
      <c r="AS358" s="15"/>
      <c r="AT358" s="15"/>
      <c r="AU358" s="15"/>
    </row>
    <row r="359" ht="15.75" customHeight="1">
      <c r="A359" s="15" t="str">
        <f t="shared" si="1"/>
        <v/>
      </c>
      <c r="B359" s="15"/>
      <c r="C359" s="15"/>
      <c r="D359" s="15"/>
      <c r="E359" s="15"/>
      <c r="F359" s="43"/>
      <c r="G359" s="15"/>
      <c r="H359" s="43"/>
      <c r="I359" s="15"/>
      <c r="J359" s="15"/>
      <c r="K359" s="78"/>
      <c r="L359" s="78"/>
      <c r="M359" s="78"/>
      <c r="N359" s="78"/>
      <c r="O359" s="78"/>
      <c r="P359" s="80"/>
      <c r="Q359" s="81"/>
      <c r="R359" s="82"/>
      <c r="S359" s="15"/>
      <c r="T359" s="15"/>
      <c r="U359" s="83"/>
      <c r="V359" s="81"/>
      <c r="W359" s="83"/>
      <c r="X359" s="81"/>
      <c r="Y359" s="83"/>
      <c r="Z359" s="81"/>
      <c r="AA359" s="37"/>
      <c r="AB359" s="37"/>
      <c r="AC359" s="15"/>
      <c r="AD359" s="9"/>
      <c r="AE359" s="38"/>
      <c r="AF359" s="38" t="str">
        <f t="shared" si="36"/>
        <v/>
      </c>
      <c r="AG359" s="15" t="str">
        <f t="shared" si="37"/>
        <v/>
      </c>
      <c r="AH359" s="15"/>
      <c r="AI359" s="15"/>
      <c r="AJ359" s="15"/>
      <c r="AK359" s="15"/>
      <c r="AL359" s="15"/>
      <c r="AM359" s="15"/>
      <c r="AN359" s="9"/>
      <c r="AO359" s="9"/>
      <c r="AP359" s="9"/>
      <c r="AQ359" s="9"/>
      <c r="AR359" s="9" t="str">
        <f t="shared" si="34"/>
        <v/>
      </c>
      <c r="AS359" s="15"/>
      <c r="AT359" s="15"/>
      <c r="AU359" s="15"/>
    </row>
    <row r="360" ht="15.75" customHeight="1">
      <c r="A360" s="15" t="str">
        <f t="shared" si="1"/>
        <v/>
      </c>
      <c r="B360" s="15"/>
      <c r="C360" s="15"/>
      <c r="D360" s="15"/>
      <c r="E360" s="15"/>
      <c r="F360" s="43"/>
      <c r="G360" s="15"/>
      <c r="H360" s="43"/>
      <c r="I360" s="15"/>
      <c r="J360" s="15"/>
      <c r="K360" s="78"/>
      <c r="L360" s="78"/>
      <c r="M360" s="78"/>
      <c r="N360" s="78"/>
      <c r="O360" s="78"/>
      <c r="P360" s="80"/>
      <c r="Q360" s="81"/>
      <c r="R360" s="82"/>
      <c r="S360" s="15"/>
      <c r="T360" s="15"/>
      <c r="U360" s="83"/>
      <c r="V360" s="81"/>
      <c r="W360" s="83"/>
      <c r="X360" s="81"/>
      <c r="Y360" s="83"/>
      <c r="Z360" s="81"/>
      <c r="AA360" s="37"/>
      <c r="AB360" s="37"/>
      <c r="AC360" s="15"/>
      <c r="AD360" s="9"/>
      <c r="AE360" s="38"/>
      <c r="AF360" s="38" t="str">
        <f t="shared" si="36"/>
        <v/>
      </c>
      <c r="AG360" s="15" t="str">
        <f t="shared" si="37"/>
        <v/>
      </c>
      <c r="AH360" s="15"/>
      <c r="AI360" s="15"/>
      <c r="AJ360" s="15"/>
      <c r="AK360" s="15"/>
      <c r="AL360" s="15"/>
      <c r="AM360" s="15"/>
      <c r="AN360" s="9"/>
      <c r="AO360" s="9"/>
      <c r="AP360" s="9"/>
      <c r="AQ360" s="9"/>
      <c r="AR360" s="9" t="str">
        <f t="shared" si="34"/>
        <v/>
      </c>
      <c r="AS360" s="15"/>
      <c r="AT360" s="15"/>
      <c r="AU360" s="15"/>
    </row>
    <row r="361" ht="15.75" customHeight="1">
      <c r="A361" s="15" t="str">
        <f t="shared" si="1"/>
        <v/>
      </c>
      <c r="B361" s="15"/>
      <c r="C361" s="15"/>
      <c r="D361" s="15"/>
      <c r="E361" s="15"/>
      <c r="F361" s="43"/>
      <c r="G361" s="15"/>
      <c r="H361" s="43"/>
      <c r="I361" s="15"/>
      <c r="J361" s="15"/>
      <c r="K361" s="78"/>
      <c r="L361" s="78"/>
      <c r="M361" s="78"/>
      <c r="N361" s="78"/>
      <c r="O361" s="78"/>
      <c r="P361" s="80"/>
      <c r="Q361" s="81"/>
      <c r="R361" s="82"/>
      <c r="S361" s="15"/>
      <c r="T361" s="15"/>
      <c r="U361" s="83"/>
      <c r="V361" s="81"/>
      <c r="W361" s="83"/>
      <c r="X361" s="81"/>
      <c r="Y361" s="83"/>
      <c r="Z361" s="81"/>
      <c r="AA361" s="37"/>
      <c r="AB361" s="37"/>
      <c r="AC361" s="15"/>
      <c r="AD361" s="9"/>
      <c r="AE361" s="38"/>
      <c r="AF361" s="38" t="str">
        <f t="shared" si="36"/>
        <v/>
      </c>
      <c r="AG361" s="15" t="str">
        <f t="shared" si="37"/>
        <v/>
      </c>
      <c r="AH361" s="15"/>
      <c r="AI361" s="15"/>
      <c r="AJ361" s="15"/>
      <c r="AK361" s="15"/>
      <c r="AL361" s="15"/>
      <c r="AM361" s="15"/>
      <c r="AN361" s="9"/>
      <c r="AO361" s="9"/>
      <c r="AP361" s="9"/>
      <c r="AQ361" s="9"/>
      <c r="AR361" s="9" t="str">
        <f t="shared" si="34"/>
        <v/>
      </c>
      <c r="AS361" s="15"/>
      <c r="AT361" s="15"/>
      <c r="AU361" s="15"/>
    </row>
    <row r="362" ht="15.75" customHeight="1">
      <c r="A362" s="15" t="str">
        <f t="shared" si="1"/>
        <v/>
      </c>
      <c r="B362" s="15"/>
      <c r="C362" s="15"/>
      <c r="D362" s="15"/>
      <c r="E362" s="15"/>
      <c r="F362" s="43"/>
      <c r="G362" s="15"/>
      <c r="H362" s="43"/>
      <c r="I362" s="15"/>
      <c r="J362" s="15"/>
      <c r="K362" s="78"/>
      <c r="L362" s="78"/>
      <c r="M362" s="78"/>
      <c r="N362" s="78"/>
      <c r="O362" s="78"/>
      <c r="P362" s="80"/>
      <c r="Q362" s="81"/>
      <c r="R362" s="82"/>
      <c r="S362" s="15"/>
      <c r="T362" s="15"/>
      <c r="U362" s="83"/>
      <c r="V362" s="81"/>
      <c r="W362" s="83"/>
      <c r="X362" s="81"/>
      <c r="Y362" s="83"/>
      <c r="Z362" s="81"/>
      <c r="AA362" s="37"/>
      <c r="AB362" s="37"/>
      <c r="AC362" s="15"/>
      <c r="AD362" s="9"/>
      <c r="AE362" s="38"/>
      <c r="AF362" s="38" t="str">
        <f t="shared" si="36"/>
        <v/>
      </c>
      <c r="AG362" s="15" t="str">
        <f t="shared" si="37"/>
        <v/>
      </c>
      <c r="AH362" s="15"/>
      <c r="AI362" s="15"/>
      <c r="AJ362" s="15"/>
      <c r="AK362" s="15"/>
      <c r="AL362" s="15"/>
      <c r="AM362" s="15"/>
      <c r="AN362" s="9"/>
      <c r="AO362" s="9"/>
      <c r="AP362" s="9"/>
      <c r="AQ362" s="9"/>
      <c r="AR362" s="9" t="str">
        <f t="shared" si="34"/>
        <v/>
      </c>
      <c r="AS362" s="15"/>
      <c r="AT362" s="15"/>
      <c r="AU362" s="15"/>
    </row>
    <row r="363" ht="15.75" customHeight="1">
      <c r="A363" s="15" t="str">
        <f t="shared" si="1"/>
        <v/>
      </c>
      <c r="B363" s="15"/>
      <c r="C363" s="15"/>
      <c r="D363" s="15"/>
      <c r="E363" s="15"/>
      <c r="F363" s="43"/>
      <c r="G363" s="15"/>
      <c r="H363" s="43"/>
      <c r="I363" s="15"/>
      <c r="J363" s="15"/>
      <c r="K363" s="78"/>
      <c r="L363" s="78"/>
      <c r="M363" s="78"/>
      <c r="N363" s="78"/>
      <c r="O363" s="78"/>
      <c r="P363" s="80"/>
      <c r="Q363" s="81"/>
      <c r="R363" s="82"/>
      <c r="S363" s="15"/>
      <c r="T363" s="15"/>
      <c r="U363" s="83"/>
      <c r="V363" s="81"/>
      <c r="W363" s="83"/>
      <c r="X363" s="81"/>
      <c r="Y363" s="83"/>
      <c r="Z363" s="81"/>
      <c r="AA363" s="37"/>
      <c r="AB363" s="37"/>
      <c r="AC363" s="15"/>
      <c r="AD363" s="9"/>
      <c r="AE363" s="38"/>
      <c r="AF363" s="38" t="str">
        <f t="shared" si="36"/>
        <v/>
      </c>
      <c r="AG363" s="15" t="str">
        <f t="shared" si="37"/>
        <v/>
      </c>
      <c r="AH363" s="15"/>
      <c r="AI363" s="15"/>
      <c r="AJ363" s="15"/>
      <c r="AK363" s="15"/>
      <c r="AL363" s="15"/>
      <c r="AM363" s="15"/>
      <c r="AN363" s="9"/>
      <c r="AO363" s="9"/>
      <c r="AP363" s="9"/>
      <c r="AQ363" s="9"/>
      <c r="AR363" s="9" t="str">
        <f t="shared" si="34"/>
        <v/>
      </c>
      <c r="AS363" s="15"/>
      <c r="AT363" s="15"/>
      <c r="AU363" s="15"/>
    </row>
    <row r="364" ht="15.75" customHeight="1">
      <c r="A364" s="15" t="str">
        <f t="shared" si="1"/>
        <v/>
      </c>
      <c r="B364" s="15"/>
      <c r="C364" s="15"/>
      <c r="D364" s="15"/>
      <c r="E364" s="15"/>
      <c r="F364" s="43"/>
      <c r="G364" s="15"/>
      <c r="H364" s="43"/>
      <c r="I364" s="15"/>
      <c r="J364" s="15"/>
      <c r="K364" s="78"/>
      <c r="L364" s="78"/>
      <c r="M364" s="78"/>
      <c r="N364" s="78"/>
      <c r="O364" s="78"/>
      <c r="P364" s="80"/>
      <c r="Q364" s="81"/>
      <c r="R364" s="82"/>
      <c r="S364" s="15"/>
      <c r="T364" s="15"/>
      <c r="U364" s="83"/>
      <c r="V364" s="81"/>
      <c r="W364" s="83"/>
      <c r="X364" s="81"/>
      <c r="Y364" s="83"/>
      <c r="Z364" s="81"/>
      <c r="AA364" s="37"/>
      <c r="AB364" s="37"/>
      <c r="AC364" s="15"/>
      <c r="AD364" s="9"/>
      <c r="AE364" s="38"/>
      <c r="AF364" s="38" t="str">
        <f t="shared" si="36"/>
        <v/>
      </c>
      <c r="AG364" s="15" t="str">
        <f t="shared" si="37"/>
        <v/>
      </c>
      <c r="AH364" s="15"/>
      <c r="AI364" s="15"/>
      <c r="AJ364" s="15"/>
      <c r="AK364" s="15"/>
      <c r="AL364" s="15"/>
      <c r="AM364" s="15"/>
      <c r="AN364" s="9"/>
      <c r="AO364" s="9"/>
      <c r="AP364" s="9"/>
      <c r="AQ364" s="9"/>
      <c r="AR364" s="9" t="str">
        <f t="shared" si="34"/>
        <v/>
      </c>
      <c r="AS364" s="15"/>
      <c r="AT364" s="15"/>
      <c r="AU364" s="15"/>
    </row>
    <row r="365" ht="15.75" customHeight="1">
      <c r="A365" s="15" t="str">
        <f t="shared" si="1"/>
        <v/>
      </c>
      <c r="B365" s="15"/>
      <c r="C365" s="15"/>
      <c r="D365" s="15"/>
      <c r="E365" s="15"/>
      <c r="F365" s="43"/>
      <c r="G365" s="15"/>
      <c r="H365" s="43"/>
      <c r="I365" s="15"/>
      <c r="J365" s="15"/>
      <c r="K365" s="78"/>
      <c r="L365" s="78"/>
      <c r="M365" s="78"/>
      <c r="N365" s="78"/>
      <c r="O365" s="78"/>
      <c r="P365" s="80"/>
      <c r="Q365" s="81"/>
      <c r="R365" s="82"/>
      <c r="S365" s="15"/>
      <c r="T365" s="15"/>
      <c r="U365" s="83"/>
      <c r="V365" s="81"/>
      <c r="W365" s="83"/>
      <c r="X365" s="81"/>
      <c r="Y365" s="83"/>
      <c r="Z365" s="81"/>
      <c r="AA365" s="37"/>
      <c r="AB365" s="37"/>
      <c r="AC365" s="15"/>
      <c r="AD365" s="9"/>
      <c r="AE365" s="38"/>
      <c r="AF365" s="38" t="str">
        <f t="shared" si="36"/>
        <v/>
      </c>
      <c r="AG365" s="15" t="str">
        <f t="shared" si="37"/>
        <v/>
      </c>
      <c r="AH365" s="15"/>
      <c r="AI365" s="15"/>
      <c r="AJ365" s="15"/>
      <c r="AK365" s="15"/>
      <c r="AL365" s="15"/>
      <c r="AM365" s="15"/>
      <c r="AN365" s="9"/>
      <c r="AO365" s="9"/>
      <c r="AP365" s="9"/>
      <c r="AQ365" s="9"/>
      <c r="AR365" s="9" t="str">
        <f t="shared" si="34"/>
        <v/>
      </c>
      <c r="AS365" s="15"/>
      <c r="AT365" s="15"/>
      <c r="AU365" s="15"/>
    </row>
    <row r="366" ht="15.75" customHeight="1">
      <c r="A366" s="15" t="str">
        <f t="shared" si="1"/>
        <v/>
      </c>
      <c r="B366" s="15"/>
      <c r="C366" s="15"/>
      <c r="D366" s="15"/>
      <c r="E366" s="15"/>
      <c r="F366" s="43"/>
      <c r="G366" s="15"/>
      <c r="H366" s="43"/>
      <c r="I366" s="15"/>
      <c r="J366" s="15"/>
      <c r="K366" s="78"/>
      <c r="L366" s="78"/>
      <c r="M366" s="78"/>
      <c r="N366" s="78"/>
      <c r="O366" s="78"/>
      <c r="P366" s="80"/>
      <c r="Q366" s="81"/>
      <c r="R366" s="82"/>
      <c r="S366" s="15"/>
      <c r="T366" s="15"/>
      <c r="U366" s="83"/>
      <c r="V366" s="81"/>
      <c r="W366" s="83"/>
      <c r="X366" s="81"/>
      <c r="Y366" s="83"/>
      <c r="Z366" s="81"/>
      <c r="AA366" s="37"/>
      <c r="AB366" s="37"/>
      <c r="AC366" s="15"/>
      <c r="AD366" s="9"/>
      <c r="AE366" s="38"/>
      <c r="AF366" s="38" t="str">
        <f t="shared" si="36"/>
        <v/>
      </c>
      <c r="AG366" s="15" t="str">
        <f t="shared" si="37"/>
        <v/>
      </c>
      <c r="AH366" s="15"/>
      <c r="AI366" s="15"/>
      <c r="AJ366" s="15"/>
      <c r="AK366" s="15"/>
      <c r="AL366" s="15"/>
      <c r="AM366" s="15"/>
      <c r="AN366" s="9"/>
      <c r="AO366" s="9"/>
      <c r="AP366" s="9"/>
      <c r="AQ366" s="9"/>
      <c r="AR366" s="9" t="str">
        <f t="shared" si="34"/>
        <v/>
      </c>
      <c r="AS366" s="15"/>
      <c r="AT366" s="15"/>
      <c r="AU366" s="15"/>
    </row>
    <row r="367" ht="15.75" customHeight="1">
      <c r="A367" s="15" t="str">
        <f t="shared" si="1"/>
        <v/>
      </c>
      <c r="B367" s="15"/>
      <c r="C367" s="15"/>
      <c r="D367" s="15"/>
      <c r="E367" s="15"/>
      <c r="F367" s="43"/>
      <c r="G367" s="15"/>
      <c r="H367" s="43"/>
      <c r="I367" s="15"/>
      <c r="J367" s="15"/>
      <c r="K367" s="78"/>
      <c r="L367" s="78"/>
      <c r="M367" s="78"/>
      <c r="N367" s="78"/>
      <c r="O367" s="78"/>
      <c r="P367" s="80"/>
      <c r="Q367" s="81"/>
      <c r="R367" s="82"/>
      <c r="S367" s="15"/>
      <c r="T367" s="15"/>
      <c r="U367" s="83"/>
      <c r="V367" s="81"/>
      <c r="W367" s="83"/>
      <c r="X367" s="81"/>
      <c r="Y367" s="83"/>
      <c r="Z367" s="81"/>
      <c r="AA367" s="37"/>
      <c r="AB367" s="37"/>
      <c r="AC367" s="15"/>
      <c r="AD367" s="9"/>
      <c r="AE367" s="38"/>
      <c r="AF367" s="38" t="str">
        <f t="shared" si="36"/>
        <v/>
      </c>
      <c r="AG367" s="15" t="str">
        <f t="shared" si="37"/>
        <v/>
      </c>
      <c r="AH367" s="15"/>
      <c r="AI367" s="15"/>
      <c r="AJ367" s="15"/>
      <c r="AK367" s="15"/>
      <c r="AL367" s="15"/>
      <c r="AM367" s="15"/>
      <c r="AN367" s="9"/>
      <c r="AO367" s="9"/>
      <c r="AP367" s="9"/>
      <c r="AQ367" s="9"/>
      <c r="AR367" s="9" t="str">
        <f t="shared" si="34"/>
        <v/>
      </c>
      <c r="AS367" s="15"/>
      <c r="AT367" s="15"/>
      <c r="AU367" s="15"/>
    </row>
    <row r="368" ht="15.75" customHeight="1">
      <c r="A368" s="15" t="str">
        <f t="shared" si="1"/>
        <v/>
      </c>
      <c r="B368" s="15"/>
      <c r="C368" s="15"/>
      <c r="D368" s="15"/>
      <c r="E368" s="15"/>
      <c r="F368" s="43"/>
      <c r="G368" s="15"/>
      <c r="H368" s="43"/>
      <c r="I368" s="15"/>
      <c r="J368" s="15"/>
      <c r="K368" s="78"/>
      <c r="L368" s="78"/>
      <c r="M368" s="78"/>
      <c r="N368" s="78"/>
      <c r="O368" s="78"/>
      <c r="P368" s="80"/>
      <c r="Q368" s="81"/>
      <c r="R368" s="82"/>
      <c r="S368" s="15"/>
      <c r="T368" s="15"/>
      <c r="U368" s="83"/>
      <c r="V368" s="81"/>
      <c r="W368" s="83"/>
      <c r="X368" s="81"/>
      <c r="Y368" s="83"/>
      <c r="Z368" s="81"/>
      <c r="AA368" s="37"/>
      <c r="AB368" s="37"/>
      <c r="AC368" s="15"/>
      <c r="AD368" s="9"/>
      <c r="AE368" s="38"/>
      <c r="AF368" s="38" t="str">
        <f t="shared" si="36"/>
        <v/>
      </c>
      <c r="AG368" s="15" t="str">
        <f t="shared" si="37"/>
        <v/>
      </c>
      <c r="AH368" s="15"/>
      <c r="AI368" s="15"/>
      <c r="AJ368" s="15"/>
      <c r="AK368" s="15"/>
      <c r="AL368" s="15"/>
      <c r="AM368" s="15"/>
      <c r="AN368" s="9"/>
      <c r="AO368" s="9"/>
      <c r="AP368" s="9"/>
      <c r="AQ368" s="9"/>
      <c r="AR368" s="9" t="str">
        <f t="shared" si="34"/>
        <v/>
      </c>
      <c r="AS368" s="15"/>
      <c r="AT368" s="15"/>
      <c r="AU368" s="15"/>
    </row>
    <row r="369" ht="15.75" customHeight="1">
      <c r="A369" s="15" t="str">
        <f t="shared" si="1"/>
        <v/>
      </c>
      <c r="B369" s="15"/>
      <c r="C369" s="15"/>
      <c r="D369" s="15"/>
      <c r="E369" s="15"/>
      <c r="F369" s="43"/>
      <c r="G369" s="15"/>
      <c r="H369" s="43"/>
      <c r="I369" s="15"/>
      <c r="J369" s="15"/>
      <c r="K369" s="78"/>
      <c r="L369" s="78"/>
      <c r="M369" s="78"/>
      <c r="N369" s="78"/>
      <c r="O369" s="78"/>
      <c r="P369" s="80"/>
      <c r="Q369" s="81"/>
      <c r="R369" s="82"/>
      <c r="S369" s="15"/>
      <c r="T369" s="15"/>
      <c r="U369" s="83"/>
      <c r="V369" s="81"/>
      <c r="W369" s="83"/>
      <c r="X369" s="81"/>
      <c r="Y369" s="83"/>
      <c r="Z369" s="81"/>
      <c r="AA369" s="37"/>
      <c r="AB369" s="37"/>
      <c r="AC369" s="15"/>
      <c r="AD369" s="9"/>
      <c r="AE369" s="38"/>
      <c r="AF369" s="38" t="str">
        <f t="shared" si="36"/>
        <v/>
      </c>
      <c r="AG369" s="15" t="str">
        <f t="shared" si="37"/>
        <v/>
      </c>
      <c r="AH369" s="15"/>
      <c r="AI369" s="15"/>
      <c r="AJ369" s="15"/>
      <c r="AK369" s="15"/>
      <c r="AL369" s="15"/>
      <c r="AM369" s="15"/>
      <c r="AN369" s="9"/>
      <c r="AO369" s="9"/>
      <c r="AP369" s="9"/>
      <c r="AQ369" s="9"/>
      <c r="AR369" s="9" t="str">
        <f t="shared" si="34"/>
        <v/>
      </c>
      <c r="AS369" s="15"/>
      <c r="AT369" s="15"/>
      <c r="AU369" s="15"/>
    </row>
    <row r="370" ht="15.75" customHeight="1">
      <c r="A370" s="15" t="str">
        <f t="shared" si="1"/>
        <v/>
      </c>
      <c r="B370" s="15"/>
      <c r="C370" s="15"/>
      <c r="D370" s="15"/>
      <c r="E370" s="15"/>
      <c r="F370" s="43"/>
      <c r="G370" s="15"/>
      <c r="H370" s="43"/>
      <c r="I370" s="15"/>
      <c r="J370" s="15"/>
      <c r="K370" s="78"/>
      <c r="L370" s="78"/>
      <c r="M370" s="78"/>
      <c r="N370" s="78"/>
      <c r="O370" s="78"/>
      <c r="P370" s="80"/>
      <c r="Q370" s="81"/>
      <c r="R370" s="82"/>
      <c r="S370" s="15"/>
      <c r="T370" s="15"/>
      <c r="U370" s="83"/>
      <c r="V370" s="81"/>
      <c r="W370" s="83"/>
      <c r="X370" s="81"/>
      <c r="Y370" s="83"/>
      <c r="Z370" s="81"/>
      <c r="AA370" s="37"/>
      <c r="AB370" s="37"/>
      <c r="AC370" s="15"/>
      <c r="AD370" s="9"/>
      <c r="AE370" s="38"/>
      <c r="AF370" s="38" t="str">
        <f t="shared" si="36"/>
        <v/>
      </c>
      <c r="AG370" s="15" t="str">
        <f t="shared" si="37"/>
        <v/>
      </c>
      <c r="AH370" s="15"/>
      <c r="AI370" s="15"/>
      <c r="AJ370" s="15"/>
      <c r="AK370" s="15"/>
      <c r="AL370" s="15"/>
      <c r="AM370" s="15"/>
      <c r="AN370" s="9"/>
      <c r="AO370" s="9"/>
      <c r="AP370" s="9"/>
      <c r="AQ370" s="9"/>
      <c r="AR370" s="9" t="str">
        <f t="shared" si="34"/>
        <v/>
      </c>
      <c r="AS370" s="15"/>
      <c r="AT370" s="15"/>
      <c r="AU370" s="15"/>
    </row>
    <row r="371" ht="15.75" customHeight="1">
      <c r="A371" s="15" t="str">
        <f t="shared" si="1"/>
        <v/>
      </c>
      <c r="B371" s="15"/>
      <c r="C371" s="15"/>
      <c r="D371" s="15"/>
      <c r="E371" s="15"/>
      <c r="F371" s="43"/>
      <c r="G371" s="15"/>
      <c r="H371" s="43"/>
      <c r="I371" s="15"/>
      <c r="J371" s="15"/>
      <c r="K371" s="78"/>
      <c r="L371" s="78"/>
      <c r="M371" s="78"/>
      <c r="N371" s="78"/>
      <c r="O371" s="78"/>
      <c r="P371" s="80"/>
      <c r="Q371" s="81"/>
      <c r="R371" s="82"/>
      <c r="S371" s="15"/>
      <c r="T371" s="15"/>
      <c r="U371" s="83"/>
      <c r="V371" s="81"/>
      <c r="W371" s="83"/>
      <c r="X371" s="81"/>
      <c r="Y371" s="83"/>
      <c r="Z371" s="81"/>
      <c r="AA371" s="37"/>
      <c r="AB371" s="37"/>
      <c r="AC371" s="15"/>
      <c r="AD371" s="9"/>
      <c r="AE371" s="38"/>
      <c r="AF371" s="38" t="str">
        <f t="shared" si="36"/>
        <v/>
      </c>
      <c r="AG371" s="15" t="str">
        <f t="shared" si="37"/>
        <v/>
      </c>
      <c r="AH371" s="15"/>
      <c r="AI371" s="15"/>
      <c r="AJ371" s="15"/>
      <c r="AK371" s="15"/>
      <c r="AL371" s="15"/>
      <c r="AM371" s="15"/>
      <c r="AN371" s="9"/>
      <c r="AO371" s="9"/>
      <c r="AP371" s="9"/>
      <c r="AQ371" s="9"/>
      <c r="AR371" s="9" t="str">
        <f t="shared" si="34"/>
        <v/>
      </c>
      <c r="AS371" s="15"/>
      <c r="AT371" s="15"/>
      <c r="AU371" s="15"/>
    </row>
    <row r="372" ht="15.75" customHeight="1">
      <c r="A372" s="15" t="str">
        <f t="shared" si="1"/>
        <v/>
      </c>
      <c r="B372" s="15"/>
      <c r="C372" s="15"/>
      <c r="D372" s="15"/>
      <c r="E372" s="15"/>
      <c r="F372" s="43"/>
      <c r="G372" s="15"/>
      <c r="H372" s="43"/>
      <c r="I372" s="15"/>
      <c r="J372" s="15"/>
      <c r="K372" s="78"/>
      <c r="L372" s="78"/>
      <c r="M372" s="78"/>
      <c r="N372" s="78"/>
      <c r="O372" s="78"/>
      <c r="P372" s="80"/>
      <c r="Q372" s="81"/>
      <c r="R372" s="82"/>
      <c r="S372" s="15"/>
      <c r="T372" s="15"/>
      <c r="U372" s="83"/>
      <c r="V372" s="81"/>
      <c r="W372" s="83"/>
      <c r="X372" s="81"/>
      <c r="Y372" s="83"/>
      <c r="Z372" s="81"/>
      <c r="AA372" s="37"/>
      <c r="AB372" s="37"/>
      <c r="AC372" s="15"/>
      <c r="AD372" s="9"/>
      <c r="AE372" s="38"/>
      <c r="AF372" s="38" t="str">
        <f t="shared" si="36"/>
        <v/>
      </c>
      <c r="AG372" s="15" t="str">
        <f t="shared" si="37"/>
        <v/>
      </c>
      <c r="AH372" s="15"/>
      <c r="AI372" s="15"/>
      <c r="AJ372" s="15"/>
      <c r="AK372" s="15"/>
      <c r="AL372" s="15"/>
      <c r="AM372" s="15"/>
      <c r="AN372" s="9"/>
      <c r="AO372" s="9"/>
      <c r="AP372" s="9"/>
      <c r="AQ372" s="9"/>
      <c r="AR372" s="9" t="str">
        <f t="shared" si="34"/>
        <v/>
      </c>
      <c r="AS372" s="15"/>
      <c r="AT372" s="15"/>
      <c r="AU372" s="15"/>
    </row>
    <row r="373" ht="15.75" customHeight="1">
      <c r="A373" s="15" t="str">
        <f t="shared" si="1"/>
        <v/>
      </c>
      <c r="B373" s="15"/>
      <c r="C373" s="15"/>
      <c r="D373" s="15"/>
      <c r="E373" s="15"/>
      <c r="F373" s="43"/>
      <c r="G373" s="15"/>
      <c r="H373" s="43"/>
      <c r="I373" s="15"/>
      <c r="J373" s="15"/>
      <c r="K373" s="78"/>
      <c r="L373" s="78"/>
      <c r="M373" s="78"/>
      <c r="N373" s="78"/>
      <c r="O373" s="78"/>
      <c r="P373" s="80"/>
      <c r="Q373" s="81"/>
      <c r="R373" s="82"/>
      <c r="S373" s="15"/>
      <c r="T373" s="15"/>
      <c r="U373" s="83"/>
      <c r="V373" s="81"/>
      <c r="W373" s="83"/>
      <c r="X373" s="81"/>
      <c r="Y373" s="83"/>
      <c r="Z373" s="81"/>
      <c r="AA373" s="37"/>
      <c r="AB373" s="37"/>
      <c r="AC373" s="15"/>
      <c r="AD373" s="9"/>
      <c r="AE373" s="38"/>
      <c r="AF373" s="38" t="str">
        <f t="shared" si="36"/>
        <v/>
      </c>
      <c r="AG373" s="15" t="str">
        <f t="shared" si="37"/>
        <v/>
      </c>
      <c r="AH373" s="15"/>
      <c r="AI373" s="15"/>
      <c r="AJ373" s="15"/>
      <c r="AK373" s="15"/>
      <c r="AL373" s="15"/>
      <c r="AM373" s="15"/>
      <c r="AN373" s="9"/>
      <c r="AO373" s="9"/>
      <c r="AP373" s="9"/>
      <c r="AQ373" s="9"/>
      <c r="AR373" s="9" t="str">
        <f t="shared" si="34"/>
        <v/>
      </c>
      <c r="AS373" s="15"/>
      <c r="AT373" s="15"/>
      <c r="AU373" s="15"/>
    </row>
    <row r="374" ht="15.75" customHeight="1">
      <c r="A374" s="15" t="str">
        <f t="shared" si="1"/>
        <v/>
      </c>
      <c r="B374" s="15"/>
      <c r="C374" s="15"/>
      <c r="D374" s="15"/>
      <c r="E374" s="15"/>
      <c r="F374" s="43"/>
      <c r="G374" s="15"/>
      <c r="H374" s="43"/>
      <c r="I374" s="15"/>
      <c r="J374" s="15"/>
      <c r="K374" s="78"/>
      <c r="L374" s="78"/>
      <c r="M374" s="78"/>
      <c r="N374" s="78"/>
      <c r="O374" s="78"/>
      <c r="P374" s="80"/>
      <c r="Q374" s="81"/>
      <c r="R374" s="82"/>
      <c r="S374" s="15"/>
      <c r="T374" s="15"/>
      <c r="U374" s="83"/>
      <c r="V374" s="81"/>
      <c r="W374" s="83"/>
      <c r="X374" s="81"/>
      <c r="Y374" s="83"/>
      <c r="Z374" s="81"/>
      <c r="AA374" s="37"/>
      <c r="AB374" s="37"/>
      <c r="AC374" s="15"/>
      <c r="AD374" s="9"/>
      <c r="AE374" s="38"/>
      <c r="AF374" s="38" t="str">
        <f t="shared" si="36"/>
        <v/>
      </c>
      <c r="AG374" s="15" t="str">
        <f t="shared" si="37"/>
        <v/>
      </c>
      <c r="AH374" s="15"/>
      <c r="AI374" s="15"/>
      <c r="AJ374" s="15"/>
      <c r="AK374" s="15"/>
      <c r="AL374" s="15"/>
      <c r="AM374" s="15"/>
      <c r="AN374" s="9"/>
      <c r="AO374" s="9"/>
      <c r="AP374" s="9"/>
      <c r="AQ374" s="9"/>
      <c r="AR374" s="9" t="str">
        <f t="shared" si="34"/>
        <v/>
      </c>
      <c r="AS374" s="15"/>
      <c r="AT374" s="15"/>
      <c r="AU374" s="15"/>
    </row>
    <row r="375" ht="15.75" customHeight="1">
      <c r="A375" s="15" t="str">
        <f t="shared" si="1"/>
        <v/>
      </c>
      <c r="B375" s="15"/>
      <c r="C375" s="15"/>
      <c r="D375" s="15"/>
      <c r="E375" s="15"/>
      <c r="F375" s="43"/>
      <c r="G375" s="15"/>
      <c r="H375" s="43"/>
      <c r="I375" s="15"/>
      <c r="J375" s="15"/>
      <c r="K375" s="78"/>
      <c r="L375" s="78"/>
      <c r="M375" s="78"/>
      <c r="N375" s="78"/>
      <c r="O375" s="78"/>
      <c r="P375" s="80"/>
      <c r="Q375" s="81"/>
      <c r="R375" s="82"/>
      <c r="S375" s="15"/>
      <c r="T375" s="15"/>
      <c r="U375" s="83"/>
      <c r="V375" s="81"/>
      <c r="W375" s="83"/>
      <c r="X375" s="81"/>
      <c r="Y375" s="83"/>
      <c r="Z375" s="81"/>
      <c r="AA375" s="37"/>
      <c r="AB375" s="37"/>
      <c r="AC375" s="15"/>
      <c r="AD375" s="9"/>
      <c r="AE375" s="38"/>
      <c r="AF375" s="38" t="str">
        <f t="shared" si="36"/>
        <v/>
      </c>
      <c r="AG375" s="15" t="str">
        <f t="shared" si="37"/>
        <v/>
      </c>
      <c r="AH375" s="15"/>
      <c r="AI375" s="15"/>
      <c r="AJ375" s="15"/>
      <c r="AK375" s="15"/>
      <c r="AL375" s="15"/>
      <c r="AM375" s="15"/>
      <c r="AN375" s="9"/>
      <c r="AO375" s="9"/>
      <c r="AP375" s="9"/>
      <c r="AQ375" s="9"/>
      <c r="AR375" s="9" t="str">
        <f t="shared" si="34"/>
        <v/>
      </c>
      <c r="AS375" s="15"/>
      <c r="AT375" s="15"/>
      <c r="AU375" s="15"/>
    </row>
    <row r="376" ht="15.75" customHeight="1">
      <c r="A376" s="15" t="str">
        <f t="shared" si="1"/>
        <v/>
      </c>
      <c r="B376" s="15"/>
      <c r="C376" s="15"/>
      <c r="D376" s="15"/>
      <c r="E376" s="15"/>
      <c r="F376" s="43"/>
      <c r="G376" s="15"/>
      <c r="H376" s="43"/>
      <c r="I376" s="15"/>
      <c r="J376" s="15"/>
      <c r="K376" s="78"/>
      <c r="L376" s="78"/>
      <c r="M376" s="78"/>
      <c r="N376" s="78"/>
      <c r="O376" s="78"/>
      <c r="P376" s="80"/>
      <c r="Q376" s="81"/>
      <c r="R376" s="82"/>
      <c r="S376" s="15"/>
      <c r="T376" s="15"/>
      <c r="U376" s="83"/>
      <c r="V376" s="81"/>
      <c r="W376" s="83"/>
      <c r="X376" s="81"/>
      <c r="Y376" s="83"/>
      <c r="Z376" s="81"/>
      <c r="AA376" s="37"/>
      <c r="AB376" s="37"/>
      <c r="AC376" s="15"/>
      <c r="AD376" s="9"/>
      <c r="AE376" s="38"/>
      <c r="AF376" s="38" t="str">
        <f t="shared" si="36"/>
        <v/>
      </c>
      <c r="AG376" s="15" t="str">
        <f t="shared" si="37"/>
        <v/>
      </c>
      <c r="AH376" s="15"/>
      <c r="AI376" s="15"/>
      <c r="AJ376" s="15"/>
      <c r="AK376" s="15"/>
      <c r="AL376" s="15"/>
      <c r="AM376" s="15"/>
      <c r="AN376" s="9"/>
      <c r="AO376" s="9"/>
      <c r="AP376" s="9"/>
      <c r="AQ376" s="9"/>
      <c r="AR376" s="9" t="str">
        <f t="shared" si="34"/>
        <v/>
      </c>
      <c r="AS376" s="15"/>
      <c r="AT376" s="15"/>
      <c r="AU376" s="15"/>
    </row>
    <row r="377" ht="15.75" customHeight="1">
      <c r="A377" s="15" t="str">
        <f t="shared" si="1"/>
        <v/>
      </c>
      <c r="B377" s="15"/>
      <c r="C377" s="15"/>
      <c r="D377" s="15"/>
      <c r="E377" s="15"/>
      <c r="F377" s="43"/>
      <c r="G377" s="15"/>
      <c r="H377" s="43"/>
      <c r="I377" s="15"/>
      <c r="J377" s="15"/>
      <c r="K377" s="78"/>
      <c r="L377" s="78"/>
      <c r="M377" s="78"/>
      <c r="N377" s="78"/>
      <c r="O377" s="78"/>
      <c r="P377" s="80"/>
      <c r="Q377" s="81"/>
      <c r="R377" s="82"/>
      <c r="S377" s="15"/>
      <c r="T377" s="15"/>
      <c r="U377" s="83"/>
      <c r="V377" s="81"/>
      <c r="W377" s="83"/>
      <c r="X377" s="81"/>
      <c r="Y377" s="83"/>
      <c r="Z377" s="81"/>
      <c r="AA377" s="37"/>
      <c r="AB377" s="37"/>
      <c r="AC377" s="15"/>
      <c r="AD377" s="9"/>
      <c r="AE377" s="38"/>
      <c r="AF377" s="38" t="str">
        <f t="shared" si="36"/>
        <v/>
      </c>
      <c r="AG377" s="15" t="str">
        <f t="shared" si="37"/>
        <v/>
      </c>
      <c r="AH377" s="15"/>
      <c r="AI377" s="15"/>
      <c r="AJ377" s="15"/>
      <c r="AK377" s="15"/>
      <c r="AL377" s="15"/>
      <c r="AM377" s="15"/>
      <c r="AN377" s="9"/>
      <c r="AO377" s="9"/>
      <c r="AP377" s="9"/>
      <c r="AQ377" s="9"/>
      <c r="AR377" s="9" t="str">
        <f t="shared" si="34"/>
        <v/>
      </c>
      <c r="AS377" s="15"/>
      <c r="AT377" s="15"/>
      <c r="AU377" s="15"/>
    </row>
    <row r="378" ht="15.75" customHeight="1">
      <c r="A378" s="15" t="str">
        <f t="shared" si="1"/>
        <v/>
      </c>
      <c r="B378" s="15"/>
      <c r="C378" s="15"/>
      <c r="D378" s="15"/>
      <c r="E378" s="15"/>
      <c r="F378" s="43"/>
      <c r="G378" s="15"/>
      <c r="H378" s="43"/>
      <c r="I378" s="15"/>
      <c r="J378" s="15"/>
      <c r="K378" s="78"/>
      <c r="L378" s="78"/>
      <c r="M378" s="78"/>
      <c r="N378" s="78"/>
      <c r="O378" s="78"/>
      <c r="P378" s="80"/>
      <c r="Q378" s="81"/>
      <c r="R378" s="82"/>
      <c r="S378" s="15"/>
      <c r="T378" s="15"/>
      <c r="U378" s="83"/>
      <c r="V378" s="81"/>
      <c r="W378" s="83"/>
      <c r="X378" s="81"/>
      <c r="Y378" s="83"/>
      <c r="Z378" s="81"/>
      <c r="AA378" s="37"/>
      <c r="AB378" s="37"/>
      <c r="AC378" s="15"/>
      <c r="AD378" s="9"/>
      <c r="AE378" s="38"/>
      <c r="AF378" s="38" t="str">
        <f t="shared" si="36"/>
        <v/>
      </c>
      <c r="AG378" s="15" t="str">
        <f t="shared" si="37"/>
        <v/>
      </c>
      <c r="AH378" s="15"/>
      <c r="AI378" s="15"/>
      <c r="AJ378" s="15"/>
      <c r="AK378" s="15"/>
      <c r="AL378" s="15"/>
      <c r="AM378" s="15"/>
      <c r="AN378" s="9"/>
      <c r="AO378" s="9"/>
      <c r="AP378" s="9"/>
      <c r="AQ378" s="9"/>
      <c r="AR378" s="9" t="str">
        <f t="shared" si="34"/>
        <v/>
      </c>
      <c r="AS378" s="15"/>
      <c r="AT378" s="15"/>
      <c r="AU378" s="15"/>
    </row>
    <row r="379" ht="15.75" customHeight="1">
      <c r="A379" s="15" t="str">
        <f t="shared" si="1"/>
        <v/>
      </c>
      <c r="B379" s="15"/>
      <c r="C379" s="15"/>
      <c r="D379" s="15"/>
      <c r="E379" s="15"/>
      <c r="F379" s="43"/>
      <c r="G379" s="15"/>
      <c r="H379" s="43"/>
      <c r="I379" s="15"/>
      <c r="J379" s="15"/>
      <c r="K379" s="78"/>
      <c r="L379" s="78"/>
      <c r="M379" s="78"/>
      <c r="N379" s="78"/>
      <c r="O379" s="78"/>
      <c r="P379" s="80"/>
      <c r="Q379" s="81"/>
      <c r="R379" s="82"/>
      <c r="S379" s="15"/>
      <c r="T379" s="15"/>
      <c r="U379" s="83"/>
      <c r="V379" s="81"/>
      <c r="W379" s="83"/>
      <c r="X379" s="81"/>
      <c r="Y379" s="83"/>
      <c r="Z379" s="81"/>
      <c r="AA379" s="37"/>
      <c r="AB379" s="37"/>
      <c r="AC379" s="15"/>
      <c r="AD379" s="9"/>
      <c r="AE379" s="38"/>
      <c r="AF379" s="38" t="str">
        <f t="shared" si="36"/>
        <v/>
      </c>
      <c r="AG379" s="15" t="str">
        <f t="shared" si="37"/>
        <v/>
      </c>
      <c r="AH379" s="15"/>
      <c r="AI379" s="15"/>
      <c r="AJ379" s="15"/>
      <c r="AK379" s="15"/>
      <c r="AL379" s="15"/>
      <c r="AM379" s="15"/>
      <c r="AN379" s="9"/>
      <c r="AO379" s="9"/>
      <c r="AP379" s="9"/>
      <c r="AQ379" s="9"/>
      <c r="AR379" s="9" t="str">
        <f t="shared" si="34"/>
        <v/>
      </c>
      <c r="AS379" s="15"/>
      <c r="AT379" s="15"/>
      <c r="AU379" s="15"/>
    </row>
    <row r="380" ht="15.75" customHeight="1">
      <c r="A380" s="15" t="str">
        <f t="shared" si="1"/>
        <v/>
      </c>
      <c r="B380" s="15"/>
      <c r="C380" s="15"/>
      <c r="D380" s="15"/>
      <c r="E380" s="15"/>
      <c r="F380" s="43"/>
      <c r="G380" s="15"/>
      <c r="H380" s="43"/>
      <c r="I380" s="15"/>
      <c r="J380" s="15"/>
      <c r="K380" s="78"/>
      <c r="L380" s="78"/>
      <c r="M380" s="78"/>
      <c r="N380" s="78"/>
      <c r="O380" s="78"/>
      <c r="P380" s="80"/>
      <c r="Q380" s="81"/>
      <c r="R380" s="82"/>
      <c r="S380" s="15"/>
      <c r="T380" s="15"/>
      <c r="U380" s="83"/>
      <c r="V380" s="81"/>
      <c r="W380" s="83"/>
      <c r="X380" s="81"/>
      <c r="Y380" s="83"/>
      <c r="Z380" s="81"/>
      <c r="AA380" s="37"/>
      <c r="AB380" s="37"/>
      <c r="AC380" s="15"/>
      <c r="AD380" s="9"/>
      <c r="AE380" s="38"/>
      <c r="AF380" s="38" t="str">
        <f t="shared" si="36"/>
        <v/>
      </c>
      <c r="AG380" s="15" t="str">
        <f t="shared" si="37"/>
        <v/>
      </c>
      <c r="AH380" s="15"/>
      <c r="AI380" s="15"/>
      <c r="AJ380" s="15"/>
      <c r="AK380" s="15"/>
      <c r="AL380" s="15"/>
      <c r="AM380" s="15"/>
      <c r="AN380" s="9"/>
      <c r="AO380" s="9"/>
      <c r="AP380" s="9"/>
      <c r="AQ380" s="9"/>
      <c r="AR380" s="9" t="str">
        <f t="shared" si="34"/>
        <v/>
      </c>
      <c r="AS380" s="15"/>
      <c r="AT380" s="15"/>
      <c r="AU380" s="15"/>
    </row>
    <row r="381" ht="15.75" customHeight="1">
      <c r="A381" s="15" t="str">
        <f t="shared" si="1"/>
        <v/>
      </c>
      <c r="B381" s="15"/>
      <c r="C381" s="15"/>
      <c r="D381" s="15"/>
      <c r="E381" s="15"/>
      <c r="F381" s="43"/>
      <c r="G381" s="15"/>
      <c r="H381" s="43"/>
      <c r="I381" s="15"/>
      <c r="J381" s="15"/>
      <c r="K381" s="78"/>
      <c r="L381" s="78"/>
      <c r="M381" s="78"/>
      <c r="N381" s="78"/>
      <c r="O381" s="78"/>
      <c r="P381" s="80"/>
      <c r="Q381" s="81"/>
      <c r="R381" s="82"/>
      <c r="S381" s="15"/>
      <c r="T381" s="15"/>
      <c r="U381" s="83"/>
      <c r="V381" s="81"/>
      <c r="W381" s="83"/>
      <c r="X381" s="81"/>
      <c r="Y381" s="83"/>
      <c r="Z381" s="81"/>
      <c r="AA381" s="37"/>
      <c r="AB381" s="37"/>
      <c r="AC381" s="15"/>
      <c r="AD381" s="9"/>
      <c r="AE381" s="38"/>
      <c r="AF381" s="38" t="str">
        <f t="shared" si="36"/>
        <v/>
      </c>
      <c r="AG381" s="15" t="str">
        <f t="shared" si="37"/>
        <v/>
      </c>
      <c r="AH381" s="15"/>
      <c r="AI381" s="15"/>
      <c r="AJ381" s="15"/>
      <c r="AK381" s="15"/>
      <c r="AL381" s="15"/>
      <c r="AM381" s="15"/>
      <c r="AN381" s="9"/>
      <c r="AO381" s="9"/>
      <c r="AP381" s="9"/>
      <c r="AQ381" s="9"/>
      <c r="AR381" s="9" t="str">
        <f t="shared" si="34"/>
        <v/>
      </c>
      <c r="AS381" s="15"/>
      <c r="AT381" s="15"/>
      <c r="AU381" s="15"/>
    </row>
    <row r="382" ht="15.75" customHeight="1">
      <c r="A382" s="15" t="str">
        <f t="shared" si="1"/>
        <v/>
      </c>
      <c r="B382" s="15"/>
      <c r="C382" s="15"/>
      <c r="D382" s="15"/>
      <c r="E382" s="15"/>
      <c r="F382" s="43"/>
      <c r="G382" s="15"/>
      <c r="H382" s="43"/>
      <c r="I382" s="15"/>
      <c r="J382" s="15"/>
      <c r="K382" s="78"/>
      <c r="L382" s="78"/>
      <c r="M382" s="78"/>
      <c r="N382" s="78"/>
      <c r="O382" s="78"/>
      <c r="P382" s="80"/>
      <c r="Q382" s="81"/>
      <c r="R382" s="82"/>
      <c r="S382" s="15"/>
      <c r="T382" s="15"/>
      <c r="U382" s="83"/>
      <c r="V382" s="81"/>
      <c r="W382" s="83"/>
      <c r="X382" s="81"/>
      <c r="Y382" s="83"/>
      <c r="Z382" s="81"/>
      <c r="AA382" s="37"/>
      <c r="AB382" s="37"/>
      <c r="AC382" s="15"/>
      <c r="AD382" s="9"/>
      <c r="AE382" s="38"/>
      <c r="AF382" s="38" t="str">
        <f t="shared" si="36"/>
        <v/>
      </c>
      <c r="AG382" s="15" t="str">
        <f t="shared" si="37"/>
        <v/>
      </c>
      <c r="AH382" s="15"/>
      <c r="AI382" s="15"/>
      <c r="AJ382" s="15"/>
      <c r="AK382" s="15"/>
      <c r="AL382" s="15"/>
      <c r="AM382" s="15"/>
      <c r="AN382" s="9"/>
      <c r="AO382" s="9"/>
      <c r="AP382" s="9"/>
      <c r="AQ382" s="9"/>
      <c r="AR382" s="9" t="str">
        <f t="shared" si="34"/>
        <v/>
      </c>
      <c r="AS382" s="15"/>
      <c r="AT382" s="15"/>
      <c r="AU382" s="15"/>
    </row>
    <row r="383" ht="15.75" customHeight="1">
      <c r="A383" s="15" t="str">
        <f t="shared" si="1"/>
        <v/>
      </c>
      <c r="B383" s="15"/>
      <c r="C383" s="15"/>
      <c r="D383" s="15"/>
      <c r="E383" s="15"/>
      <c r="F383" s="43"/>
      <c r="G383" s="15"/>
      <c r="H383" s="43"/>
      <c r="I383" s="15"/>
      <c r="J383" s="15"/>
      <c r="K383" s="78"/>
      <c r="L383" s="78"/>
      <c r="M383" s="78"/>
      <c r="N383" s="78"/>
      <c r="O383" s="78"/>
      <c r="P383" s="80"/>
      <c r="Q383" s="81"/>
      <c r="R383" s="82"/>
      <c r="S383" s="15"/>
      <c r="T383" s="15"/>
      <c r="U383" s="83"/>
      <c r="V383" s="81"/>
      <c r="W383" s="83"/>
      <c r="X383" s="81"/>
      <c r="Y383" s="83"/>
      <c r="Z383" s="81"/>
      <c r="AA383" s="37"/>
      <c r="AB383" s="37"/>
      <c r="AC383" s="15"/>
      <c r="AD383" s="9"/>
      <c r="AE383" s="38"/>
      <c r="AF383" s="38" t="str">
        <f t="shared" si="36"/>
        <v/>
      </c>
      <c r="AG383" s="15" t="str">
        <f t="shared" si="37"/>
        <v/>
      </c>
      <c r="AH383" s="15"/>
      <c r="AI383" s="15"/>
      <c r="AJ383" s="15"/>
      <c r="AK383" s="15"/>
      <c r="AL383" s="15"/>
      <c r="AM383" s="15"/>
      <c r="AN383" s="9"/>
      <c r="AO383" s="9"/>
      <c r="AP383" s="9"/>
      <c r="AQ383" s="9"/>
      <c r="AR383" s="9" t="str">
        <f t="shared" si="34"/>
        <v/>
      </c>
      <c r="AS383" s="15"/>
      <c r="AT383" s="15"/>
      <c r="AU383" s="15"/>
    </row>
    <row r="384" ht="15.75" customHeight="1">
      <c r="A384" s="15" t="str">
        <f t="shared" si="1"/>
        <v/>
      </c>
      <c r="B384" s="15"/>
      <c r="C384" s="15"/>
      <c r="D384" s="15"/>
      <c r="E384" s="15"/>
      <c r="F384" s="43"/>
      <c r="G384" s="15"/>
      <c r="H384" s="43"/>
      <c r="I384" s="15"/>
      <c r="J384" s="15"/>
      <c r="K384" s="78"/>
      <c r="L384" s="78"/>
      <c r="M384" s="78"/>
      <c r="N384" s="78"/>
      <c r="O384" s="78"/>
      <c r="P384" s="80"/>
      <c r="Q384" s="81"/>
      <c r="R384" s="82"/>
      <c r="S384" s="15"/>
      <c r="T384" s="15"/>
      <c r="U384" s="83"/>
      <c r="V384" s="81"/>
      <c r="W384" s="83"/>
      <c r="X384" s="81"/>
      <c r="Y384" s="83"/>
      <c r="Z384" s="81"/>
      <c r="AA384" s="37"/>
      <c r="AB384" s="37"/>
      <c r="AC384" s="15"/>
      <c r="AD384" s="9"/>
      <c r="AE384" s="38"/>
      <c r="AF384" s="38" t="str">
        <f t="shared" si="36"/>
        <v/>
      </c>
      <c r="AG384" s="15" t="str">
        <f t="shared" si="37"/>
        <v/>
      </c>
      <c r="AH384" s="15"/>
      <c r="AI384" s="15"/>
      <c r="AJ384" s="15"/>
      <c r="AK384" s="15"/>
      <c r="AL384" s="15"/>
      <c r="AM384" s="15"/>
      <c r="AN384" s="9"/>
      <c r="AO384" s="9"/>
      <c r="AP384" s="9"/>
      <c r="AQ384" s="9"/>
      <c r="AR384" s="9" t="str">
        <f t="shared" si="34"/>
        <v/>
      </c>
      <c r="AS384" s="15"/>
      <c r="AT384" s="15"/>
      <c r="AU384" s="15"/>
    </row>
    <row r="385" ht="15.75" customHeight="1">
      <c r="A385" s="15" t="str">
        <f t="shared" si="1"/>
        <v/>
      </c>
      <c r="B385" s="15"/>
      <c r="C385" s="15"/>
      <c r="D385" s="15"/>
      <c r="E385" s="15"/>
      <c r="F385" s="43"/>
      <c r="G385" s="15"/>
      <c r="H385" s="43"/>
      <c r="I385" s="15"/>
      <c r="J385" s="15"/>
      <c r="K385" s="78"/>
      <c r="L385" s="78"/>
      <c r="M385" s="78"/>
      <c r="N385" s="78"/>
      <c r="O385" s="78"/>
      <c r="P385" s="80"/>
      <c r="Q385" s="81"/>
      <c r="R385" s="82"/>
      <c r="S385" s="15"/>
      <c r="T385" s="15"/>
      <c r="U385" s="83"/>
      <c r="V385" s="81"/>
      <c r="W385" s="83"/>
      <c r="X385" s="81"/>
      <c r="Y385" s="83"/>
      <c r="Z385" s="81"/>
      <c r="AA385" s="37"/>
      <c r="AB385" s="37"/>
      <c r="AC385" s="15"/>
      <c r="AD385" s="9"/>
      <c r="AE385" s="38"/>
      <c r="AF385" s="38" t="str">
        <f t="shared" si="36"/>
        <v/>
      </c>
      <c r="AG385" s="15" t="str">
        <f t="shared" si="37"/>
        <v/>
      </c>
      <c r="AH385" s="15"/>
      <c r="AI385" s="15"/>
      <c r="AJ385" s="15"/>
      <c r="AK385" s="15"/>
      <c r="AL385" s="15"/>
      <c r="AM385" s="15"/>
      <c r="AN385" s="9"/>
      <c r="AO385" s="9"/>
      <c r="AP385" s="9"/>
      <c r="AQ385" s="9"/>
      <c r="AR385" s="9" t="str">
        <f t="shared" si="34"/>
        <v/>
      </c>
      <c r="AS385" s="15"/>
      <c r="AT385" s="15"/>
      <c r="AU385" s="15"/>
    </row>
    <row r="386" ht="15.75" customHeight="1">
      <c r="A386" s="15" t="str">
        <f t="shared" si="1"/>
        <v/>
      </c>
      <c r="B386" s="15"/>
      <c r="C386" s="15"/>
      <c r="D386" s="15"/>
      <c r="E386" s="15"/>
      <c r="F386" s="43"/>
      <c r="G386" s="15"/>
      <c r="H386" s="43"/>
      <c r="I386" s="15"/>
      <c r="J386" s="15"/>
      <c r="K386" s="78"/>
      <c r="L386" s="78"/>
      <c r="M386" s="78"/>
      <c r="N386" s="78"/>
      <c r="O386" s="78"/>
      <c r="P386" s="80"/>
      <c r="Q386" s="81"/>
      <c r="R386" s="82"/>
      <c r="S386" s="15"/>
      <c r="T386" s="15"/>
      <c r="U386" s="83"/>
      <c r="V386" s="81"/>
      <c r="W386" s="83"/>
      <c r="X386" s="81"/>
      <c r="Y386" s="83"/>
      <c r="Z386" s="81"/>
      <c r="AA386" s="37"/>
      <c r="AB386" s="37"/>
      <c r="AC386" s="15"/>
      <c r="AD386" s="9"/>
      <c r="AE386" s="38"/>
      <c r="AF386" s="38" t="str">
        <f t="shared" si="36"/>
        <v/>
      </c>
      <c r="AG386" s="15" t="str">
        <f t="shared" si="37"/>
        <v/>
      </c>
      <c r="AH386" s="15"/>
      <c r="AI386" s="15"/>
      <c r="AJ386" s="15"/>
      <c r="AK386" s="15"/>
      <c r="AL386" s="15"/>
      <c r="AM386" s="15"/>
      <c r="AN386" s="9"/>
      <c r="AO386" s="9"/>
      <c r="AP386" s="9"/>
      <c r="AQ386" s="9"/>
      <c r="AR386" s="9" t="str">
        <f t="shared" si="34"/>
        <v/>
      </c>
      <c r="AS386" s="15"/>
      <c r="AT386" s="15"/>
      <c r="AU386" s="15"/>
    </row>
    <row r="387" ht="15.75" customHeight="1">
      <c r="A387" s="15" t="str">
        <f t="shared" si="1"/>
        <v/>
      </c>
      <c r="B387" s="15"/>
      <c r="C387" s="15"/>
      <c r="D387" s="15"/>
      <c r="E387" s="15"/>
      <c r="F387" s="43"/>
      <c r="G387" s="15"/>
      <c r="H387" s="43"/>
      <c r="I387" s="15"/>
      <c r="J387" s="15"/>
      <c r="K387" s="78"/>
      <c r="L387" s="78"/>
      <c r="M387" s="78"/>
      <c r="N387" s="78"/>
      <c r="O387" s="78"/>
      <c r="P387" s="80"/>
      <c r="Q387" s="81"/>
      <c r="R387" s="82"/>
      <c r="S387" s="15"/>
      <c r="T387" s="15"/>
      <c r="U387" s="83"/>
      <c r="V387" s="81"/>
      <c r="W387" s="83"/>
      <c r="X387" s="81"/>
      <c r="Y387" s="83"/>
      <c r="Z387" s="81"/>
      <c r="AA387" s="37"/>
      <c r="AB387" s="37"/>
      <c r="AC387" s="15"/>
      <c r="AD387" s="9"/>
      <c r="AE387" s="38"/>
      <c r="AF387" s="38" t="str">
        <f t="shared" si="36"/>
        <v/>
      </c>
      <c r="AG387" s="15" t="str">
        <f t="shared" si="37"/>
        <v/>
      </c>
      <c r="AH387" s="15"/>
      <c r="AI387" s="15"/>
      <c r="AJ387" s="15"/>
      <c r="AK387" s="15"/>
      <c r="AL387" s="15"/>
      <c r="AM387" s="15"/>
      <c r="AN387" s="9"/>
      <c r="AO387" s="9"/>
      <c r="AP387" s="9"/>
      <c r="AQ387" s="9"/>
      <c r="AR387" s="9" t="str">
        <f t="shared" si="34"/>
        <v/>
      </c>
      <c r="AS387" s="15"/>
      <c r="AT387" s="15"/>
      <c r="AU387" s="15"/>
    </row>
    <row r="388" ht="15.75" customHeight="1">
      <c r="A388" s="15" t="str">
        <f t="shared" si="1"/>
        <v/>
      </c>
      <c r="B388" s="15"/>
      <c r="C388" s="15"/>
      <c r="D388" s="15"/>
      <c r="E388" s="15"/>
      <c r="F388" s="43"/>
      <c r="G388" s="15"/>
      <c r="H388" s="43"/>
      <c r="I388" s="15"/>
      <c r="J388" s="15"/>
      <c r="K388" s="78"/>
      <c r="L388" s="78"/>
      <c r="M388" s="78"/>
      <c r="N388" s="78"/>
      <c r="O388" s="78"/>
      <c r="P388" s="80"/>
      <c r="Q388" s="81"/>
      <c r="R388" s="82"/>
      <c r="S388" s="15"/>
      <c r="T388" s="15"/>
      <c r="U388" s="83"/>
      <c r="V388" s="81"/>
      <c r="W388" s="83"/>
      <c r="X388" s="81"/>
      <c r="Y388" s="83"/>
      <c r="Z388" s="81"/>
      <c r="AA388" s="37"/>
      <c r="AB388" s="37"/>
      <c r="AC388" s="15"/>
      <c r="AD388" s="9"/>
      <c r="AE388" s="38"/>
      <c r="AF388" s="38" t="str">
        <f t="shared" si="36"/>
        <v/>
      </c>
      <c r="AG388" s="15" t="str">
        <f t="shared" si="37"/>
        <v/>
      </c>
      <c r="AH388" s="15"/>
      <c r="AI388" s="15"/>
      <c r="AJ388" s="15"/>
      <c r="AK388" s="15"/>
      <c r="AL388" s="15"/>
      <c r="AM388" s="15"/>
      <c r="AN388" s="9"/>
      <c r="AO388" s="9"/>
      <c r="AP388" s="9"/>
      <c r="AQ388" s="9"/>
      <c r="AR388" s="9" t="str">
        <f t="shared" si="34"/>
        <v/>
      </c>
      <c r="AS388" s="15"/>
      <c r="AT388" s="15"/>
      <c r="AU388" s="15"/>
    </row>
    <row r="389" ht="15.75" customHeight="1">
      <c r="A389" s="15" t="str">
        <f t="shared" si="1"/>
        <v/>
      </c>
      <c r="B389" s="15"/>
      <c r="C389" s="15"/>
      <c r="D389" s="15"/>
      <c r="E389" s="15"/>
      <c r="F389" s="43"/>
      <c r="G389" s="15"/>
      <c r="H389" s="43"/>
      <c r="I389" s="15"/>
      <c r="J389" s="15"/>
      <c r="K389" s="78"/>
      <c r="L389" s="78"/>
      <c r="M389" s="78"/>
      <c r="N389" s="78"/>
      <c r="O389" s="78"/>
      <c r="P389" s="80"/>
      <c r="Q389" s="81"/>
      <c r="R389" s="82"/>
      <c r="S389" s="15"/>
      <c r="T389" s="15"/>
      <c r="U389" s="83"/>
      <c r="V389" s="81"/>
      <c r="W389" s="83"/>
      <c r="X389" s="81"/>
      <c r="Y389" s="83"/>
      <c r="Z389" s="81"/>
      <c r="AA389" s="37"/>
      <c r="AB389" s="37"/>
      <c r="AC389" s="15"/>
      <c r="AD389" s="9"/>
      <c r="AE389" s="38"/>
      <c r="AF389" s="38" t="str">
        <f t="shared" si="36"/>
        <v/>
      </c>
      <c r="AG389" s="15" t="str">
        <f t="shared" si="37"/>
        <v/>
      </c>
      <c r="AH389" s="15"/>
      <c r="AI389" s="15"/>
      <c r="AJ389" s="15"/>
      <c r="AK389" s="15"/>
      <c r="AL389" s="15"/>
      <c r="AM389" s="15"/>
      <c r="AN389" s="9"/>
      <c r="AO389" s="9"/>
      <c r="AP389" s="9"/>
      <c r="AQ389" s="9"/>
      <c r="AR389" s="9" t="str">
        <f t="shared" si="34"/>
        <v/>
      </c>
      <c r="AS389" s="15"/>
      <c r="AT389" s="15"/>
      <c r="AU389" s="15"/>
    </row>
    <row r="390" ht="15.75" customHeight="1">
      <c r="A390" s="15" t="str">
        <f t="shared" si="1"/>
        <v/>
      </c>
      <c r="B390" s="15"/>
      <c r="C390" s="15"/>
      <c r="D390" s="15"/>
      <c r="E390" s="15"/>
      <c r="F390" s="43"/>
      <c r="G390" s="15"/>
      <c r="H390" s="43"/>
      <c r="I390" s="15"/>
      <c r="J390" s="15"/>
      <c r="K390" s="78"/>
      <c r="L390" s="78"/>
      <c r="M390" s="78"/>
      <c r="N390" s="78"/>
      <c r="O390" s="78"/>
      <c r="P390" s="80"/>
      <c r="Q390" s="81"/>
      <c r="R390" s="82"/>
      <c r="S390" s="15"/>
      <c r="T390" s="15"/>
      <c r="U390" s="83"/>
      <c r="V390" s="81"/>
      <c r="W390" s="83"/>
      <c r="X390" s="81"/>
      <c r="Y390" s="83"/>
      <c r="Z390" s="81"/>
      <c r="AA390" s="37"/>
      <c r="AB390" s="37"/>
      <c r="AC390" s="15"/>
      <c r="AD390" s="9"/>
      <c r="AE390" s="38"/>
      <c r="AF390" s="38" t="str">
        <f t="shared" si="36"/>
        <v/>
      </c>
      <c r="AG390" s="15" t="str">
        <f t="shared" si="37"/>
        <v/>
      </c>
      <c r="AH390" s="15"/>
      <c r="AI390" s="15"/>
      <c r="AJ390" s="15"/>
      <c r="AK390" s="15"/>
      <c r="AL390" s="15"/>
      <c r="AM390" s="15"/>
      <c r="AN390" s="9"/>
      <c r="AO390" s="9"/>
      <c r="AP390" s="9"/>
      <c r="AQ390" s="9"/>
      <c r="AR390" s="9" t="str">
        <f t="shared" si="34"/>
        <v/>
      </c>
      <c r="AS390" s="15"/>
      <c r="AT390" s="15"/>
      <c r="AU390" s="15"/>
    </row>
    <row r="391" ht="15.75" customHeight="1">
      <c r="A391" s="15" t="str">
        <f t="shared" si="1"/>
        <v/>
      </c>
      <c r="B391" s="15"/>
      <c r="C391" s="15"/>
      <c r="D391" s="15"/>
      <c r="E391" s="15"/>
      <c r="F391" s="43"/>
      <c r="G391" s="15"/>
      <c r="H391" s="43"/>
      <c r="I391" s="15"/>
      <c r="J391" s="15"/>
      <c r="K391" s="78"/>
      <c r="L391" s="78"/>
      <c r="M391" s="78"/>
      <c r="N391" s="78"/>
      <c r="O391" s="78"/>
      <c r="P391" s="80"/>
      <c r="Q391" s="81"/>
      <c r="R391" s="82"/>
      <c r="S391" s="15"/>
      <c r="T391" s="15"/>
      <c r="U391" s="83"/>
      <c r="V391" s="81"/>
      <c r="W391" s="83"/>
      <c r="X391" s="81"/>
      <c r="Y391" s="83"/>
      <c r="Z391" s="81"/>
      <c r="AA391" s="37"/>
      <c r="AB391" s="37"/>
      <c r="AC391" s="15"/>
      <c r="AD391" s="9"/>
      <c r="AE391" s="38"/>
      <c r="AF391" s="38" t="str">
        <f t="shared" si="36"/>
        <v/>
      </c>
      <c r="AG391" s="15" t="str">
        <f t="shared" si="37"/>
        <v/>
      </c>
      <c r="AH391" s="15"/>
      <c r="AI391" s="15"/>
      <c r="AJ391" s="15"/>
      <c r="AK391" s="15"/>
      <c r="AL391" s="15"/>
      <c r="AM391" s="15"/>
      <c r="AN391" s="9"/>
      <c r="AO391" s="9"/>
      <c r="AP391" s="9"/>
      <c r="AQ391" s="9"/>
      <c r="AR391" s="9" t="str">
        <f t="shared" si="34"/>
        <v/>
      </c>
      <c r="AS391" s="15"/>
      <c r="AT391" s="15"/>
      <c r="AU391" s="15"/>
    </row>
    <row r="392" ht="15.75" customHeight="1">
      <c r="A392" s="15" t="str">
        <f t="shared" si="1"/>
        <v/>
      </c>
      <c r="B392" s="15"/>
      <c r="C392" s="15"/>
      <c r="D392" s="15"/>
      <c r="E392" s="15"/>
      <c r="F392" s="43"/>
      <c r="G392" s="15"/>
      <c r="H392" s="43"/>
      <c r="I392" s="15"/>
      <c r="J392" s="15"/>
      <c r="K392" s="78"/>
      <c r="L392" s="78"/>
      <c r="M392" s="78"/>
      <c r="N392" s="78"/>
      <c r="O392" s="78"/>
      <c r="P392" s="80"/>
      <c r="Q392" s="81"/>
      <c r="R392" s="82"/>
      <c r="S392" s="15"/>
      <c r="T392" s="15"/>
      <c r="U392" s="83"/>
      <c r="V392" s="81"/>
      <c r="W392" s="83"/>
      <c r="X392" s="81"/>
      <c r="Y392" s="83"/>
      <c r="Z392" s="81"/>
      <c r="AA392" s="37"/>
      <c r="AB392" s="37"/>
      <c r="AC392" s="15"/>
      <c r="AD392" s="9"/>
      <c r="AE392" s="38"/>
      <c r="AF392" s="38" t="str">
        <f t="shared" si="36"/>
        <v/>
      </c>
      <c r="AG392" s="15" t="str">
        <f t="shared" si="37"/>
        <v/>
      </c>
      <c r="AH392" s="15"/>
      <c r="AI392" s="15"/>
      <c r="AJ392" s="15"/>
      <c r="AK392" s="15"/>
      <c r="AL392" s="15"/>
      <c r="AM392" s="15"/>
      <c r="AN392" s="9"/>
      <c r="AO392" s="9"/>
      <c r="AP392" s="9"/>
      <c r="AQ392" s="9"/>
      <c r="AR392" s="9" t="str">
        <f t="shared" si="34"/>
        <v/>
      </c>
      <c r="AS392" s="15"/>
      <c r="AT392" s="15"/>
      <c r="AU392" s="15"/>
    </row>
    <row r="393" ht="15.75" customHeight="1">
      <c r="A393" s="15" t="str">
        <f t="shared" si="1"/>
        <v/>
      </c>
      <c r="B393" s="15"/>
      <c r="C393" s="15"/>
      <c r="D393" s="15"/>
      <c r="E393" s="15"/>
      <c r="F393" s="43"/>
      <c r="G393" s="15"/>
      <c r="H393" s="43"/>
      <c r="I393" s="15"/>
      <c r="J393" s="15"/>
      <c r="K393" s="78"/>
      <c r="L393" s="78"/>
      <c r="M393" s="78"/>
      <c r="N393" s="78"/>
      <c r="O393" s="78"/>
      <c r="P393" s="80"/>
      <c r="Q393" s="81"/>
      <c r="R393" s="82"/>
      <c r="S393" s="15"/>
      <c r="T393" s="15"/>
      <c r="U393" s="83"/>
      <c r="V393" s="81"/>
      <c r="W393" s="83"/>
      <c r="X393" s="81"/>
      <c r="Y393" s="83"/>
      <c r="Z393" s="81"/>
      <c r="AA393" s="37"/>
      <c r="AB393" s="37"/>
      <c r="AC393" s="15"/>
      <c r="AD393" s="9"/>
      <c r="AE393" s="38"/>
      <c r="AF393" s="38" t="str">
        <f t="shared" si="36"/>
        <v/>
      </c>
      <c r="AG393" s="15" t="str">
        <f t="shared" si="37"/>
        <v/>
      </c>
      <c r="AH393" s="15"/>
      <c r="AI393" s="15"/>
      <c r="AJ393" s="15"/>
      <c r="AK393" s="15"/>
      <c r="AL393" s="15"/>
      <c r="AM393" s="15"/>
      <c r="AN393" s="9"/>
      <c r="AO393" s="9"/>
      <c r="AP393" s="9"/>
      <c r="AQ393" s="9"/>
      <c r="AR393" s="9" t="str">
        <f t="shared" si="34"/>
        <v/>
      </c>
      <c r="AS393" s="15"/>
      <c r="AT393" s="15"/>
      <c r="AU393" s="15"/>
    </row>
    <row r="394" ht="15.75" customHeight="1">
      <c r="A394" s="15" t="str">
        <f t="shared" si="1"/>
        <v/>
      </c>
      <c r="B394" s="15"/>
      <c r="C394" s="15"/>
      <c r="D394" s="15"/>
      <c r="E394" s="15"/>
      <c r="F394" s="43"/>
      <c r="G394" s="15"/>
      <c r="H394" s="43"/>
      <c r="I394" s="15"/>
      <c r="J394" s="15"/>
      <c r="K394" s="78"/>
      <c r="L394" s="78"/>
      <c r="M394" s="78"/>
      <c r="N394" s="78"/>
      <c r="O394" s="78"/>
      <c r="P394" s="80"/>
      <c r="Q394" s="81"/>
      <c r="R394" s="82"/>
      <c r="S394" s="15"/>
      <c r="T394" s="15"/>
      <c r="U394" s="83"/>
      <c r="V394" s="81"/>
      <c r="W394" s="83"/>
      <c r="X394" s="81"/>
      <c r="Y394" s="83"/>
      <c r="Z394" s="81"/>
      <c r="AA394" s="37"/>
      <c r="AB394" s="37"/>
      <c r="AC394" s="15"/>
      <c r="AD394" s="9"/>
      <c r="AE394" s="38"/>
      <c r="AF394" s="38" t="str">
        <f t="shared" si="36"/>
        <v/>
      </c>
      <c r="AG394" s="15" t="str">
        <f t="shared" si="37"/>
        <v/>
      </c>
      <c r="AH394" s="15"/>
      <c r="AI394" s="15"/>
      <c r="AJ394" s="15"/>
      <c r="AK394" s="15"/>
      <c r="AL394" s="15"/>
      <c r="AM394" s="15"/>
      <c r="AN394" s="9"/>
      <c r="AO394" s="9"/>
      <c r="AP394" s="9"/>
      <c r="AQ394" s="9"/>
      <c r="AR394" s="9" t="str">
        <f t="shared" si="34"/>
        <v/>
      </c>
      <c r="AS394" s="15"/>
      <c r="AT394" s="15"/>
      <c r="AU394" s="15"/>
    </row>
    <row r="395" ht="15.75" customHeight="1">
      <c r="A395" s="15" t="str">
        <f t="shared" si="1"/>
        <v/>
      </c>
      <c r="B395" s="15"/>
      <c r="C395" s="15"/>
      <c r="D395" s="15"/>
      <c r="E395" s="15"/>
      <c r="F395" s="43"/>
      <c r="G395" s="15"/>
      <c r="H395" s="43"/>
      <c r="I395" s="15"/>
      <c r="J395" s="15"/>
      <c r="K395" s="78"/>
      <c r="L395" s="78"/>
      <c r="M395" s="78"/>
      <c r="N395" s="78"/>
      <c r="O395" s="78"/>
      <c r="P395" s="80"/>
      <c r="Q395" s="81"/>
      <c r="R395" s="82"/>
      <c r="S395" s="15"/>
      <c r="T395" s="15"/>
      <c r="U395" s="83"/>
      <c r="V395" s="81"/>
      <c r="W395" s="83"/>
      <c r="X395" s="81"/>
      <c r="Y395" s="83"/>
      <c r="Z395" s="81"/>
      <c r="AA395" s="37"/>
      <c r="AB395" s="37"/>
      <c r="AC395" s="15"/>
      <c r="AD395" s="9"/>
      <c r="AE395" s="38"/>
      <c r="AF395" s="38" t="str">
        <f t="shared" si="36"/>
        <v/>
      </c>
      <c r="AG395" s="15" t="str">
        <f t="shared" si="37"/>
        <v/>
      </c>
      <c r="AH395" s="15"/>
      <c r="AI395" s="15"/>
      <c r="AJ395" s="15"/>
      <c r="AK395" s="15"/>
      <c r="AL395" s="15"/>
      <c r="AM395" s="15"/>
      <c r="AN395" s="9"/>
      <c r="AO395" s="9"/>
      <c r="AP395" s="9"/>
      <c r="AQ395" s="9"/>
      <c r="AR395" s="9" t="str">
        <f t="shared" si="34"/>
        <v/>
      </c>
      <c r="AS395" s="15"/>
      <c r="AT395" s="15"/>
      <c r="AU395" s="15"/>
    </row>
    <row r="396" ht="15.75" customHeight="1">
      <c r="A396" s="15" t="str">
        <f t="shared" si="1"/>
        <v/>
      </c>
      <c r="B396" s="15"/>
      <c r="C396" s="15"/>
      <c r="D396" s="15"/>
      <c r="E396" s="15"/>
      <c r="F396" s="43"/>
      <c r="G396" s="15"/>
      <c r="H396" s="43"/>
      <c r="I396" s="15"/>
      <c r="J396" s="15"/>
      <c r="K396" s="78"/>
      <c r="L396" s="78"/>
      <c r="M396" s="78"/>
      <c r="N396" s="78"/>
      <c r="O396" s="78"/>
      <c r="P396" s="80"/>
      <c r="Q396" s="81"/>
      <c r="R396" s="82"/>
      <c r="S396" s="15"/>
      <c r="T396" s="15"/>
      <c r="U396" s="83"/>
      <c r="V396" s="81"/>
      <c r="W396" s="83"/>
      <c r="X396" s="81"/>
      <c r="Y396" s="83"/>
      <c r="Z396" s="81"/>
      <c r="AA396" s="37"/>
      <c r="AB396" s="37"/>
      <c r="AC396" s="15"/>
      <c r="AD396" s="9"/>
      <c r="AE396" s="38"/>
      <c r="AF396" s="38" t="str">
        <f t="shared" si="36"/>
        <v/>
      </c>
      <c r="AG396" s="15" t="str">
        <f t="shared" si="37"/>
        <v/>
      </c>
      <c r="AH396" s="15"/>
      <c r="AI396" s="15"/>
      <c r="AJ396" s="15"/>
      <c r="AK396" s="15"/>
      <c r="AL396" s="15"/>
      <c r="AM396" s="15"/>
      <c r="AN396" s="9"/>
      <c r="AO396" s="9"/>
      <c r="AP396" s="9"/>
      <c r="AQ396" s="9"/>
      <c r="AR396" s="9" t="str">
        <f t="shared" ref="AR396:AR598" si="38">IF(COUNTA(AO396:AQ396)+COUNT(AN396)=0,"",ROUND(AO396*0.3+AP396*0.4+AQ396*0.2+AN396*0.1,1))</f>
        <v/>
      </c>
      <c r="AS396" s="15"/>
      <c r="AT396" s="15"/>
      <c r="AU396" s="15"/>
    </row>
    <row r="397" ht="15.75" customHeight="1">
      <c r="A397" s="15" t="str">
        <f t="shared" si="1"/>
        <v/>
      </c>
      <c r="B397" s="15"/>
      <c r="C397" s="15"/>
      <c r="D397" s="15"/>
      <c r="E397" s="15"/>
      <c r="F397" s="43"/>
      <c r="G397" s="15"/>
      <c r="H397" s="43"/>
      <c r="I397" s="15"/>
      <c r="J397" s="15"/>
      <c r="K397" s="78"/>
      <c r="L397" s="78"/>
      <c r="M397" s="78"/>
      <c r="N397" s="78"/>
      <c r="O397" s="78"/>
      <c r="P397" s="80"/>
      <c r="Q397" s="81"/>
      <c r="R397" s="82"/>
      <c r="S397" s="15"/>
      <c r="T397" s="15"/>
      <c r="U397" s="83"/>
      <c r="V397" s="81"/>
      <c r="W397" s="83"/>
      <c r="X397" s="81"/>
      <c r="Y397" s="83"/>
      <c r="Z397" s="81"/>
      <c r="AA397" s="37"/>
      <c r="AB397" s="37"/>
      <c r="AC397" s="15"/>
      <c r="AD397" s="9"/>
      <c r="AE397" s="38"/>
      <c r="AF397" s="38" t="str">
        <f t="shared" si="36"/>
        <v/>
      </c>
      <c r="AG397" s="15" t="str">
        <f t="shared" si="37"/>
        <v/>
      </c>
      <c r="AH397" s="15"/>
      <c r="AI397" s="15"/>
      <c r="AJ397" s="15"/>
      <c r="AK397" s="15"/>
      <c r="AL397" s="15"/>
      <c r="AM397" s="15"/>
      <c r="AN397" s="9"/>
      <c r="AO397" s="9"/>
      <c r="AP397" s="9"/>
      <c r="AQ397" s="9"/>
      <c r="AR397" s="9" t="str">
        <f t="shared" si="38"/>
        <v/>
      </c>
      <c r="AS397" s="15"/>
      <c r="AT397" s="15"/>
      <c r="AU397" s="15"/>
    </row>
    <row r="398" ht="15.75" customHeight="1">
      <c r="A398" s="15" t="str">
        <f t="shared" si="1"/>
        <v/>
      </c>
      <c r="B398" s="15"/>
      <c r="C398" s="15"/>
      <c r="D398" s="15"/>
      <c r="E398" s="15"/>
      <c r="F398" s="43"/>
      <c r="G398" s="15"/>
      <c r="H398" s="43"/>
      <c r="I398" s="15"/>
      <c r="J398" s="15"/>
      <c r="K398" s="78"/>
      <c r="L398" s="78"/>
      <c r="M398" s="78"/>
      <c r="N398" s="78"/>
      <c r="O398" s="78"/>
      <c r="P398" s="80"/>
      <c r="Q398" s="81"/>
      <c r="R398" s="82"/>
      <c r="S398" s="15"/>
      <c r="T398" s="15"/>
      <c r="U398" s="83"/>
      <c r="V398" s="81"/>
      <c r="W398" s="83"/>
      <c r="X398" s="81"/>
      <c r="Y398" s="83"/>
      <c r="Z398" s="81"/>
      <c r="AA398" s="37"/>
      <c r="AB398" s="37"/>
      <c r="AC398" s="15"/>
      <c r="AD398" s="9"/>
      <c r="AE398" s="38"/>
      <c r="AF398" s="38" t="str">
        <f t="shared" si="36"/>
        <v/>
      </c>
      <c r="AG398" s="15" t="str">
        <f t="shared" si="37"/>
        <v/>
      </c>
      <c r="AH398" s="15"/>
      <c r="AI398" s="15"/>
      <c r="AJ398" s="15"/>
      <c r="AK398" s="15"/>
      <c r="AL398" s="15"/>
      <c r="AM398" s="15"/>
      <c r="AN398" s="9"/>
      <c r="AO398" s="9"/>
      <c r="AP398" s="9"/>
      <c r="AQ398" s="9"/>
      <c r="AR398" s="9" t="str">
        <f t="shared" si="38"/>
        <v/>
      </c>
      <c r="AS398" s="15"/>
      <c r="AT398" s="15"/>
      <c r="AU398" s="15"/>
    </row>
    <row r="399" ht="15.75" customHeight="1">
      <c r="A399" s="15" t="str">
        <f t="shared" si="1"/>
        <v/>
      </c>
      <c r="B399" s="15"/>
      <c r="C399" s="15"/>
      <c r="D399" s="15"/>
      <c r="E399" s="15"/>
      <c r="F399" s="43"/>
      <c r="G399" s="15"/>
      <c r="H399" s="43"/>
      <c r="I399" s="15"/>
      <c r="J399" s="15"/>
      <c r="K399" s="78"/>
      <c r="L399" s="78"/>
      <c r="M399" s="78"/>
      <c r="N399" s="78"/>
      <c r="O399" s="78"/>
      <c r="P399" s="80"/>
      <c r="Q399" s="81"/>
      <c r="R399" s="82"/>
      <c r="S399" s="15"/>
      <c r="T399" s="15"/>
      <c r="U399" s="83"/>
      <c r="V399" s="81"/>
      <c r="W399" s="83"/>
      <c r="X399" s="81"/>
      <c r="Y399" s="83"/>
      <c r="Z399" s="81"/>
      <c r="AA399" s="37"/>
      <c r="AB399" s="37"/>
      <c r="AC399" s="15"/>
      <c r="AD399" s="9"/>
      <c r="AE399" s="38"/>
      <c r="AF399" s="38" t="str">
        <f t="shared" si="36"/>
        <v/>
      </c>
      <c r="AG399" s="15" t="str">
        <f t="shared" si="37"/>
        <v/>
      </c>
      <c r="AH399" s="15"/>
      <c r="AI399" s="15"/>
      <c r="AJ399" s="15"/>
      <c r="AK399" s="15"/>
      <c r="AL399" s="15"/>
      <c r="AM399" s="15"/>
      <c r="AN399" s="9"/>
      <c r="AO399" s="9"/>
      <c r="AP399" s="9"/>
      <c r="AQ399" s="9"/>
      <c r="AR399" s="9" t="str">
        <f t="shared" si="38"/>
        <v/>
      </c>
      <c r="AS399" s="15"/>
      <c r="AT399" s="15"/>
      <c r="AU399" s="15"/>
    </row>
    <row r="400" ht="15.75" customHeight="1">
      <c r="A400" s="15" t="str">
        <f t="shared" si="1"/>
        <v/>
      </c>
      <c r="B400" s="15"/>
      <c r="C400" s="15"/>
      <c r="D400" s="15"/>
      <c r="E400" s="15"/>
      <c r="F400" s="43"/>
      <c r="G400" s="15"/>
      <c r="H400" s="43"/>
      <c r="I400" s="15"/>
      <c r="J400" s="15"/>
      <c r="K400" s="78"/>
      <c r="L400" s="78"/>
      <c r="M400" s="78"/>
      <c r="N400" s="78"/>
      <c r="O400" s="78"/>
      <c r="P400" s="80"/>
      <c r="Q400" s="81"/>
      <c r="R400" s="82"/>
      <c r="S400" s="15"/>
      <c r="T400" s="15"/>
      <c r="U400" s="83"/>
      <c r="V400" s="81"/>
      <c r="W400" s="83"/>
      <c r="X400" s="81"/>
      <c r="Y400" s="83"/>
      <c r="Z400" s="81"/>
      <c r="AA400" s="37"/>
      <c r="AB400" s="37"/>
      <c r="AC400" s="15"/>
      <c r="AD400" s="9"/>
      <c r="AE400" s="38"/>
      <c r="AF400" s="38" t="str">
        <f t="shared" si="36"/>
        <v/>
      </c>
      <c r="AG400" s="15" t="str">
        <f t="shared" si="37"/>
        <v/>
      </c>
      <c r="AH400" s="15"/>
      <c r="AI400" s="15"/>
      <c r="AJ400" s="15"/>
      <c r="AK400" s="15"/>
      <c r="AL400" s="15"/>
      <c r="AM400" s="15"/>
      <c r="AN400" s="9"/>
      <c r="AO400" s="9"/>
      <c r="AP400" s="9"/>
      <c r="AQ400" s="9"/>
      <c r="AR400" s="9" t="str">
        <f t="shared" si="38"/>
        <v/>
      </c>
      <c r="AS400" s="15"/>
      <c r="AT400" s="15"/>
      <c r="AU400" s="15"/>
    </row>
    <row r="401" ht="15.75" customHeight="1">
      <c r="A401" s="15" t="str">
        <f t="shared" si="1"/>
        <v/>
      </c>
      <c r="B401" s="15"/>
      <c r="C401" s="15"/>
      <c r="D401" s="15"/>
      <c r="E401" s="15"/>
      <c r="F401" s="43"/>
      <c r="G401" s="15"/>
      <c r="H401" s="43"/>
      <c r="I401" s="15"/>
      <c r="J401" s="15"/>
      <c r="K401" s="78"/>
      <c r="L401" s="78"/>
      <c r="M401" s="78"/>
      <c r="N401" s="78"/>
      <c r="O401" s="78"/>
      <c r="P401" s="80"/>
      <c r="Q401" s="81"/>
      <c r="R401" s="82"/>
      <c r="S401" s="15"/>
      <c r="T401" s="15"/>
      <c r="U401" s="83"/>
      <c r="V401" s="81"/>
      <c r="W401" s="83"/>
      <c r="X401" s="81"/>
      <c r="Y401" s="83"/>
      <c r="Z401" s="81"/>
      <c r="AA401" s="37"/>
      <c r="AB401" s="37"/>
      <c r="AC401" s="15"/>
      <c r="AD401" s="9"/>
      <c r="AE401" s="38"/>
      <c r="AF401" s="38" t="str">
        <f t="shared" si="36"/>
        <v/>
      </c>
      <c r="AG401" s="15" t="str">
        <f t="shared" si="37"/>
        <v/>
      </c>
      <c r="AH401" s="15"/>
      <c r="AI401" s="15"/>
      <c r="AJ401" s="15"/>
      <c r="AK401" s="15"/>
      <c r="AL401" s="15"/>
      <c r="AM401" s="15"/>
      <c r="AN401" s="9"/>
      <c r="AO401" s="9"/>
      <c r="AP401" s="9"/>
      <c r="AQ401" s="9"/>
      <c r="AR401" s="9" t="str">
        <f t="shared" si="38"/>
        <v/>
      </c>
      <c r="AS401" s="15"/>
      <c r="AT401" s="15"/>
      <c r="AU401" s="15"/>
    </row>
    <row r="402" ht="15.75" customHeight="1">
      <c r="A402" s="15" t="str">
        <f t="shared" si="1"/>
        <v/>
      </c>
      <c r="B402" s="15"/>
      <c r="C402" s="15"/>
      <c r="D402" s="15"/>
      <c r="E402" s="15"/>
      <c r="F402" s="43"/>
      <c r="G402" s="15"/>
      <c r="H402" s="43"/>
      <c r="I402" s="15"/>
      <c r="J402" s="15"/>
      <c r="K402" s="78"/>
      <c r="L402" s="78"/>
      <c r="M402" s="78"/>
      <c r="N402" s="78"/>
      <c r="O402" s="78"/>
      <c r="P402" s="80"/>
      <c r="Q402" s="81"/>
      <c r="R402" s="82"/>
      <c r="S402" s="15"/>
      <c r="T402" s="15"/>
      <c r="U402" s="83"/>
      <c r="V402" s="81"/>
      <c r="W402" s="83"/>
      <c r="X402" s="81"/>
      <c r="Y402" s="83"/>
      <c r="Z402" s="81"/>
      <c r="AA402" s="37"/>
      <c r="AB402" s="37"/>
      <c r="AC402" s="15"/>
      <c r="AD402" s="9"/>
      <c r="AE402" s="38"/>
      <c r="AF402" s="38" t="str">
        <f t="shared" si="36"/>
        <v/>
      </c>
      <c r="AG402" s="15" t="str">
        <f t="shared" si="37"/>
        <v/>
      </c>
      <c r="AH402" s="15"/>
      <c r="AI402" s="15"/>
      <c r="AJ402" s="15"/>
      <c r="AK402" s="15"/>
      <c r="AL402" s="15"/>
      <c r="AM402" s="15"/>
      <c r="AN402" s="9"/>
      <c r="AO402" s="9"/>
      <c r="AP402" s="9"/>
      <c r="AQ402" s="9"/>
      <c r="AR402" s="9" t="str">
        <f t="shared" si="38"/>
        <v/>
      </c>
      <c r="AS402" s="15"/>
      <c r="AT402" s="15"/>
      <c r="AU402" s="15"/>
    </row>
    <row r="403" ht="15.75" customHeight="1">
      <c r="A403" s="15" t="str">
        <f t="shared" si="1"/>
        <v/>
      </c>
      <c r="B403" s="15"/>
      <c r="C403" s="15"/>
      <c r="D403" s="15"/>
      <c r="E403" s="15"/>
      <c r="F403" s="43"/>
      <c r="G403" s="15"/>
      <c r="H403" s="43"/>
      <c r="I403" s="15"/>
      <c r="J403" s="15"/>
      <c r="K403" s="78"/>
      <c r="L403" s="78"/>
      <c r="M403" s="78"/>
      <c r="N403" s="78"/>
      <c r="O403" s="78"/>
      <c r="P403" s="80"/>
      <c r="Q403" s="81"/>
      <c r="R403" s="82"/>
      <c r="S403" s="15"/>
      <c r="T403" s="15"/>
      <c r="U403" s="83"/>
      <c r="V403" s="81"/>
      <c r="W403" s="83"/>
      <c r="X403" s="81"/>
      <c r="Y403" s="83"/>
      <c r="Z403" s="81"/>
      <c r="AA403" s="37"/>
      <c r="AB403" s="37"/>
      <c r="AC403" s="15"/>
      <c r="AD403" s="9"/>
      <c r="AE403" s="38"/>
      <c r="AF403" s="38" t="str">
        <f t="shared" si="36"/>
        <v/>
      </c>
      <c r="AG403" s="15" t="str">
        <f t="shared" si="37"/>
        <v/>
      </c>
      <c r="AH403" s="15"/>
      <c r="AI403" s="15"/>
      <c r="AJ403" s="15"/>
      <c r="AK403" s="15"/>
      <c r="AL403" s="15"/>
      <c r="AM403" s="15"/>
      <c r="AN403" s="9"/>
      <c r="AO403" s="9"/>
      <c r="AP403" s="9"/>
      <c r="AQ403" s="9"/>
      <c r="AR403" s="9" t="str">
        <f t="shared" si="38"/>
        <v/>
      </c>
      <c r="AS403" s="15"/>
      <c r="AT403" s="15"/>
      <c r="AU403" s="15"/>
    </row>
    <row r="404" ht="15.75" customHeight="1">
      <c r="A404" s="15" t="str">
        <f t="shared" si="1"/>
        <v/>
      </c>
      <c r="B404" s="15"/>
      <c r="C404" s="15"/>
      <c r="D404" s="15"/>
      <c r="E404" s="15"/>
      <c r="F404" s="43"/>
      <c r="G404" s="15"/>
      <c r="H404" s="43"/>
      <c r="I404" s="15"/>
      <c r="J404" s="15"/>
      <c r="K404" s="78"/>
      <c r="L404" s="78"/>
      <c r="M404" s="78"/>
      <c r="N404" s="78"/>
      <c r="O404" s="78"/>
      <c r="P404" s="80"/>
      <c r="Q404" s="81"/>
      <c r="R404" s="82"/>
      <c r="S404" s="15"/>
      <c r="T404" s="15"/>
      <c r="U404" s="83"/>
      <c r="V404" s="81"/>
      <c r="W404" s="83"/>
      <c r="X404" s="81"/>
      <c r="Y404" s="83"/>
      <c r="Z404" s="81"/>
      <c r="AA404" s="37"/>
      <c r="AB404" s="37"/>
      <c r="AC404" s="15"/>
      <c r="AD404" s="9"/>
      <c r="AE404" s="38"/>
      <c r="AF404" s="38" t="str">
        <f t="shared" si="36"/>
        <v/>
      </c>
      <c r="AG404" s="15" t="str">
        <f t="shared" si="37"/>
        <v/>
      </c>
      <c r="AH404" s="15"/>
      <c r="AI404" s="15"/>
      <c r="AJ404" s="15"/>
      <c r="AK404" s="15"/>
      <c r="AL404" s="15"/>
      <c r="AM404" s="15"/>
      <c r="AN404" s="9"/>
      <c r="AO404" s="9"/>
      <c r="AP404" s="9"/>
      <c r="AQ404" s="9"/>
      <c r="AR404" s="9" t="str">
        <f t="shared" si="38"/>
        <v/>
      </c>
      <c r="AS404" s="15"/>
      <c r="AT404" s="15"/>
      <c r="AU404" s="15"/>
    </row>
    <row r="405" ht="15.75" customHeight="1">
      <c r="A405" s="15" t="str">
        <f t="shared" si="1"/>
        <v/>
      </c>
      <c r="B405" s="15"/>
      <c r="C405" s="15"/>
      <c r="D405" s="15"/>
      <c r="E405" s="15"/>
      <c r="F405" s="43"/>
      <c r="G405" s="15"/>
      <c r="H405" s="43"/>
      <c r="I405" s="15"/>
      <c r="J405" s="15"/>
      <c r="K405" s="78"/>
      <c r="L405" s="78"/>
      <c r="M405" s="78"/>
      <c r="N405" s="78"/>
      <c r="O405" s="78"/>
      <c r="P405" s="80"/>
      <c r="Q405" s="81"/>
      <c r="R405" s="82"/>
      <c r="S405" s="15"/>
      <c r="T405" s="15"/>
      <c r="U405" s="83"/>
      <c r="V405" s="81"/>
      <c r="W405" s="83"/>
      <c r="X405" s="81"/>
      <c r="Y405" s="83"/>
      <c r="Z405" s="81"/>
      <c r="AA405" s="37"/>
      <c r="AB405" s="37"/>
      <c r="AC405" s="15"/>
      <c r="AD405" s="9"/>
      <c r="AE405" s="38"/>
      <c r="AF405" s="38" t="str">
        <f t="shared" si="36"/>
        <v/>
      </c>
      <c r="AG405" s="15" t="str">
        <f t="shared" si="37"/>
        <v/>
      </c>
      <c r="AH405" s="15"/>
      <c r="AI405" s="15"/>
      <c r="AJ405" s="15"/>
      <c r="AK405" s="15"/>
      <c r="AL405" s="15"/>
      <c r="AM405" s="15"/>
      <c r="AN405" s="9"/>
      <c r="AO405" s="9"/>
      <c r="AP405" s="9"/>
      <c r="AQ405" s="9"/>
      <c r="AR405" s="9" t="str">
        <f t="shared" si="38"/>
        <v/>
      </c>
      <c r="AS405" s="15"/>
      <c r="AT405" s="15"/>
      <c r="AU405" s="15"/>
    </row>
    <row r="406" ht="15.75" customHeight="1">
      <c r="A406" s="15" t="str">
        <f t="shared" si="1"/>
        <v/>
      </c>
      <c r="B406" s="15"/>
      <c r="C406" s="15"/>
      <c r="D406" s="15"/>
      <c r="E406" s="15"/>
      <c r="F406" s="43"/>
      <c r="G406" s="15"/>
      <c r="H406" s="43"/>
      <c r="I406" s="15"/>
      <c r="J406" s="15"/>
      <c r="K406" s="78"/>
      <c r="L406" s="78"/>
      <c r="M406" s="78"/>
      <c r="N406" s="78"/>
      <c r="O406" s="78"/>
      <c r="P406" s="80"/>
      <c r="Q406" s="81"/>
      <c r="R406" s="82"/>
      <c r="S406" s="15"/>
      <c r="T406" s="15"/>
      <c r="U406" s="83"/>
      <c r="V406" s="81"/>
      <c r="W406" s="83"/>
      <c r="X406" s="81"/>
      <c r="Y406" s="83"/>
      <c r="Z406" s="81"/>
      <c r="AA406" s="37"/>
      <c r="AB406" s="37"/>
      <c r="AC406" s="15"/>
      <c r="AD406" s="9"/>
      <c r="AE406" s="38"/>
      <c r="AF406" s="38" t="str">
        <f t="shared" si="36"/>
        <v/>
      </c>
      <c r="AG406" s="15" t="str">
        <f t="shared" si="37"/>
        <v/>
      </c>
      <c r="AH406" s="15"/>
      <c r="AI406" s="15"/>
      <c r="AJ406" s="15"/>
      <c r="AK406" s="15"/>
      <c r="AL406" s="15"/>
      <c r="AM406" s="15"/>
      <c r="AN406" s="9"/>
      <c r="AO406" s="9"/>
      <c r="AP406" s="9"/>
      <c r="AQ406" s="9"/>
      <c r="AR406" s="9" t="str">
        <f t="shared" si="38"/>
        <v/>
      </c>
      <c r="AS406" s="15"/>
      <c r="AT406" s="15"/>
      <c r="AU406" s="15"/>
    </row>
    <row r="407" ht="15.75" customHeight="1">
      <c r="A407" s="15" t="str">
        <f t="shared" si="1"/>
        <v/>
      </c>
      <c r="B407" s="15"/>
      <c r="C407" s="15"/>
      <c r="D407" s="15"/>
      <c r="E407" s="15"/>
      <c r="F407" s="43"/>
      <c r="G407" s="15"/>
      <c r="H407" s="43"/>
      <c r="I407" s="15"/>
      <c r="J407" s="15"/>
      <c r="K407" s="78"/>
      <c r="L407" s="78"/>
      <c r="M407" s="78"/>
      <c r="N407" s="78"/>
      <c r="O407" s="78"/>
      <c r="P407" s="80"/>
      <c r="Q407" s="81"/>
      <c r="R407" s="82"/>
      <c r="S407" s="15"/>
      <c r="T407" s="15"/>
      <c r="U407" s="83"/>
      <c r="V407" s="81"/>
      <c r="W407" s="83"/>
      <c r="X407" s="81"/>
      <c r="Y407" s="83"/>
      <c r="Z407" s="81"/>
      <c r="AA407" s="37"/>
      <c r="AB407" s="37"/>
      <c r="AC407" s="15"/>
      <c r="AD407" s="9"/>
      <c r="AE407" s="38"/>
      <c r="AF407" s="38" t="str">
        <f t="shared" si="36"/>
        <v/>
      </c>
      <c r="AG407" s="15" t="str">
        <f t="shared" si="37"/>
        <v/>
      </c>
      <c r="AH407" s="15"/>
      <c r="AI407" s="15"/>
      <c r="AJ407" s="15"/>
      <c r="AK407" s="15"/>
      <c r="AL407" s="15"/>
      <c r="AM407" s="15"/>
      <c r="AN407" s="9"/>
      <c r="AO407" s="9"/>
      <c r="AP407" s="9"/>
      <c r="AQ407" s="9"/>
      <c r="AR407" s="9" t="str">
        <f t="shared" si="38"/>
        <v/>
      </c>
      <c r="AS407" s="15"/>
      <c r="AT407" s="15"/>
      <c r="AU407" s="15"/>
    </row>
    <row r="408" ht="15.75" customHeight="1">
      <c r="A408" s="15" t="str">
        <f t="shared" si="1"/>
        <v/>
      </c>
      <c r="B408" s="15"/>
      <c r="C408" s="15"/>
      <c r="D408" s="15"/>
      <c r="E408" s="15"/>
      <c r="F408" s="43"/>
      <c r="G408" s="15"/>
      <c r="H408" s="43"/>
      <c r="I408" s="15"/>
      <c r="J408" s="15"/>
      <c r="K408" s="78"/>
      <c r="L408" s="78"/>
      <c r="M408" s="78"/>
      <c r="N408" s="78"/>
      <c r="O408" s="78"/>
      <c r="P408" s="80"/>
      <c r="Q408" s="81"/>
      <c r="R408" s="82"/>
      <c r="S408" s="15"/>
      <c r="T408" s="15"/>
      <c r="U408" s="83"/>
      <c r="V408" s="81"/>
      <c r="W408" s="83"/>
      <c r="X408" s="81"/>
      <c r="Y408" s="83"/>
      <c r="Z408" s="81"/>
      <c r="AA408" s="37"/>
      <c r="AB408" s="37"/>
      <c r="AC408" s="15"/>
      <c r="AD408" s="9"/>
      <c r="AE408" s="38"/>
      <c r="AF408" s="38" t="str">
        <f t="shared" si="36"/>
        <v/>
      </c>
      <c r="AG408" s="15" t="str">
        <f t="shared" si="37"/>
        <v/>
      </c>
      <c r="AH408" s="15"/>
      <c r="AI408" s="15"/>
      <c r="AJ408" s="15"/>
      <c r="AK408" s="15"/>
      <c r="AL408" s="15"/>
      <c r="AM408" s="15"/>
      <c r="AN408" s="9"/>
      <c r="AO408" s="9"/>
      <c r="AP408" s="9"/>
      <c r="AQ408" s="9"/>
      <c r="AR408" s="9" t="str">
        <f t="shared" si="38"/>
        <v/>
      </c>
      <c r="AS408" s="15"/>
      <c r="AT408" s="15"/>
      <c r="AU408" s="15"/>
    </row>
    <row r="409" ht="15.75" customHeight="1">
      <c r="A409" s="15" t="str">
        <f t="shared" si="1"/>
        <v/>
      </c>
      <c r="B409" s="15"/>
      <c r="C409" s="15"/>
      <c r="D409" s="15"/>
      <c r="E409" s="15"/>
      <c r="F409" s="43"/>
      <c r="G409" s="15"/>
      <c r="H409" s="43"/>
      <c r="I409" s="15"/>
      <c r="J409" s="15"/>
      <c r="K409" s="78"/>
      <c r="L409" s="78"/>
      <c r="M409" s="78"/>
      <c r="N409" s="78"/>
      <c r="O409" s="78"/>
      <c r="P409" s="80"/>
      <c r="Q409" s="81"/>
      <c r="R409" s="82"/>
      <c r="S409" s="15"/>
      <c r="T409" s="15"/>
      <c r="U409" s="83"/>
      <c r="V409" s="81"/>
      <c r="W409" s="83"/>
      <c r="X409" s="81"/>
      <c r="Y409" s="83"/>
      <c r="Z409" s="81"/>
      <c r="AA409" s="37"/>
      <c r="AB409" s="37"/>
      <c r="AC409" s="15"/>
      <c r="AD409" s="9"/>
      <c r="AE409" s="38"/>
      <c r="AF409" s="38" t="str">
        <f t="shared" si="36"/>
        <v/>
      </c>
      <c r="AG409" s="15" t="str">
        <f t="shared" si="37"/>
        <v/>
      </c>
      <c r="AH409" s="15"/>
      <c r="AI409" s="15"/>
      <c r="AJ409" s="15"/>
      <c r="AK409" s="15"/>
      <c r="AL409" s="15"/>
      <c r="AM409" s="15"/>
      <c r="AN409" s="9"/>
      <c r="AO409" s="9"/>
      <c r="AP409" s="9"/>
      <c r="AQ409" s="9"/>
      <c r="AR409" s="9" t="str">
        <f t="shared" si="38"/>
        <v/>
      </c>
      <c r="AS409" s="15"/>
      <c r="AT409" s="15"/>
      <c r="AU409" s="15"/>
    </row>
    <row r="410" ht="15.75" customHeight="1">
      <c r="A410" s="15" t="str">
        <f t="shared" si="1"/>
        <v/>
      </c>
      <c r="B410" s="15"/>
      <c r="C410" s="15"/>
      <c r="D410" s="15"/>
      <c r="E410" s="15"/>
      <c r="F410" s="43"/>
      <c r="G410" s="15"/>
      <c r="H410" s="43"/>
      <c r="I410" s="15"/>
      <c r="J410" s="15"/>
      <c r="K410" s="78"/>
      <c r="L410" s="78"/>
      <c r="M410" s="78"/>
      <c r="N410" s="78"/>
      <c r="O410" s="78"/>
      <c r="P410" s="80"/>
      <c r="Q410" s="81"/>
      <c r="R410" s="82"/>
      <c r="S410" s="15"/>
      <c r="T410" s="15"/>
      <c r="U410" s="83"/>
      <c r="V410" s="81"/>
      <c r="W410" s="83"/>
      <c r="X410" s="81"/>
      <c r="Y410" s="83"/>
      <c r="Z410" s="81"/>
      <c r="AA410" s="37"/>
      <c r="AB410" s="37"/>
      <c r="AC410" s="15"/>
      <c r="AD410" s="9"/>
      <c r="AE410" s="38"/>
      <c r="AF410" s="38" t="str">
        <f t="shared" si="36"/>
        <v/>
      </c>
      <c r="AG410" s="15" t="str">
        <f t="shared" si="37"/>
        <v/>
      </c>
      <c r="AH410" s="15"/>
      <c r="AI410" s="15"/>
      <c r="AJ410" s="15"/>
      <c r="AK410" s="15"/>
      <c r="AL410" s="15"/>
      <c r="AM410" s="15"/>
      <c r="AN410" s="9"/>
      <c r="AO410" s="9"/>
      <c r="AP410" s="9"/>
      <c r="AQ410" s="9"/>
      <c r="AR410" s="9" t="str">
        <f t="shared" si="38"/>
        <v/>
      </c>
      <c r="AS410" s="15"/>
      <c r="AT410" s="15"/>
      <c r="AU410" s="15"/>
    </row>
    <row r="411" ht="15.75" customHeight="1">
      <c r="A411" s="15" t="str">
        <f t="shared" si="1"/>
        <v/>
      </c>
      <c r="B411" s="15"/>
      <c r="C411" s="15"/>
      <c r="D411" s="15"/>
      <c r="E411" s="15"/>
      <c r="F411" s="43"/>
      <c r="G411" s="15"/>
      <c r="H411" s="43"/>
      <c r="I411" s="15"/>
      <c r="J411" s="15"/>
      <c r="K411" s="78"/>
      <c r="L411" s="78"/>
      <c r="M411" s="78"/>
      <c r="N411" s="78"/>
      <c r="O411" s="78"/>
      <c r="P411" s="80"/>
      <c r="Q411" s="81"/>
      <c r="R411" s="82"/>
      <c r="S411" s="15"/>
      <c r="T411" s="15"/>
      <c r="U411" s="83"/>
      <c r="V411" s="81"/>
      <c r="W411" s="83"/>
      <c r="X411" s="81"/>
      <c r="Y411" s="83"/>
      <c r="Z411" s="81"/>
      <c r="AA411" s="37"/>
      <c r="AB411" s="37"/>
      <c r="AC411" s="15"/>
      <c r="AD411" s="9"/>
      <c r="AE411" s="38"/>
      <c r="AF411" s="38" t="str">
        <f t="shared" si="36"/>
        <v/>
      </c>
      <c r="AG411" s="15" t="str">
        <f t="shared" si="37"/>
        <v/>
      </c>
      <c r="AH411" s="15"/>
      <c r="AI411" s="15"/>
      <c r="AJ411" s="15"/>
      <c r="AK411" s="15"/>
      <c r="AL411" s="15"/>
      <c r="AM411" s="15"/>
      <c r="AN411" s="9"/>
      <c r="AO411" s="9"/>
      <c r="AP411" s="9"/>
      <c r="AQ411" s="9"/>
      <c r="AR411" s="9" t="str">
        <f t="shared" si="38"/>
        <v/>
      </c>
      <c r="AS411" s="15"/>
      <c r="AT411" s="15"/>
      <c r="AU411" s="15"/>
    </row>
    <row r="412" ht="15.75" customHeight="1">
      <c r="A412" s="15" t="str">
        <f t="shared" si="1"/>
        <v/>
      </c>
      <c r="B412" s="15"/>
      <c r="C412" s="15"/>
      <c r="D412" s="15"/>
      <c r="E412" s="15"/>
      <c r="F412" s="43"/>
      <c r="G412" s="15"/>
      <c r="H412" s="43"/>
      <c r="I412" s="15"/>
      <c r="J412" s="15"/>
      <c r="K412" s="78"/>
      <c r="L412" s="78"/>
      <c r="M412" s="78"/>
      <c r="N412" s="78"/>
      <c r="O412" s="78"/>
      <c r="P412" s="80"/>
      <c r="Q412" s="81"/>
      <c r="R412" s="82"/>
      <c r="S412" s="15"/>
      <c r="T412" s="15"/>
      <c r="U412" s="83"/>
      <c r="V412" s="81"/>
      <c r="W412" s="83"/>
      <c r="X412" s="81"/>
      <c r="Y412" s="83"/>
      <c r="Z412" s="81"/>
      <c r="AA412" s="37"/>
      <c r="AB412" s="37"/>
      <c r="AC412" s="15"/>
      <c r="AD412" s="9"/>
      <c r="AE412" s="38"/>
      <c r="AF412" s="38" t="str">
        <f t="shared" si="36"/>
        <v/>
      </c>
      <c r="AG412" s="15" t="str">
        <f t="shared" si="37"/>
        <v/>
      </c>
      <c r="AH412" s="15"/>
      <c r="AI412" s="15"/>
      <c r="AJ412" s="15"/>
      <c r="AK412" s="15"/>
      <c r="AL412" s="15"/>
      <c r="AM412" s="15"/>
      <c r="AN412" s="9"/>
      <c r="AO412" s="9"/>
      <c r="AP412" s="9"/>
      <c r="AQ412" s="9"/>
      <c r="AR412" s="9" t="str">
        <f t="shared" si="38"/>
        <v/>
      </c>
      <c r="AS412" s="15"/>
      <c r="AT412" s="15"/>
      <c r="AU412" s="15"/>
    </row>
    <row r="413" ht="15.75" customHeight="1">
      <c r="A413" s="15" t="str">
        <f t="shared" si="1"/>
        <v/>
      </c>
      <c r="B413" s="15"/>
      <c r="C413" s="15"/>
      <c r="D413" s="15"/>
      <c r="E413" s="15"/>
      <c r="F413" s="43"/>
      <c r="G413" s="15"/>
      <c r="H413" s="43"/>
      <c r="I413" s="15"/>
      <c r="J413" s="15"/>
      <c r="K413" s="78"/>
      <c r="L413" s="78"/>
      <c r="M413" s="78"/>
      <c r="N413" s="78"/>
      <c r="O413" s="78"/>
      <c r="P413" s="80"/>
      <c r="Q413" s="81"/>
      <c r="R413" s="82"/>
      <c r="S413" s="15"/>
      <c r="T413" s="15"/>
      <c r="U413" s="83"/>
      <c r="V413" s="81"/>
      <c r="W413" s="83"/>
      <c r="X413" s="81"/>
      <c r="Y413" s="83"/>
      <c r="Z413" s="81"/>
      <c r="AA413" s="37"/>
      <c r="AB413" s="37"/>
      <c r="AC413" s="15"/>
      <c r="AD413" s="9"/>
      <c r="AE413" s="38"/>
      <c r="AF413" s="38" t="str">
        <f t="shared" si="36"/>
        <v/>
      </c>
      <c r="AG413" s="15" t="str">
        <f t="shared" si="37"/>
        <v/>
      </c>
      <c r="AH413" s="15"/>
      <c r="AI413" s="15"/>
      <c r="AJ413" s="15"/>
      <c r="AK413" s="15"/>
      <c r="AL413" s="15"/>
      <c r="AM413" s="15"/>
      <c r="AN413" s="9"/>
      <c r="AO413" s="9"/>
      <c r="AP413" s="9"/>
      <c r="AQ413" s="9"/>
      <c r="AR413" s="9" t="str">
        <f t="shared" si="38"/>
        <v/>
      </c>
      <c r="AS413" s="15"/>
      <c r="AT413" s="15"/>
      <c r="AU413" s="15"/>
    </row>
    <row r="414" ht="15.75" customHeight="1">
      <c r="A414" s="15" t="str">
        <f t="shared" si="1"/>
        <v/>
      </c>
      <c r="B414" s="15"/>
      <c r="C414" s="15"/>
      <c r="D414" s="15"/>
      <c r="E414" s="15"/>
      <c r="F414" s="43"/>
      <c r="G414" s="15"/>
      <c r="H414" s="43"/>
      <c r="I414" s="15"/>
      <c r="J414" s="15"/>
      <c r="K414" s="78"/>
      <c r="L414" s="78"/>
      <c r="M414" s="78"/>
      <c r="N414" s="78"/>
      <c r="O414" s="78"/>
      <c r="P414" s="80"/>
      <c r="Q414" s="81"/>
      <c r="R414" s="82"/>
      <c r="S414" s="15"/>
      <c r="T414" s="15"/>
      <c r="U414" s="83"/>
      <c r="V414" s="81"/>
      <c r="W414" s="83"/>
      <c r="X414" s="81"/>
      <c r="Y414" s="83"/>
      <c r="Z414" s="81"/>
      <c r="AA414" s="37"/>
      <c r="AB414" s="37"/>
      <c r="AC414" s="15"/>
      <c r="AD414" s="9"/>
      <c r="AE414" s="38"/>
      <c r="AF414" s="38" t="str">
        <f t="shared" si="36"/>
        <v/>
      </c>
      <c r="AG414" s="15" t="str">
        <f t="shared" si="37"/>
        <v/>
      </c>
      <c r="AH414" s="15"/>
      <c r="AI414" s="15"/>
      <c r="AJ414" s="15"/>
      <c r="AK414" s="15"/>
      <c r="AL414" s="15"/>
      <c r="AM414" s="15"/>
      <c r="AN414" s="9"/>
      <c r="AO414" s="9"/>
      <c r="AP414" s="9"/>
      <c r="AQ414" s="9"/>
      <c r="AR414" s="9" t="str">
        <f t="shared" si="38"/>
        <v/>
      </c>
      <c r="AS414" s="15"/>
      <c r="AT414" s="15"/>
      <c r="AU414" s="15"/>
    </row>
    <row r="415" ht="15.75" customHeight="1">
      <c r="A415" s="15" t="str">
        <f t="shared" si="1"/>
        <v/>
      </c>
      <c r="B415" s="15"/>
      <c r="C415" s="15"/>
      <c r="D415" s="15"/>
      <c r="E415" s="15"/>
      <c r="F415" s="43"/>
      <c r="G415" s="15"/>
      <c r="H415" s="43"/>
      <c r="I415" s="15"/>
      <c r="J415" s="15"/>
      <c r="K415" s="78"/>
      <c r="L415" s="78"/>
      <c r="M415" s="78"/>
      <c r="N415" s="78"/>
      <c r="O415" s="78"/>
      <c r="P415" s="80"/>
      <c r="Q415" s="81"/>
      <c r="R415" s="82"/>
      <c r="S415" s="15"/>
      <c r="T415" s="15"/>
      <c r="U415" s="83"/>
      <c r="V415" s="81"/>
      <c r="W415" s="83"/>
      <c r="X415" s="81"/>
      <c r="Y415" s="83"/>
      <c r="Z415" s="81"/>
      <c r="AA415" s="37"/>
      <c r="AB415" s="37"/>
      <c r="AC415" s="15"/>
      <c r="AD415" s="9"/>
      <c r="AE415" s="38"/>
      <c r="AF415" s="38" t="str">
        <f t="shared" si="36"/>
        <v/>
      </c>
      <c r="AG415" s="15" t="str">
        <f t="shared" si="37"/>
        <v/>
      </c>
      <c r="AH415" s="15"/>
      <c r="AI415" s="15"/>
      <c r="AJ415" s="15"/>
      <c r="AK415" s="15"/>
      <c r="AL415" s="15"/>
      <c r="AM415" s="15"/>
      <c r="AN415" s="9"/>
      <c r="AO415" s="9"/>
      <c r="AP415" s="9"/>
      <c r="AQ415" s="9"/>
      <c r="AR415" s="9" t="str">
        <f t="shared" si="38"/>
        <v/>
      </c>
      <c r="AS415" s="15"/>
      <c r="AT415" s="15"/>
      <c r="AU415" s="15"/>
    </row>
    <row r="416" ht="15.75" customHeight="1">
      <c r="A416" s="15" t="str">
        <f t="shared" si="1"/>
        <v/>
      </c>
      <c r="B416" s="15"/>
      <c r="C416" s="15"/>
      <c r="D416" s="15"/>
      <c r="E416" s="15"/>
      <c r="F416" s="43"/>
      <c r="G416" s="15"/>
      <c r="H416" s="43"/>
      <c r="I416" s="15"/>
      <c r="J416" s="15"/>
      <c r="K416" s="78"/>
      <c r="L416" s="78"/>
      <c r="M416" s="78"/>
      <c r="N416" s="78"/>
      <c r="O416" s="78"/>
      <c r="P416" s="80"/>
      <c r="Q416" s="81"/>
      <c r="R416" s="82"/>
      <c r="S416" s="15"/>
      <c r="T416" s="15"/>
      <c r="U416" s="83"/>
      <c r="V416" s="81"/>
      <c r="W416" s="83"/>
      <c r="X416" s="81"/>
      <c r="Y416" s="83"/>
      <c r="Z416" s="81"/>
      <c r="AA416" s="37"/>
      <c r="AB416" s="37"/>
      <c r="AC416" s="15"/>
      <c r="AD416" s="9"/>
      <c r="AE416" s="38"/>
      <c r="AF416" s="38" t="str">
        <f t="shared" si="36"/>
        <v/>
      </c>
      <c r="AG416" s="15" t="str">
        <f t="shared" si="37"/>
        <v/>
      </c>
      <c r="AH416" s="15"/>
      <c r="AI416" s="15"/>
      <c r="AJ416" s="15"/>
      <c r="AK416" s="15"/>
      <c r="AL416" s="15"/>
      <c r="AM416" s="15"/>
      <c r="AN416" s="9"/>
      <c r="AO416" s="9"/>
      <c r="AP416" s="9"/>
      <c r="AQ416" s="9"/>
      <c r="AR416" s="9" t="str">
        <f t="shared" si="38"/>
        <v/>
      </c>
      <c r="AS416" s="15"/>
      <c r="AT416" s="15"/>
      <c r="AU416" s="15"/>
    </row>
    <row r="417" ht="15.75" customHeight="1">
      <c r="A417" s="15" t="str">
        <f t="shared" si="1"/>
        <v/>
      </c>
      <c r="B417" s="15"/>
      <c r="C417" s="15"/>
      <c r="D417" s="15"/>
      <c r="E417" s="15"/>
      <c r="F417" s="43"/>
      <c r="G417" s="15"/>
      <c r="H417" s="43"/>
      <c r="I417" s="15"/>
      <c r="J417" s="15"/>
      <c r="K417" s="78"/>
      <c r="L417" s="78"/>
      <c r="M417" s="78"/>
      <c r="N417" s="78"/>
      <c r="O417" s="78"/>
      <c r="P417" s="80"/>
      <c r="Q417" s="81"/>
      <c r="R417" s="82"/>
      <c r="S417" s="15"/>
      <c r="T417" s="15"/>
      <c r="U417" s="83"/>
      <c r="V417" s="81"/>
      <c r="W417" s="83"/>
      <c r="X417" s="81"/>
      <c r="Y417" s="83"/>
      <c r="Z417" s="81"/>
      <c r="AA417" s="37"/>
      <c r="AB417" s="37"/>
      <c r="AC417" s="15"/>
      <c r="AD417" s="9"/>
      <c r="AE417" s="38"/>
      <c r="AF417" s="38" t="str">
        <f t="shared" si="36"/>
        <v/>
      </c>
      <c r="AG417" s="15" t="str">
        <f t="shared" si="37"/>
        <v/>
      </c>
      <c r="AH417" s="15"/>
      <c r="AI417" s="15"/>
      <c r="AJ417" s="15"/>
      <c r="AK417" s="15"/>
      <c r="AL417" s="15"/>
      <c r="AM417" s="15"/>
      <c r="AN417" s="9"/>
      <c r="AO417" s="9"/>
      <c r="AP417" s="9"/>
      <c r="AQ417" s="9"/>
      <c r="AR417" s="9" t="str">
        <f t="shared" si="38"/>
        <v/>
      </c>
      <c r="AS417" s="15"/>
      <c r="AT417" s="15"/>
      <c r="AU417" s="15"/>
    </row>
    <row r="418" ht="15.75" customHeight="1">
      <c r="A418" s="15" t="str">
        <f t="shared" si="1"/>
        <v/>
      </c>
      <c r="B418" s="15"/>
      <c r="C418" s="15"/>
      <c r="D418" s="15"/>
      <c r="E418" s="15"/>
      <c r="F418" s="43"/>
      <c r="G418" s="15"/>
      <c r="H418" s="43"/>
      <c r="I418" s="15"/>
      <c r="J418" s="15"/>
      <c r="K418" s="78"/>
      <c r="L418" s="78"/>
      <c r="M418" s="78"/>
      <c r="N418" s="78"/>
      <c r="O418" s="78"/>
      <c r="P418" s="80"/>
      <c r="Q418" s="81"/>
      <c r="R418" s="82"/>
      <c r="S418" s="15"/>
      <c r="T418" s="15"/>
      <c r="U418" s="83"/>
      <c r="V418" s="81"/>
      <c r="W418" s="83"/>
      <c r="X418" s="81"/>
      <c r="Y418" s="83"/>
      <c r="Z418" s="81"/>
      <c r="AA418" s="37"/>
      <c r="AB418" s="37"/>
      <c r="AC418" s="15"/>
      <c r="AD418" s="9"/>
      <c r="AE418" s="38"/>
      <c r="AF418" s="38" t="str">
        <f t="shared" si="36"/>
        <v/>
      </c>
      <c r="AG418" s="15" t="str">
        <f t="shared" si="37"/>
        <v/>
      </c>
      <c r="AH418" s="15"/>
      <c r="AI418" s="15"/>
      <c r="AJ418" s="15"/>
      <c r="AK418" s="15"/>
      <c r="AL418" s="15"/>
      <c r="AM418" s="15"/>
      <c r="AN418" s="9"/>
      <c r="AO418" s="9"/>
      <c r="AP418" s="9"/>
      <c r="AQ418" s="9"/>
      <c r="AR418" s="9" t="str">
        <f t="shared" si="38"/>
        <v/>
      </c>
      <c r="AS418" s="15"/>
      <c r="AT418" s="15"/>
      <c r="AU418" s="15"/>
    </row>
    <row r="419" ht="15.75" customHeight="1">
      <c r="A419" s="15" t="str">
        <f t="shared" si="1"/>
        <v/>
      </c>
      <c r="B419" s="15"/>
      <c r="C419" s="15"/>
      <c r="D419" s="15"/>
      <c r="E419" s="15"/>
      <c r="F419" s="43"/>
      <c r="G419" s="15"/>
      <c r="H419" s="43"/>
      <c r="I419" s="15"/>
      <c r="J419" s="15"/>
      <c r="K419" s="78"/>
      <c r="L419" s="78"/>
      <c r="M419" s="78"/>
      <c r="N419" s="78"/>
      <c r="O419" s="78"/>
      <c r="P419" s="80"/>
      <c r="Q419" s="81"/>
      <c r="R419" s="82"/>
      <c r="S419" s="15"/>
      <c r="T419" s="15"/>
      <c r="U419" s="83"/>
      <c r="V419" s="81"/>
      <c r="W419" s="83"/>
      <c r="X419" s="81"/>
      <c r="Y419" s="83"/>
      <c r="Z419" s="81"/>
      <c r="AA419" s="37"/>
      <c r="AB419" s="37"/>
      <c r="AC419" s="15"/>
      <c r="AD419" s="9"/>
      <c r="AE419" s="38"/>
      <c r="AF419" s="38" t="str">
        <f t="shared" si="36"/>
        <v/>
      </c>
      <c r="AG419" s="15" t="str">
        <f t="shared" si="37"/>
        <v/>
      </c>
      <c r="AH419" s="15"/>
      <c r="AI419" s="15"/>
      <c r="AJ419" s="15"/>
      <c r="AK419" s="15"/>
      <c r="AL419" s="15"/>
      <c r="AM419" s="15"/>
      <c r="AN419" s="9"/>
      <c r="AO419" s="9"/>
      <c r="AP419" s="9"/>
      <c r="AQ419" s="9"/>
      <c r="AR419" s="9" t="str">
        <f t="shared" si="38"/>
        <v/>
      </c>
      <c r="AS419" s="15"/>
      <c r="AT419" s="15"/>
      <c r="AU419" s="15"/>
    </row>
    <row r="420" ht="15.75" customHeight="1">
      <c r="A420" s="15" t="str">
        <f t="shared" si="1"/>
        <v/>
      </c>
      <c r="B420" s="15"/>
      <c r="C420" s="15"/>
      <c r="D420" s="15"/>
      <c r="E420" s="15"/>
      <c r="F420" s="43"/>
      <c r="G420" s="15"/>
      <c r="H420" s="43"/>
      <c r="I420" s="15"/>
      <c r="J420" s="15"/>
      <c r="K420" s="78"/>
      <c r="L420" s="78"/>
      <c r="M420" s="78"/>
      <c r="N420" s="78"/>
      <c r="O420" s="78"/>
      <c r="P420" s="80"/>
      <c r="Q420" s="81"/>
      <c r="R420" s="82"/>
      <c r="S420" s="15"/>
      <c r="T420" s="15"/>
      <c r="U420" s="83"/>
      <c r="V420" s="81"/>
      <c r="W420" s="83"/>
      <c r="X420" s="81"/>
      <c r="Y420" s="83"/>
      <c r="Z420" s="81"/>
      <c r="AA420" s="37"/>
      <c r="AB420" s="37"/>
      <c r="AC420" s="15"/>
      <c r="AD420" s="9"/>
      <c r="AE420" s="38"/>
      <c r="AF420" s="38" t="str">
        <f t="shared" si="36"/>
        <v/>
      </c>
      <c r="AG420" s="15" t="str">
        <f t="shared" si="37"/>
        <v/>
      </c>
      <c r="AH420" s="15"/>
      <c r="AI420" s="15"/>
      <c r="AJ420" s="15"/>
      <c r="AK420" s="15"/>
      <c r="AL420" s="15"/>
      <c r="AM420" s="15"/>
      <c r="AN420" s="9"/>
      <c r="AO420" s="9"/>
      <c r="AP420" s="9"/>
      <c r="AQ420" s="9"/>
      <c r="AR420" s="9" t="str">
        <f t="shared" si="38"/>
        <v/>
      </c>
      <c r="AS420" s="15"/>
      <c r="AT420" s="15"/>
      <c r="AU420" s="15"/>
    </row>
    <row r="421" ht="15.75" customHeight="1">
      <c r="A421" s="15" t="str">
        <f t="shared" si="1"/>
        <v/>
      </c>
      <c r="B421" s="15"/>
      <c r="C421" s="15"/>
      <c r="D421" s="15"/>
      <c r="E421" s="15"/>
      <c r="F421" s="43"/>
      <c r="G421" s="15"/>
      <c r="H421" s="43"/>
      <c r="I421" s="15"/>
      <c r="J421" s="15"/>
      <c r="K421" s="78"/>
      <c r="L421" s="78"/>
      <c r="M421" s="78"/>
      <c r="N421" s="78"/>
      <c r="O421" s="78"/>
      <c r="P421" s="80"/>
      <c r="Q421" s="81"/>
      <c r="R421" s="82"/>
      <c r="S421" s="15"/>
      <c r="T421" s="15"/>
      <c r="U421" s="83"/>
      <c r="V421" s="81"/>
      <c r="W421" s="83"/>
      <c r="X421" s="81"/>
      <c r="Y421" s="83"/>
      <c r="Z421" s="81"/>
      <c r="AA421" s="37"/>
      <c r="AB421" s="37"/>
      <c r="AC421" s="15"/>
      <c r="AD421" s="9"/>
      <c r="AE421" s="38"/>
      <c r="AF421" s="38" t="str">
        <f t="shared" si="36"/>
        <v/>
      </c>
      <c r="AG421" s="15" t="str">
        <f t="shared" si="37"/>
        <v/>
      </c>
      <c r="AH421" s="15"/>
      <c r="AI421" s="15"/>
      <c r="AJ421" s="15"/>
      <c r="AK421" s="15"/>
      <c r="AL421" s="15"/>
      <c r="AM421" s="15"/>
      <c r="AN421" s="9"/>
      <c r="AO421" s="9"/>
      <c r="AP421" s="9"/>
      <c r="AQ421" s="9"/>
      <c r="AR421" s="9" t="str">
        <f t="shared" si="38"/>
        <v/>
      </c>
      <c r="AS421" s="15"/>
      <c r="AT421" s="15"/>
      <c r="AU421" s="15"/>
    </row>
    <row r="422" ht="15.75" customHeight="1">
      <c r="A422" s="15" t="str">
        <f t="shared" si="1"/>
        <v/>
      </c>
      <c r="B422" s="15"/>
      <c r="C422" s="15"/>
      <c r="D422" s="15"/>
      <c r="E422" s="15"/>
      <c r="F422" s="43"/>
      <c r="G422" s="15"/>
      <c r="H422" s="43"/>
      <c r="I422" s="15"/>
      <c r="J422" s="15"/>
      <c r="K422" s="78"/>
      <c r="L422" s="78"/>
      <c r="M422" s="78"/>
      <c r="N422" s="78"/>
      <c r="O422" s="78"/>
      <c r="P422" s="80"/>
      <c r="Q422" s="81"/>
      <c r="R422" s="82"/>
      <c r="S422" s="15"/>
      <c r="T422" s="15"/>
      <c r="U422" s="83"/>
      <c r="V422" s="81"/>
      <c r="W422" s="83"/>
      <c r="X422" s="81"/>
      <c r="Y422" s="83"/>
      <c r="Z422" s="81"/>
      <c r="AA422" s="37"/>
      <c r="AB422" s="37"/>
      <c r="AC422" s="15"/>
      <c r="AD422" s="9"/>
      <c r="AE422" s="38"/>
      <c r="AF422" s="38" t="str">
        <f t="shared" si="36"/>
        <v/>
      </c>
      <c r="AG422" s="15" t="str">
        <f t="shared" si="37"/>
        <v/>
      </c>
      <c r="AH422" s="15"/>
      <c r="AI422" s="15"/>
      <c r="AJ422" s="15"/>
      <c r="AK422" s="15"/>
      <c r="AL422" s="15"/>
      <c r="AM422" s="15"/>
      <c r="AN422" s="9"/>
      <c r="AO422" s="9"/>
      <c r="AP422" s="9"/>
      <c r="AQ422" s="9"/>
      <c r="AR422" s="9" t="str">
        <f t="shared" si="38"/>
        <v/>
      </c>
      <c r="AS422" s="15"/>
      <c r="AT422" s="15"/>
      <c r="AU422" s="15"/>
    </row>
    <row r="423" ht="15.75" customHeight="1">
      <c r="A423" s="15" t="str">
        <f t="shared" si="1"/>
        <v/>
      </c>
      <c r="B423" s="15"/>
      <c r="C423" s="15"/>
      <c r="D423" s="15"/>
      <c r="E423" s="15"/>
      <c r="F423" s="43"/>
      <c r="G423" s="15"/>
      <c r="H423" s="43"/>
      <c r="I423" s="15"/>
      <c r="J423" s="15"/>
      <c r="K423" s="78"/>
      <c r="L423" s="78"/>
      <c r="M423" s="78"/>
      <c r="N423" s="78"/>
      <c r="O423" s="78"/>
      <c r="P423" s="80"/>
      <c r="Q423" s="81"/>
      <c r="R423" s="82"/>
      <c r="S423" s="15"/>
      <c r="T423" s="15"/>
      <c r="U423" s="83"/>
      <c r="V423" s="81"/>
      <c r="W423" s="83"/>
      <c r="X423" s="81"/>
      <c r="Y423" s="83"/>
      <c r="Z423" s="81"/>
      <c r="AA423" s="37"/>
      <c r="AB423" s="37"/>
      <c r="AC423" s="15"/>
      <c r="AD423" s="9"/>
      <c r="AE423" s="38"/>
      <c r="AF423" s="38" t="str">
        <f t="shared" si="36"/>
        <v/>
      </c>
      <c r="AG423" s="15" t="str">
        <f t="shared" si="37"/>
        <v/>
      </c>
      <c r="AH423" s="15"/>
      <c r="AI423" s="15"/>
      <c r="AJ423" s="15"/>
      <c r="AK423" s="15"/>
      <c r="AL423" s="15"/>
      <c r="AM423" s="15"/>
      <c r="AN423" s="9"/>
      <c r="AO423" s="9"/>
      <c r="AP423" s="9"/>
      <c r="AQ423" s="9"/>
      <c r="AR423" s="9" t="str">
        <f t="shared" si="38"/>
        <v/>
      </c>
      <c r="AS423" s="15"/>
      <c r="AT423" s="15"/>
      <c r="AU423" s="15"/>
    </row>
    <row r="424" ht="15.75" customHeight="1">
      <c r="A424" s="15" t="str">
        <f t="shared" si="1"/>
        <v/>
      </c>
      <c r="B424" s="15"/>
      <c r="C424" s="15"/>
      <c r="D424" s="15"/>
      <c r="E424" s="15"/>
      <c r="F424" s="43"/>
      <c r="G424" s="15"/>
      <c r="H424" s="43"/>
      <c r="I424" s="15"/>
      <c r="J424" s="15"/>
      <c r="K424" s="78"/>
      <c r="L424" s="78"/>
      <c r="M424" s="78"/>
      <c r="N424" s="78"/>
      <c r="O424" s="78"/>
      <c r="P424" s="80"/>
      <c r="Q424" s="81"/>
      <c r="R424" s="82"/>
      <c r="S424" s="15"/>
      <c r="T424" s="15"/>
      <c r="U424" s="83"/>
      <c r="V424" s="81"/>
      <c r="W424" s="83"/>
      <c r="X424" s="81"/>
      <c r="Y424" s="83"/>
      <c r="Z424" s="81"/>
      <c r="AA424" s="37"/>
      <c r="AB424" s="37"/>
      <c r="AC424" s="15"/>
      <c r="AD424" s="9"/>
      <c r="AE424" s="38"/>
      <c r="AF424" s="38" t="str">
        <f t="shared" si="36"/>
        <v/>
      </c>
      <c r="AG424" s="15" t="str">
        <f t="shared" si="37"/>
        <v/>
      </c>
      <c r="AH424" s="15"/>
      <c r="AI424" s="15"/>
      <c r="AJ424" s="15"/>
      <c r="AK424" s="15"/>
      <c r="AL424" s="15"/>
      <c r="AM424" s="15"/>
      <c r="AN424" s="9"/>
      <c r="AO424" s="9"/>
      <c r="AP424" s="9"/>
      <c r="AQ424" s="9"/>
      <c r="AR424" s="9" t="str">
        <f t="shared" si="38"/>
        <v/>
      </c>
      <c r="AS424" s="15"/>
      <c r="AT424" s="15"/>
      <c r="AU424" s="15"/>
    </row>
    <row r="425" ht="15.75" customHeight="1">
      <c r="A425" s="15" t="str">
        <f t="shared" si="1"/>
        <v/>
      </c>
      <c r="B425" s="15"/>
      <c r="C425" s="15"/>
      <c r="D425" s="15"/>
      <c r="E425" s="15"/>
      <c r="F425" s="43"/>
      <c r="G425" s="15"/>
      <c r="H425" s="43"/>
      <c r="I425" s="15"/>
      <c r="J425" s="15"/>
      <c r="K425" s="78"/>
      <c r="L425" s="78"/>
      <c r="M425" s="78"/>
      <c r="N425" s="78"/>
      <c r="O425" s="78"/>
      <c r="P425" s="80"/>
      <c r="Q425" s="81"/>
      <c r="R425" s="82"/>
      <c r="S425" s="15"/>
      <c r="T425" s="15"/>
      <c r="U425" s="83"/>
      <c r="V425" s="81"/>
      <c r="W425" s="83"/>
      <c r="X425" s="81"/>
      <c r="Y425" s="83"/>
      <c r="Z425" s="81"/>
      <c r="AA425" s="37"/>
      <c r="AB425" s="37"/>
      <c r="AC425" s="15"/>
      <c r="AD425" s="9"/>
      <c r="AE425" s="38"/>
      <c r="AF425" s="38" t="str">
        <f t="shared" si="36"/>
        <v/>
      </c>
      <c r="AG425" s="15" t="str">
        <f t="shared" si="37"/>
        <v/>
      </c>
      <c r="AH425" s="15"/>
      <c r="AI425" s="15"/>
      <c r="AJ425" s="15"/>
      <c r="AK425" s="15"/>
      <c r="AL425" s="15"/>
      <c r="AM425" s="15"/>
      <c r="AN425" s="9"/>
      <c r="AO425" s="9"/>
      <c r="AP425" s="9"/>
      <c r="AQ425" s="9"/>
      <c r="AR425" s="9" t="str">
        <f t="shared" si="38"/>
        <v/>
      </c>
      <c r="AS425" s="15"/>
      <c r="AT425" s="15"/>
      <c r="AU425" s="15"/>
    </row>
    <row r="426" ht="15.75" customHeight="1">
      <c r="A426" s="15" t="str">
        <f t="shared" si="1"/>
        <v/>
      </c>
      <c r="B426" s="15"/>
      <c r="C426" s="15"/>
      <c r="D426" s="15"/>
      <c r="E426" s="15"/>
      <c r="F426" s="43"/>
      <c r="G426" s="15"/>
      <c r="H426" s="43"/>
      <c r="I426" s="15"/>
      <c r="J426" s="15"/>
      <c r="K426" s="78"/>
      <c r="L426" s="78"/>
      <c r="M426" s="78"/>
      <c r="N426" s="78"/>
      <c r="O426" s="78"/>
      <c r="P426" s="80"/>
      <c r="Q426" s="81"/>
      <c r="R426" s="82"/>
      <c r="S426" s="15"/>
      <c r="T426" s="15"/>
      <c r="U426" s="83"/>
      <c r="V426" s="81"/>
      <c r="W426" s="83"/>
      <c r="X426" s="81"/>
      <c r="Y426" s="83"/>
      <c r="Z426" s="81"/>
      <c r="AA426" s="37"/>
      <c r="AB426" s="37"/>
      <c r="AC426" s="15"/>
      <c r="AD426" s="9"/>
      <c r="AE426" s="38"/>
      <c r="AF426" s="38" t="str">
        <f t="shared" si="36"/>
        <v/>
      </c>
      <c r="AG426" s="15" t="str">
        <f t="shared" si="37"/>
        <v/>
      </c>
      <c r="AH426" s="15"/>
      <c r="AI426" s="15"/>
      <c r="AJ426" s="15"/>
      <c r="AK426" s="15"/>
      <c r="AL426" s="15"/>
      <c r="AM426" s="15"/>
      <c r="AN426" s="9"/>
      <c r="AO426" s="9"/>
      <c r="AP426" s="9"/>
      <c r="AQ426" s="9"/>
      <c r="AR426" s="9" t="str">
        <f t="shared" si="38"/>
        <v/>
      </c>
      <c r="AS426" s="15"/>
      <c r="AT426" s="15"/>
      <c r="AU426" s="15"/>
    </row>
    <row r="427" ht="15.75" customHeight="1">
      <c r="A427" s="15" t="str">
        <f t="shared" si="1"/>
        <v/>
      </c>
      <c r="B427" s="15"/>
      <c r="C427" s="15"/>
      <c r="D427" s="15"/>
      <c r="E427" s="15"/>
      <c r="F427" s="43"/>
      <c r="G427" s="15"/>
      <c r="H427" s="43"/>
      <c r="I427" s="15"/>
      <c r="J427" s="15"/>
      <c r="K427" s="78"/>
      <c r="L427" s="78"/>
      <c r="M427" s="78"/>
      <c r="N427" s="78"/>
      <c r="O427" s="78"/>
      <c r="P427" s="80"/>
      <c r="Q427" s="81"/>
      <c r="R427" s="82"/>
      <c r="S427" s="15"/>
      <c r="T427" s="15"/>
      <c r="U427" s="83"/>
      <c r="V427" s="81"/>
      <c r="W427" s="83"/>
      <c r="X427" s="81"/>
      <c r="Y427" s="83"/>
      <c r="Z427" s="81"/>
      <c r="AA427" s="37"/>
      <c r="AB427" s="37"/>
      <c r="AC427" s="15"/>
      <c r="AD427" s="9"/>
      <c r="AE427" s="38"/>
      <c r="AF427" s="38" t="str">
        <f t="shared" si="36"/>
        <v/>
      </c>
      <c r="AG427" s="15" t="str">
        <f t="shared" si="37"/>
        <v/>
      </c>
      <c r="AH427" s="15"/>
      <c r="AI427" s="15"/>
      <c r="AJ427" s="15"/>
      <c r="AK427" s="15"/>
      <c r="AL427" s="15"/>
      <c r="AM427" s="15"/>
      <c r="AN427" s="9"/>
      <c r="AO427" s="9"/>
      <c r="AP427" s="9"/>
      <c r="AQ427" s="9"/>
      <c r="AR427" s="9" t="str">
        <f t="shared" si="38"/>
        <v/>
      </c>
      <c r="AS427" s="15"/>
      <c r="AT427" s="15"/>
      <c r="AU427" s="15"/>
    </row>
    <row r="428" ht="15.75" customHeight="1">
      <c r="A428" s="15" t="str">
        <f t="shared" si="1"/>
        <v/>
      </c>
      <c r="B428" s="15"/>
      <c r="C428" s="15"/>
      <c r="D428" s="15"/>
      <c r="E428" s="15"/>
      <c r="F428" s="43"/>
      <c r="G428" s="15"/>
      <c r="H428" s="43"/>
      <c r="I428" s="15"/>
      <c r="J428" s="15"/>
      <c r="K428" s="78"/>
      <c r="L428" s="78"/>
      <c r="M428" s="78"/>
      <c r="N428" s="78"/>
      <c r="O428" s="78"/>
      <c r="P428" s="80"/>
      <c r="Q428" s="81"/>
      <c r="R428" s="82"/>
      <c r="S428" s="15"/>
      <c r="T428" s="15"/>
      <c r="U428" s="83"/>
      <c r="V428" s="81"/>
      <c r="W428" s="83"/>
      <c r="X428" s="81"/>
      <c r="Y428" s="83"/>
      <c r="Z428" s="81"/>
      <c r="AA428" s="37"/>
      <c r="AB428" s="37"/>
      <c r="AC428" s="15"/>
      <c r="AD428" s="9"/>
      <c r="AE428" s="38"/>
      <c r="AF428" s="38" t="str">
        <f t="shared" si="36"/>
        <v/>
      </c>
      <c r="AG428" s="15" t="str">
        <f t="shared" si="37"/>
        <v/>
      </c>
      <c r="AH428" s="15"/>
      <c r="AI428" s="15"/>
      <c r="AJ428" s="15"/>
      <c r="AK428" s="15"/>
      <c r="AL428" s="15"/>
      <c r="AM428" s="15"/>
      <c r="AN428" s="9"/>
      <c r="AO428" s="9"/>
      <c r="AP428" s="9"/>
      <c r="AQ428" s="9"/>
      <c r="AR428" s="9" t="str">
        <f t="shared" si="38"/>
        <v/>
      </c>
      <c r="AS428" s="15"/>
      <c r="AT428" s="15"/>
      <c r="AU428" s="15"/>
    </row>
    <row r="429" ht="15.75" customHeight="1">
      <c r="A429" s="15" t="str">
        <f t="shared" si="1"/>
        <v/>
      </c>
      <c r="B429" s="15"/>
      <c r="C429" s="15"/>
      <c r="D429" s="15"/>
      <c r="E429" s="15"/>
      <c r="F429" s="43"/>
      <c r="G429" s="15"/>
      <c r="H429" s="43"/>
      <c r="I429" s="15"/>
      <c r="J429" s="15"/>
      <c r="K429" s="78"/>
      <c r="L429" s="78"/>
      <c r="M429" s="78"/>
      <c r="N429" s="78"/>
      <c r="O429" s="78"/>
      <c r="P429" s="80"/>
      <c r="Q429" s="81"/>
      <c r="R429" s="82"/>
      <c r="S429" s="15"/>
      <c r="T429" s="15"/>
      <c r="U429" s="83"/>
      <c r="V429" s="81"/>
      <c r="W429" s="83"/>
      <c r="X429" s="81"/>
      <c r="Y429" s="83"/>
      <c r="Z429" s="81"/>
      <c r="AA429" s="37"/>
      <c r="AB429" s="37"/>
      <c r="AC429" s="15"/>
      <c r="AD429" s="9"/>
      <c r="AE429" s="38"/>
      <c r="AF429" s="38" t="str">
        <f t="shared" si="36"/>
        <v/>
      </c>
      <c r="AG429" s="15" t="str">
        <f t="shared" si="37"/>
        <v/>
      </c>
      <c r="AH429" s="15"/>
      <c r="AI429" s="15"/>
      <c r="AJ429" s="15"/>
      <c r="AK429" s="15"/>
      <c r="AL429" s="15"/>
      <c r="AM429" s="15"/>
      <c r="AN429" s="9"/>
      <c r="AO429" s="9"/>
      <c r="AP429" s="9"/>
      <c r="AQ429" s="9"/>
      <c r="AR429" s="9" t="str">
        <f t="shared" si="38"/>
        <v/>
      </c>
      <c r="AS429" s="15"/>
      <c r="AT429" s="15"/>
      <c r="AU429" s="15"/>
    </row>
    <row r="430" ht="15.75" customHeight="1">
      <c r="A430" s="15" t="str">
        <f t="shared" si="1"/>
        <v/>
      </c>
      <c r="B430" s="15"/>
      <c r="C430" s="15"/>
      <c r="D430" s="15"/>
      <c r="E430" s="15"/>
      <c r="F430" s="43"/>
      <c r="G430" s="15"/>
      <c r="H430" s="43"/>
      <c r="I430" s="15"/>
      <c r="J430" s="15"/>
      <c r="K430" s="78"/>
      <c r="L430" s="78"/>
      <c r="M430" s="78"/>
      <c r="N430" s="78"/>
      <c r="O430" s="78"/>
      <c r="P430" s="80"/>
      <c r="Q430" s="81"/>
      <c r="R430" s="82"/>
      <c r="S430" s="15"/>
      <c r="T430" s="15"/>
      <c r="U430" s="83"/>
      <c r="V430" s="81"/>
      <c r="W430" s="83"/>
      <c r="X430" s="81"/>
      <c r="Y430" s="83"/>
      <c r="Z430" s="81"/>
      <c r="AA430" s="37"/>
      <c r="AB430" s="37"/>
      <c r="AC430" s="15"/>
      <c r="AD430" s="9"/>
      <c r="AE430" s="38"/>
      <c r="AF430" s="38" t="str">
        <f t="shared" si="36"/>
        <v/>
      </c>
      <c r="AG430" s="15" t="str">
        <f t="shared" si="37"/>
        <v/>
      </c>
      <c r="AH430" s="15"/>
      <c r="AI430" s="15"/>
      <c r="AJ430" s="15"/>
      <c r="AK430" s="15"/>
      <c r="AL430" s="15"/>
      <c r="AM430" s="15"/>
      <c r="AN430" s="9"/>
      <c r="AO430" s="9"/>
      <c r="AP430" s="9"/>
      <c r="AQ430" s="9"/>
      <c r="AR430" s="9" t="str">
        <f t="shared" si="38"/>
        <v/>
      </c>
      <c r="AS430" s="15"/>
      <c r="AT430" s="15"/>
      <c r="AU430" s="15"/>
    </row>
    <row r="431" ht="15.75" customHeight="1">
      <c r="A431" s="15" t="str">
        <f t="shared" si="1"/>
        <v/>
      </c>
      <c r="B431" s="15"/>
      <c r="C431" s="15"/>
      <c r="D431" s="15"/>
      <c r="E431" s="15"/>
      <c r="F431" s="43"/>
      <c r="G431" s="15"/>
      <c r="H431" s="43"/>
      <c r="I431" s="15"/>
      <c r="J431" s="15"/>
      <c r="K431" s="78"/>
      <c r="L431" s="78"/>
      <c r="M431" s="78"/>
      <c r="N431" s="78"/>
      <c r="O431" s="78"/>
      <c r="P431" s="80"/>
      <c r="Q431" s="81"/>
      <c r="R431" s="82"/>
      <c r="S431" s="15"/>
      <c r="T431" s="15"/>
      <c r="U431" s="83"/>
      <c r="V431" s="81"/>
      <c r="W431" s="83"/>
      <c r="X431" s="81"/>
      <c r="Y431" s="83"/>
      <c r="Z431" s="81"/>
      <c r="AA431" s="37"/>
      <c r="AB431" s="37"/>
      <c r="AC431" s="15"/>
      <c r="AD431" s="9"/>
      <c r="AE431" s="38"/>
      <c r="AF431" s="38" t="str">
        <f t="shared" si="36"/>
        <v/>
      </c>
      <c r="AG431" s="15" t="str">
        <f t="shared" si="37"/>
        <v/>
      </c>
      <c r="AH431" s="15"/>
      <c r="AI431" s="15"/>
      <c r="AJ431" s="15"/>
      <c r="AK431" s="15"/>
      <c r="AL431" s="15"/>
      <c r="AM431" s="15"/>
      <c r="AN431" s="9"/>
      <c r="AO431" s="9"/>
      <c r="AP431" s="9"/>
      <c r="AQ431" s="9"/>
      <c r="AR431" s="9" t="str">
        <f t="shared" si="38"/>
        <v/>
      </c>
      <c r="AS431" s="15"/>
      <c r="AT431" s="15"/>
      <c r="AU431" s="15"/>
    </row>
    <row r="432" ht="15.75" customHeight="1">
      <c r="A432" s="15" t="str">
        <f t="shared" si="1"/>
        <v/>
      </c>
      <c r="B432" s="15"/>
      <c r="C432" s="15"/>
      <c r="D432" s="15"/>
      <c r="E432" s="15"/>
      <c r="F432" s="43"/>
      <c r="G432" s="15"/>
      <c r="H432" s="43"/>
      <c r="I432" s="15"/>
      <c r="J432" s="15"/>
      <c r="K432" s="78"/>
      <c r="L432" s="78"/>
      <c r="M432" s="78"/>
      <c r="N432" s="78"/>
      <c r="O432" s="78"/>
      <c r="P432" s="80"/>
      <c r="Q432" s="81"/>
      <c r="R432" s="82"/>
      <c r="S432" s="15"/>
      <c r="T432" s="15"/>
      <c r="U432" s="83"/>
      <c r="V432" s="81"/>
      <c r="W432" s="83"/>
      <c r="X432" s="81"/>
      <c r="Y432" s="83"/>
      <c r="Z432" s="81"/>
      <c r="AA432" s="37"/>
      <c r="AB432" s="37"/>
      <c r="AC432" s="15"/>
      <c r="AD432" s="9"/>
      <c r="AE432" s="38"/>
      <c r="AF432" s="38" t="str">
        <f t="shared" si="36"/>
        <v/>
      </c>
      <c r="AG432" s="15" t="str">
        <f t="shared" si="37"/>
        <v/>
      </c>
      <c r="AH432" s="15"/>
      <c r="AI432" s="15"/>
      <c r="AJ432" s="15"/>
      <c r="AK432" s="15"/>
      <c r="AL432" s="15"/>
      <c r="AM432" s="15"/>
      <c r="AN432" s="9"/>
      <c r="AO432" s="9"/>
      <c r="AP432" s="9"/>
      <c r="AQ432" s="9"/>
      <c r="AR432" s="9" t="str">
        <f t="shared" si="38"/>
        <v/>
      </c>
      <c r="AS432" s="15"/>
      <c r="AT432" s="15"/>
      <c r="AU432" s="15"/>
    </row>
    <row r="433" ht="15.75" customHeight="1">
      <c r="A433" s="15" t="str">
        <f t="shared" si="1"/>
        <v/>
      </c>
      <c r="B433" s="15"/>
      <c r="C433" s="15"/>
      <c r="D433" s="15"/>
      <c r="E433" s="15"/>
      <c r="F433" s="43"/>
      <c r="G433" s="15"/>
      <c r="H433" s="43"/>
      <c r="I433" s="15"/>
      <c r="J433" s="15"/>
      <c r="K433" s="78"/>
      <c r="L433" s="78"/>
      <c r="M433" s="78"/>
      <c r="N433" s="78"/>
      <c r="O433" s="78"/>
      <c r="P433" s="80"/>
      <c r="Q433" s="81"/>
      <c r="R433" s="82"/>
      <c r="S433" s="15"/>
      <c r="T433" s="15"/>
      <c r="U433" s="83"/>
      <c r="V433" s="81"/>
      <c r="W433" s="83"/>
      <c r="X433" s="81"/>
      <c r="Y433" s="83"/>
      <c r="Z433" s="81"/>
      <c r="AA433" s="37"/>
      <c r="AB433" s="37"/>
      <c r="AC433" s="15"/>
      <c r="AD433" s="9"/>
      <c r="AE433" s="38"/>
      <c r="AF433" s="38" t="str">
        <f t="shared" si="36"/>
        <v/>
      </c>
      <c r="AG433" s="15" t="str">
        <f t="shared" si="37"/>
        <v/>
      </c>
      <c r="AH433" s="15"/>
      <c r="AI433" s="15"/>
      <c r="AJ433" s="15"/>
      <c r="AK433" s="15"/>
      <c r="AL433" s="15"/>
      <c r="AM433" s="15"/>
      <c r="AN433" s="9"/>
      <c r="AO433" s="9"/>
      <c r="AP433" s="9"/>
      <c r="AQ433" s="9"/>
      <c r="AR433" s="9" t="str">
        <f t="shared" si="38"/>
        <v/>
      </c>
      <c r="AS433" s="15"/>
      <c r="AT433" s="15"/>
      <c r="AU433" s="15"/>
    </row>
    <row r="434" ht="15.75" customHeight="1">
      <c r="A434" s="15" t="str">
        <f t="shared" si="1"/>
        <v/>
      </c>
      <c r="B434" s="15"/>
      <c r="C434" s="15"/>
      <c r="D434" s="15"/>
      <c r="E434" s="15"/>
      <c r="F434" s="43"/>
      <c r="G434" s="15"/>
      <c r="H434" s="43"/>
      <c r="I434" s="15"/>
      <c r="J434" s="15"/>
      <c r="K434" s="78"/>
      <c r="L434" s="78"/>
      <c r="M434" s="78"/>
      <c r="N434" s="78"/>
      <c r="O434" s="78"/>
      <c r="P434" s="80"/>
      <c r="Q434" s="81"/>
      <c r="R434" s="82"/>
      <c r="S434" s="15"/>
      <c r="T434" s="15"/>
      <c r="U434" s="83"/>
      <c r="V434" s="81"/>
      <c r="W434" s="83"/>
      <c r="X434" s="81"/>
      <c r="Y434" s="83"/>
      <c r="Z434" s="81"/>
      <c r="AA434" s="37"/>
      <c r="AB434" s="37"/>
      <c r="AC434" s="15"/>
      <c r="AD434" s="9"/>
      <c r="AE434" s="38"/>
      <c r="AF434" s="38" t="str">
        <f t="shared" si="36"/>
        <v/>
      </c>
      <c r="AG434" s="15" t="str">
        <f t="shared" si="37"/>
        <v/>
      </c>
      <c r="AH434" s="15"/>
      <c r="AI434" s="15"/>
      <c r="AJ434" s="15"/>
      <c r="AK434" s="15"/>
      <c r="AL434" s="15"/>
      <c r="AM434" s="15"/>
      <c r="AN434" s="9"/>
      <c r="AO434" s="9"/>
      <c r="AP434" s="9"/>
      <c r="AQ434" s="9"/>
      <c r="AR434" s="9" t="str">
        <f t="shared" si="38"/>
        <v/>
      </c>
      <c r="AS434" s="15"/>
      <c r="AT434" s="15"/>
      <c r="AU434" s="15"/>
    </row>
    <row r="435" ht="15.75" customHeight="1">
      <c r="A435" s="15" t="str">
        <f t="shared" si="1"/>
        <v/>
      </c>
      <c r="B435" s="15"/>
      <c r="C435" s="15"/>
      <c r="D435" s="15"/>
      <c r="E435" s="15"/>
      <c r="F435" s="43"/>
      <c r="G435" s="15"/>
      <c r="H435" s="43"/>
      <c r="I435" s="15"/>
      <c r="J435" s="15"/>
      <c r="K435" s="78"/>
      <c r="L435" s="78"/>
      <c r="M435" s="78"/>
      <c r="N435" s="78"/>
      <c r="O435" s="78"/>
      <c r="P435" s="80"/>
      <c r="Q435" s="81"/>
      <c r="R435" s="82"/>
      <c r="S435" s="15"/>
      <c r="T435" s="15"/>
      <c r="U435" s="83"/>
      <c r="V435" s="81"/>
      <c r="W435" s="83"/>
      <c r="X435" s="81"/>
      <c r="Y435" s="83"/>
      <c r="Z435" s="81"/>
      <c r="AA435" s="37"/>
      <c r="AB435" s="37"/>
      <c r="AC435" s="15"/>
      <c r="AD435" s="9"/>
      <c r="AE435" s="38"/>
      <c r="AF435" s="38" t="str">
        <f t="shared" si="36"/>
        <v/>
      </c>
      <c r="AG435" s="15" t="str">
        <f t="shared" si="37"/>
        <v/>
      </c>
      <c r="AH435" s="15"/>
      <c r="AI435" s="15"/>
      <c r="AJ435" s="15"/>
      <c r="AK435" s="15"/>
      <c r="AL435" s="15"/>
      <c r="AM435" s="15"/>
      <c r="AN435" s="9"/>
      <c r="AO435" s="9"/>
      <c r="AP435" s="9"/>
      <c r="AQ435" s="9"/>
      <c r="AR435" s="9" t="str">
        <f t="shared" si="38"/>
        <v/>
      </c>
      <c r="AS435" s="15"/>
      <c r="AT435" s="15"/>
      <c r="AU435" s="15"/>
    </row>
    <row r="436" ht="15.75" customHeight="1">
      <c r="A436" s="15" t="str">
        <f t="shared" si="1"/>
        <v/>
      </c>
      <c r="B436" s="15"/>
      <c r="C436" s="15"/>
      <c r="D436" s="15"/>
      <c r="E436" s="15"/>
      <c r="F436" s="43"/>
      <c r="G436" s="15"/>
      <c r="H436" s="43"/>
      <c r="I436" s="15"/>
      <c r="J436" s="15"/>
      <c r="K436" s="78"/>
      <c r="L436" s="78"/>
      <c r="M436" s="78"/>
      <c r="N436" s="78"/>
      <c r="O436" s="78"/>
      <c r="P436" s="80"/>
      <c r="Q436" s="81"/>
      <c r="R436" s="82"/>
      <c r="S436" s="15"/>
      <c r="T436" s="15"/>
      <c r="U436" s="83"/>
      <c r="V436" s="81"/>
      <c r="W436" s="83"/>
      <c r="X436" s="81"/>
      <c r="Y436" s="83"/>
      <c r="Z436" s="81"/>
      <c r="AA436" s="37"/>
      <c r="AB436" s="37"/>
      <c r="AC436" s="15"/>
      <c r="AD436" s="9"/>
      <c r="AE436" s="38"/>
      <c r="AF436" s="38" t="str">
        <f t="shared" si="36"/>
        <v/>
      </c>
      <c r="AG436" s="15" t="str">
        <f t="shared" si="37"/>
        <v/>
      </c>
      <c r="AH436" s="15"/>
      <c r="AI436" s="15"/>
      <c r="AJ436" s="15"/>
      <c r="AK436" s="15"/>
      <c r="AL436" s="15"/>
      <c r="AM436" s="15"/>
      <c r="AN436" s="9"/>
      <c r="AO436" s="9"/>
      <c r="AP436" s="9"/>
      <c r="AQ436" s="9"/>
      <c r="AR436" s="9" t="str">
        <f t="shared" si="38"/>
        <v/>
      </c>
      <c r="AS436" s="15"/>
      <c r="AT436" s="15"/>
      <c r="AU436" s="15"/>
    </row>
    <row r="437" ht="15.75" customHeight="1">
      <c r="A437" s="15" t="str">
        <f t="shared" si="1"/>
        <v/>
      </c>
      <c r="B437" s="15"/>
      <c r="C437" s="15"/>
      <c r="D437" s="15"/>
      <c r="E437" s="15"/>
      <c r="F437" s="43"/>
      <c r="G437" s="15"/>
      <c r="H437" s="43"/>
      <c r="I437" s="15"/>
      <c r="J437" s="15"/>
      <c r="K437" s="78"/>
      <c r="L437" s="78"/>
      <c r="M437" s="78"/>
      <c r="N437" s="78"/>
      <c r="O437" s="78"/>
      <c r="P437" s="80"/>
      <c r="Q437" s="81"/>
      <c r="R437" s="82"/>
      <c r="S437" s="15"/>
      <c r="T437" s="15"/>
      <c r="U437" s="83"/>
      <c r="V437" s="81"/>
      <c r="W437" s="83"/>
      <c r="X437" s="81"/>
      <c r="Y437" s="83"/>
      <c r="Z437" s="81"/>
      <c r="AA437" s="37"/>
      <c r="AB437" s="37"/>
      <c r="AC437" s="15"/>
      <c r="AD437" s="9"/>
      <c r="AE437" s="38"/>
      <c r="AF437" s="38" t="str">
        <f t="shared" si="36"/>
        <v/>
      </c>
      <c r="AG437" s="15" t="str">
        <f t="shared" si="37"/>
        <v/>
      </c>
      <c r="AH437" s="15"/>
      <c r="AI437" s="15"/>
      <c r="AJ437" s="15"/>
      <c r="AK437" s="15"/>
      <c r="AL437" s="15"/>
      <c r="AM437" s="15"/>
      <c r="AN437" s="9"/>
      <c r="AO437" s="9"/>
      <c r="AP437" s="9"/>
      <c r="AQ437" s="9"/>
      <c r="AR437" s="9" t="str">
        <f t="shared" si="38"/>
        <v/>
      </c>
      <c r="AS437" s="15"/>
      <c r="AT437" s="15"/>
      <c r="AU437" s="15"/>
    </row>
    <row r="438" ht="15.75" customHeight="1">
      <c r="A438" s="15" t="str">
        <f t="shared" si="1"/>
        <v/>
      </c>
      <c r="B438" s="15"/>
      <c r="C438" s="15"/>
      <c r="D438" s="15"/>
      <c r="E438" s="15"/>
      <c r="F438" s="43"/>
      <c r="G438" s="15"/>
      <c r="H438" s="43"/>
      <c r="I438" s="15"/>
      <c r="J438" s="15"/>
      <c r="K438" s="78"/>
      <c r="L438" s="78"/>
      <c r="M438" s="78"/>
      <c r="N438" s="78"/>
      <c r="O438" s="78"/>
      <c r="P438" s="80"/>
      <c r="Q438" s="81"/>
      <c r="R438" s="82"/>
      <c r="S438" s="15"/>
      <c r="T438" s="15"/>
      <c r="U438" s="83"/>
      <c r="V438" s="81"/>
      <c r="W438" s="83"/>
      <c r="X438" s="81"/>
      <c r="Y438" s="83"/>
      <c r="Z438" s="81"/>
      <c r="AA438" s="37"/>
      <c r="AB438" s="37"/>
      <c r="AC438" s="15"/>
      <c r="AD438" s="9"/>
      <c r="AE438" s="38"/>
      <c r="AF438" s="38" t="str">
        <f t="shared" si="36"/>
        <v/>
      </c>
      <c r="AG438" s="15" t="str">
        <f t="shared" si="37"/>
        <v/>
      </c>
      <c r="AH438" s="15"/>
      <c r="AI438" s="15"/>
      <c r="AJ438" s="15"/>
      <c r="AK438" s="15"/>
      <c r="AL438" s="15"/>
      <c r="AM438" s="15"/>
      <c r="AN438" s="9"/>
      <c r="AO438" s="9"/>
      <c r="AP438" s="9"/>
      <c r="AQ438" s="9"/>
      <c r="AR438" s="9" t="str">
        <f t="shared" si="38"/>
        <v/>
      </c>
      <c r="AS438" s="15"/>
      <c r="AT438" s="15"/>
      <c r="AU438" s="15"/>
    </row>
    <row r="439" ht="15.75" customHeight="1">
      <c r="A439" s="15" t="str">
        <f t="shared" si="1"/>
        <v/>
      </c>
      <c r="B439" s="15"/>
      <c r="C439" s="15"/>
      <c r="D439" s="15"/>
      <c r="E439" s="15"/>
      <c r="F439" s="43"/>
      <c r="G439" s="15"/>
      <c r="H439" s="43"/>
      <c r="I439" s="15"/>
      <c r="J439" s="15"/>
      <c r="K439" s="78"/>
      <c r="L439" s="78"/>
      <c r="M439" s="78"/>
      <c r="N439" s="78"/>
      <c r="O439" s="78"/>
      <c r="P439" s="80"/>
      <c r="Q439" s="81"/>
      <c r="R439" s="82"/>
      <c r="S439" s="15"/>
      <c r="T439" s="15"/>
      <c r="U439" s="83"/>
      <c r="V439" s="81"/>
      <c r="W439" s="83"/>
      <c r="X439" s="81"/>
      <c r="Y439" s="83"/>
      <c r="Z439" s="81"/>
      <c r="AA439" s="37"/>
      <c r="AB439" s="37"/>
      <c r="AC439" s="15"/>
      <c r="AD439" s="9"/>
      <c r="AE439" s="38"/>
      <c r="AF439" s="38" t="str">
        <f t="shared" si="36"/>
        <v/>
      </c>
      <c r="AG439" s="15" t="str">
        <f t="shared" si="37"/>
        <v/>
      </c>
      <c r="AH439" s="15"/>
      <c r="AI439" s="15"/>
      <c r="AJ439" s="15"/>
      <c r="AK439" s="15"/>
      <c r="AL439" s="15"/>
      <c r="AM439" s="15"/>
      <c r="AN439" s="9"/>
      <c r="AO439" s="9"/>
      <c r="AP439" s="9"/>
      <c r="AQ439" s="9"/>
      <c r="AR439" s="9" t="str">
        <f t="shared" si="38"/>
        <v/>
      </c>
      <c r="AS439" s="15"/>
      <c r="AT439" s="15"/>
      <c r="AU439" s="15"/>
    </row>
    <row r="440" ht="15.75" customHeight="1">
      <c r="A440" s="15" t="str">
        <f t="shared" si="1"/>
        <v/>
      </c>
      <c r="B440" s="15"/>
      <c r="C440" s="15"/>
      <c r="D440" s="15"/>
      <c r="E440" s="15"/>
      <c r="F440" s="43"/>
      <c r="G440" s="15"/>
      <c r="H440" s="43"/>
      <c r="I440" s="15"/>
      <c r="J440" s="15"/>
      <c r="K440" s="78"/>
      <c r="L440" s="78"/>
      <c r="M440" s="78"/>
      <c r="N440" s="78"/>
      <c r="O440" s="78"/>
      <c r="P440" s="80"/>
      <c r="Q440" s="81"/>
      <c r="R440" s="82"/>
      <c r="S440" s="15"/>
      <c r="T440" s="15"/>
      <c r="U440" s="83"/>
      <c r="V440" s="81"/>
      <c r="W440" s="83"/>
      <c r="X440" s="81"/>
      <c r="Y440" s="83"/>
      <c r="Z440" s="81"/>
      <c r="AA440" s="37"/>
      <c r="AB440" s="37"/>
      <c r="AC440" s="15"/>
      <c r="AD440" s="9"/>
      <c r="AE440" s="38"/>
      <c r="AF440" s="38" t="str">
        <f t="shared" si="36"/>
        <v/>
      </c>
      <c r="AG440" s="15" t="str">
        <f t="shared" si="37"/>
        <v/>
      </c>
      <c r="AH440" s="15"/>
      <c r="AI440" s="15"/>
      <c r="AJ440" s="15"/>
      <c r="AK440" s="15"/>
      <c r="AL440" s="15"/>
      <c r="AM440" s="15"/>
      <c r="AN440" s="9"/>
      <c r="AO440" s="9"/>
      <c r="AP440" s="9"/>
      <c r="AQ440" s="9"/>
      <c r="AR440" s="9" t="str">
        <f t="shared" si="38"/>
        <v/>
      </c>
      <c r="AS440" s="15"/>
      <c r="AT440" s="15"/>
      <c r="AU440" s="15"/>
    </row>
    <row r="441" ht="15.75" customHeight="1">
      <c r="A441" s="15" t="str">
        <f t="shared" si="1"/>
        <v/>
      </c>
      <c r="B441" s="15"/>
      <c r="C441" s="15"/>
      <c r="D441" s="15"/>
      <c r="E441" s="15"/>
      <c r="F441" s="43"/>
      <c r="G441" s="15"/>
      <c r="H441" s="43"/>
      <c r="I441" s="15"/>
      <c r="J441" s="15"/>
      <c r="K441" s="78"/>
      <c r="L441" s="78"/>
      <c r="M441" s="78"/>
      <c r="N441" s="78"/>
      <c r="O441" s="78"/>
      <c r="P441" s="80"/>
      <c r="Q441" s="81"/>
      <c r="R441" s="82"/>
      <c r="S441" s="15"/>
      <c r="T441" s="15"/>
      <c r="U441" s="83"/>
      <c r="V441" s="81"/>
      <c r="W441" s="83"/>
      <c r="X441" s="81"/>
      <c r="Y441" s="83"/>
      <c r="Z441" s="81"/>
      <c r="AA441" s="37"/>
      <c r="AB441" s="37"/>
      <c r="AC441" s="15"/>
      <c r="AD441" s="9"/>
      <c r="AE441" s="38"/>
      <c r="AF441" s="38" t="str">
        <f t="shared" si="36"/>
        <v/>
      </c>
      <c r="AG441" s="15" t="str">
        <f t="shared" si="37"/>
        <v/>
      </c>
      <c r="AH441" s="15"/>
      <c r="AI441" s="15"/>
      <c r="AJ441" s="15"/>
      <c r="AK441" s="15"/>
      <c r="AL441" s="15"/>
      <c r="AM441" s="15"/>
      <c r="AN441" s="9"/>
      <c r="AO441" s="9"/>
      <c r="AP441" s="9"/>
      <c r="AQ441" s="9"/>
      <c r="AR441" s="9" t="str">
        <f t="shared" si="38"/>
        <v/>
      </c>
      <c r="AS441" s="15"/>
      <c r="AT441" s="15"/>
      <c r="AU441" s="15"/>
    </row>
    <row r="442" ht="15.75" customHeight="1">
      <c r="A442" s="15" t="str">
        <f t="shared" si="1"/>
        <v/>
      </c>
      <c r="B442" s="15"/>
      <c r="C442" s="15"/>
      <c r="D442" s="15"/>
      <c r="E442" s="15"/>
      <c r="F442" s="43"/>
      <c r="G442" s="15"/>
      <c r="H442" s="43"/>
      <c r="I442" s="15"/>
      <c r="J442" s="15"/>
      <c r="K442" s="78"/>
      <c r="L442" s="78"/>
      <c r="M442" s="78"/>
      <c r="N442" s="78"/>
      <c r="O442" s="78"/>
      <c r="P442" s="80"/>
      <c r="Q442" s="81"/>
      <c r="R442" s="82"/>
      <c r="S442" s="15"/>
      <c r="T442" s="15"/>
      <c r="U442" s="83"/>
      <c r="V442" s="81"/>
      <c r="W442" s="83"/>
      <c r="X442" s="81"/>
      <c r="Y442" s="83"/>
      <c r="Z442" s="81"/>
      <c r="AA442" s="37"/>
      <c r="AB442" s="37"/>
      <c r="AC442" s="15"/>
      <c r="AD442" s="9"/>
      <c r="AE442" s="38"/>
      <c r="AF442" s="38" t="str">
        <f t="shared" si="36"/>
        <v/>
      </c>
      <c r="AG442" s="15" t="str">
        <f t="shared" si="37"/>
        <v/>
      </c>
      <c r="AH442" s="15"/>
      <c r="AI442" s="15"/>
      <c r="AJ442" s="15"/>
      <c r="AK442" s="15"/>
      <c r="AL442" s="15"/>
      <c r="AM442" s="15"/>
      <c r="AN442" s="9"/>
      <c r="AO442" s="9"/>
      <c r="AP442" s="9"/>
      <c r="AQ442" s="9"/>
      <c r="AR442" s="9" t="str">
        <f t="shared" si="38"/>
        <v/>
      </c>
      <c r="AS442" s="15"/>
      <c r="AT442" s="15"/>
      <c r="AU442" s="15"/>
    </row>
    <row r="443" ht="15.75" customHeight="1">
      <c r="A443" s="15" t="str">
        <f t="shared" si="1"/>
        <v/>
      </c>
      <c r="B443" s="15"/>
      <c r="C443" s="15"/>
      <c r="D443" s="15"/>
      <c r="E443" s="15"/>
      <c r="F443" s="43"/>
      <c r="G443" s="15"/>
      <c r="H443" s="43"/>
      <c r="I443" s="15"/>
      <c r="J443" s="15"/>
      <c r="K443" s="78"/>
      <c r="L443" s="78"/>
      <c r="M443" s="78"/>
      <c r="N443" s="78"/>
      <c r="O443" s="78"/>
      <c r="P443" s="80"/>
      <c r="Q443" s="81"/>
      <c r="R443" s="82"/>
      <c r="S443" s="15"/>
      <c r="T443" s="15"/>
      <c r="U443" s="83"/>
      <c r="V443" s="81"/>
      <c r="W443" s="83"/>
      <c r="X443" s="81"/>
      <c r="Y443" s="83"/>
      <c r="Z443" s="81"/>
      <c r="AA443" s="37"/>
      <c r="AB443" s="37"/>
      <c r="AC443" s="15"/>
      <c r="AD443" s="9"/>
      <c r="AE443" s="38"/>
      <c r="AF443" s="38" t="str">
        <f t="shared" si="36"/>
        <v/>
      </c>
      <c r="AG443" s="15" t="str">
        <f t="shared" si="37"/>
        <v/>
      </c>
      <c r="AH443" s="15"/>
      <c r="AI443" s="15"/>
      <c r="AJ443" s="15"/>
      <c r="AK443" s="15"/>
      <c r="AL443" s="15"/>
      <c r="AM443" s="15"/>
      <c r="AN443" s="9"/>
      <c r="AO443" s="9"/>
      <c r="AP443" s="9"/>
      <c r="AQ443" s="9"/>
      <c r="AR443" s="9" t="str">
        <f t="shared" si="38"/>
        <v/>
      </c>
      <c r="AS443" s="15"/>
      <c r="AT443" s="15"/>
      <c r="AU443" s="15"/>
    </row>
    <row r="444" ht="15.75" customHeight="1">
      <c r="A444" s="15" t="str">
        <f t="shared" si="1"/>
        <v/>
      </c>
      <c r="B444" s="15"/>
      <c r="C444" s="15"/>
      <c r="D444" s="15"/>
      <c r="E444" s="15"/>
      <c r="F444" s="43"/>
      <c r="G444" s="15"/>
      <c r="H444" s="43"/>
      <c r="I444" s="15"/>
      <c r="J444" s="15"/>
      <c r="K444" s="78"/>
      <c r="L444" s="78"/>
      <c r="M444" s="78"/>
      <c r="N444" s="78"/>
      <c r="O444" s="78"/>
      <c r="P444" s="80"/>
      <c r="Q444" s="81"/>
      <c r="R444" s="82"/>
      <c r="S444" s="15"/>
      <c r="T444" s="15"/>
      <c r="U444" s="83"/>
      <c r="V444" s="81"/>
      <c r="W444" s="83"/>
      <c r="X444" s="81"/>
      <c r="Y444" s="83"/>
      <c r="Z444" s="81"/>
      <c r="AA444" s="37"/>
      <c r="AB444" s="37"/>
      <c r="AC444" s="15"/>
      <c r="AD444" s="9"/>
      <c r="AE444" s="38"/>
      <c r="AF444" s="38" t="str">
        <f t="shared" si="36"/>
        <v/>
      </c>
      <c r="AG444" s="15" t="str">
        <f t="shared" si="37"/>
        <v/>
      </c>
      <c r="AH444" s="15"/>
      <c r="AI444" s="15"/>
      <c r="AJ444" s="15"/>
      <c r="AK444" s="15"/>
      <c r="AL444" s="15"/>
      <c r="AM444" s="15"/>
      <c r="AN444" s="9"/>
      <c r="AO444" s="9"/>
      <c r="AP444" s="9"/>
      <c r="AQ444" s="9"/>
      <c r="AR444" s="9" t="str">
        <f t="shared" si="38"/>
        <v/>
      </c>
      <c r="AS444" s="15"/>
      <c r="AT444" s="15"/>
      <c r="AU444" s="15"/>
    </row>
    <row r="445" ht="15.75" customHeight="1">
      <c r="A445" s="15" t="str">
        <f t="shared" si="1"/>
        <v/>
      </c>
      <c r="B445" s="15"/>
      <c r="C445" s="15"/>
      <c r="D445" s="15"/>
      <c r="E445" s="15"/>
      <c r="F445" s="43"/>
      <c r="G445" s="15"/>
      <c r="H445" s="43"/>
      <c r="I445" s="15"/>
      <c r="J445" s="15"/>
      <c r="K445" s="78"/>
      <c r="L445" s="78"/>
      <c r="M445" s="78"/>
      <c r="N445" s="78"/>
      <c r="O445" s="78"/>
      <c r="P445" s="80"/>
      <c r="Q445" s="81"/>
      <c r="R445" s="82"/>
      <c r="S445" s="15"/>
      <c r="T445" s="15"/>
      <c r="U445" s="83"/>
      <c r="V445" s="81"/>
      <c r="W445" s="83"/>
      <c r="X445" s="81"/>
      <c r="Y445" s="83"/>
      <c r="Z445" s="81"/>
      <c r="AA445" s="37"/>
      <c r="AB445" s="37"/>
      <c r="AC445" s="15"/>
      <c r="AD445" s="9"/>
      <c r="AE445" s="38"/>
      <c r="AF445" s="38" t="str">
        <f t="shared" si="36"/>
        <v/>
      </c>
      <c r="AG445" s="15" t="str">
        <f t="shared" si="37"/>
        <v/>
      </c>
      <c r="AH445" s="15"/>
      <c r="AI445" s="15"/>
      <c r="AJ445" s="15"/>
      <c r="AK445" s="15"/>
      <c r="AL445" s="15"/>
      <c r="AM445" s="15"/>
      <c r="AN445" s="9"/>
      <c r="AO445" s="9"/>
      <c r="AP445" s="9"/>
      <c r="AQ445" s="9"/>
      <c r="AR445" s="9" t="str">
        <f t="shared" si="38"/>
        <v/>
      </c>
      <c r="AS445" s="15"/>
      <c r="AT445" s="15"/>
      <c r="AU445" s="15"/>
    </row>
    <row r="446" ht="15.75" customHeight="1">
      <c r="A446" s="15" t="str">
        <f t="shared" si="1"/>
        <v/>
      </c>
      <c r="B446" s="15"/>
      <c r="C446" s="15"/>
      <c r="D446" s="15"/>
      <c r="E446" s="15"/>
      <c r="F446" s="43"/>
      <c r="G446" s="15"/>
      <c r="H446" s="43"/>
      <c r="I446" s="15"/>
      <c r="J446" s="15"/>
      <c r="K446" s="78"/>
      <c r="L446" s="78"/>
      <c r="M446" s="78"/>
      <c r="N446" s="78"/>
      <c r="O446" s="78"/>
      <c r="P446" s="80"/>
      <c r="Q446" s="81"/>
      <c r="R446" s="82"/>
      <c r="S446" s="15"/>
      <c r="T446" s="15"/>
      <c r="U446" s="83"/>
      <c r="V446" s="81"/>
      <c r="W446" s="83"/>
      <c r="X446" s="81"/>
      <c r="Y446" s="83"/>
      <c r="Z446" s="81"/>
      <c r="AA446" s="37"/>
      <c r="AB446" s="37"/>
      <c r="AC446" s="15"/>
      <c r="AD446" s="9"/>
      <c r="AE446" s="38"/>
      <c r="AF446" s="38" t="str">
        <f t="shared" si="36"/>
        <v/>
      </c>
      <c r="AG446" s="15" t="str">
        <f t="shared" si="37"/>
        <v/>
      </c>
      <c r="AH446" s="15"/>
      <c r="AI446" s="15"/>
      <c r="AJ446" s="15"/>
      <c r="AK446" s="15"/>
      <c r="AL446" s="15"/>
      <c r="AM446" s="15"/>
      <c r="AN446" s="9"/>
      <c r="AO446" s="9"/>
      <c r="AP446" s="9"/>
      <c r="AQ446" s="9"/>
      <c r="AR446" s="9" t="str">
        <f t="shared" si="38"/>
        <v/>
      </c>
      <c r="AS446" s="15"/>
      <c r="AT446" s="15"/>
      <c r="AU446" s="15"/>
    </row>
    <row r="447" ht="15.75" customHeight="1">
      <c r="A447" s="15" t="str">
        <f t="shared" si="1"/>
        <v/>
      </c>
      <c r="B447" s="15"/>
      <c r="C447" s="15"/>
      <c r="D447" s="15"/>
      <c r="E447" s="15"/>
      <c r="F447" s="43"/>
      <c r="G447" s="15"/>
      <c r="H447" s="43"/>
      <c r="I447" s="15"/>
      <c r="J447" s="15"/>
      <c r="K447" s="78"/>
      <c r="L447" s="78"/>
      <c r="M447" s="78"/>
      <c r="N447" s="78"/>
      <c r="O447" s="78"/>
      <c r="P447" s="80"/>
      <c r="Q447" s="81"/>
      <c r="R447" s="82"/>
      <c r="S447" s="15"/>
      <c r="T447" s="15"/>
      <c r="U447" s="83"/>
      <c r="V447" s="81"/>
      <c r="W447" s="83"/>
      <c r="X447" s="81"/>
      <c r="Y447" s="83"/>
      <c r="Z447" s="81"/>
      <c r="AA447" s="37"/>
      <c r="AB447" s="37"/>
      <c r="AC447" s="15"/>
      <c r="AD447" s="9"/>
      <c r="AE447" s="38"/>
      <c r="AF447" s="38" t="str">
        <f t="shared" si="36"/>
        <v/>
      </c>
      <c r="AG447" s="15" t="str">
        <f t="shared" si="37"/>
        <v/>
      </c>
      <c r="AH447" s="15"/>
      <c r="AI447" s="15"/>
      <c r="AJ447" s="15"/>
      <c r="AK447" s="15"/>
      <c r="AL447" s="15"/>
      <c r="AM447" s="15"/>
      <c r="AN447" s="9"/>
      <c r="AO447" s="9"/>
      <c r="AP447" s="9"/>
      <c r="AQ447" s="9"/>
      <c r="AR447" s="9" t="str">
        <f t="shared" si="38"/>
        <v/>
      </c>
      <c r="AS447" s="15"/>
      <c r="AT447" s="15"/>
      <c r="AU447" s="15"/>
    </row>
    <row r="448" ht="15.75" customHeight="1">
      <c r="A448" s="15" t="str">
        <f t="shared" si="1"/>
        <v/>
      </c>
      <c r="B448" s="15"/>
      <c r="C448" s="15"/>
      <c r="D448" s="15"/>
      <c r="E448" s="15"/>
      <c r="F448" s="43"/>
      <c r="G448" s="15"/>
      <c r="H448" s="43"/>
      <c r="I448" s="15"/>
      <c r="J448" s="15"/>
      <c r="K448" s="78"/>
      <c r="L448" s="78"/>
      <c r="M448" s="78"/>
      <c r="N448" s="78"/>
      <c r="O448" s="78"/>
      <c r="P448" s="80"/>
      <c r="Q448" s="81"/>
      <c r="R448" s="82"/>
      <c r="S448" s="15"/>
      <c r="T448" s="15"/>
      <c r="U448" s="83"/>
      <c r="V448" s="81"/>
      <c r="W448" s="83"/>
      <c r="X448" s="81"/>
      <c r="Y448" s="83"/>
      <c r="Z448" s="81"/>
      <c r="AA448" s="37"/>
      <c r="AB448" s="37"/>
      <c r="AC448" s="15"/>
      <c r="AD448" s="9"/>
      <c r="AE448" s="38"/>
      <c r="AF448" s="38" t="str">
        <f t="shared" si="36"/>
        <v/>
      </c>
      <c r="AG448" s="15" t="str">
        <f t="shared" si="37"/>
        <v/>
      </c>
      <c r="AH448" s="15"/>
      <c r="AI448" s="15"/>
      <c r="AJ448" s="15"/>
      <c r="AK448" s="15"/>
      <c r="AL448" s="15"/>
      <c r="AM448" s="15"/>
      <c r="AN448" s="9"/>
      <c r="AO448" s="9"/>
      <c r="AP448" s="9"/>
      <c r="AQ448" s="9"/>
      <c r="AR448" s="9" t="str">
        <f t="shared" si="38"/>
        <v/>
      </c>
      <c r="AS448" s="15"/>
      <c r="AT448" s="15"/>
      <c r="AU448" s="15"/>
    </row>
    <row r="449" ht="15.75" customHeight="1">
      <c r="A449" s="15" t="str">
        <f t="shared" si="1"/>
        <v/>
      </c>
      <c r="B449" s="15"/>
      <c r="C449" s="15"/>
      <c r="D449" s="15"/>
      <c r="E449" s="15"/>
      <c r="F449" s="43"/>
      <c r="G449" s="15"/>
      <c r="H449" s="43"/>
      <c r="I449" s="15"/>
      <c r="J449" s="15"/>
      <c r="K449" s="78"/>
      <c r="L449" s="78"/>
      <c r="M449" s="78"/>
      <c r="N449" s="78"/>
      <c r="O449" s="78"/>
      <c r="P449" s="80"/>
      <c r="Q449" s="81"/>
      <c r="R449" s="82"/>
      <c r="S449" s="15"/>
      <c r="T449" s="15"/>
      <c r="U449" s="83"/>
      <c r="V449" s="81"/>
      <c r="W449" s="83"/>
      <c r="X449" s="81"/>
      <c r="Y449" s="83"/>
      <c r="Z449" s="81"/>
      <c r="AA449" s="37"/>
      <c r="AB449" s="37"/>
      <c r="AC449" s="15"/>
      <c r="AD449" s="9"/>
      <c r="AE449" s="38"/>
      <c r="AF449" s="38" t="str">
        <f t="shared" si="36"/>
        <v/>
      </c>
      <c r="AG449" s="15" t="str">
        <f t="shared" si="37"/>
        <v/>
      </c>
      <c r="AH449" s="15"/>
      <c r="AI449" s="15"/>
      <c r="AJ449" s="15"/>
      <c r="AK449" s="15"/>
      <c r="AL449" s="15"/>
      <c r="AM449" s="15"/>
      <c r="AN449" s="9"/>
      <c r="AO449" s="9"/>
      <c r="AP449" s="9"/>
      <c r="AQ449" s="9"/>
      <c r="AR449" s="9" t="str">
        <f t="shared" si="38"/>
        <v/>
      </c>
      <c r="AS449" s="15"/>
      <c r="AT449" s="15"/>
      <c r="AU449" s="15"/>
    </row>
    <row r="450" ht="15.75" customHeight="1">
      <c r="A450" s="15" t="str">
        <f t="shared" si="1"/>
        <v/>
      </c>
      <c r="B450" s="15"/>
      <c r="C450" s="15"/>
      <c r="D450" s="15"/>
      <c r="E450" s="15"/>
      <c r="F450" s="43"/>
      <c r="G450" s="15"/>
      <c r="H450" s="43"/>
      <c r="I450" s="15"/>
      <c r="J450" s="15"/>
      <c r="K450" s="78"/>
      <c r="L450" s="78"/>
      <c r="M450" s="78"/>
      <c r="N450" s="78"/>
      <c r="O450" s="78"/>
      <c r="P450" s="80"/>
      <c r="Q450" s="81"/>
      <c r="R450" s="82"/>
      <c r="S450" s="15"/>
      <c r="T450" s="15"/>
      <c r="U450" s="83"/>
      <c r="V450" s="81"/>
      <c r="W450" s="83"/>
      <c r="X450" s="81"/>
      <c r="Y450" s="83"/>
      <c r="Z450" s="81"/>
      <c r="AA450" s="37"/>
      <c r="AB450" s="37"/>
      <c r="AC450" s="15"/>
      <c r="AD450" s="9"/>
      <c r="AE450" s="38"/>
      <c r="AF450" s="38" t="str">
        <f t="shared" si="36"/>
        <v/>
      </c>
      <c r="AG450" s="15" t="str">
        <f t="shared" si="37"/>
        <v/>
      </c>
      <c r="AH450" s="15"/>
      <c r="AI450" s="15"/>
      <c r="AJ450" s="15"/>
      <c r="AK450" s="15"/>
      <c r="AL450" s="15"/>
      <c r="AM450" s="15"/>
      <c r="AN450" s="9"/>
      <c r="AO450" s="9"/>
      <c r="AP450" s="9"/>
      <c r="AQ450" s="9"/>
      <c r="AR450" s="9" t="str">
        <f t="shared" si="38"/>
        <v/>
      </c>
      <c r="AS450" s="15"/>
      <c r="AT450" s="15"/>
      <c r="AU450" s="15"/>
    </row>
    <row r="451" ht="15.75" customHeight="1">
      <c r="A451" s="15" t="str">
        <f t="shared" si="1"/>
        <v/>
      </c>
      <c r="B451" s="15"/>
      <c r="C451" s="15"/>
      <c r="D451" s="15"/>
      <c r="E451" s="15"/>
      <c r="F451" s="43"/>
      <c r="G451" s="15"/>
      <c r="H451" s="43"/>
      <c r="I451" s="15"/>
      <c r="J451" s="15"/>
      <c r="K451" s="78"/>
      <c r="L451" s="78"/>
      <c r="M451" s="78"/>
      <c r="N451" s="78"/>
      <c r="O451" s="78"/>
      <c r="P451" s="80"/>
      <c r="Q451" s="81"/>
      <c r="R451" s="82"/>
      <c r="S451" s="15"/>
      <c r="T451" s="15"/>
      <c r="U451" s="83"/>
      <c r="V451" s="81"/>
      <c r="W451" s="83"/>
      <c r="X451" s="81"/>
      <c r="Y451" s="83"/>
      <c r="Z451" s="81"/>
      <c r="AA451" s="37"/>
      <c r="AB451" s="37"/>
      <c r="AC451" s="15"/>
      <c r="AD451" s="9"/>
      <c r="AE451" s="38"/>
      <c r="AF451" s="38" t="str">
        <f t="shared" si="36"/>
        <v/>
      </c>
      <c r="AG451" s="15" t="str">
        <f t="shared" si="37"/>
        <v/>
      </c>
      <c r="AH451" s="15"/>
      <c r="AI451" s="15"/>
      <c r="AJ451" s="15"/>
      <c r="AK451" s="15"/>
      <c r="AL451" s="15"/>
      <c r="AM451" s="15"/>
      <c r="AN451" s="9"/>
      <c r="AO451" s="9"/>
      <c r="AP451" s="9"/>
      <c r="AQ451" s="9"/>
      <c r="AR451" s="9" t="str">
        <f t="shared" si="38"/>
        <v/>
      </c>
      <c r="AS451" s="15"/>
      <c r="AT451" s="15"/>
      <c r="AU451" s="15"/>
    </row>
    <row r="452" ht="15.75" customHeight="1">
      <c r="A452" s="15" t="str">
        <f t="shared" si="1"/>
        <v/>
      </c>
      <c r="B452" s="15"/>
      <c r="C452" s="15"/>
      <c r="D452" s="15"/>
      <c r="E452" s="15"/>
      <c r="F452" s="43"/>
      <c r="G452" s="15"/>
      <c r="H452" s="43"/>
      <c r="I452" s="15"/>
      <c r="J452" s="15"/>
      <c r="K452" s="78"/>
      <c r="L452" s="78"/>
      <c r="M452" s="78"/>
      <c r="N452" s="78"/>
      <c r="O452" s="78"/>
      <c r="P452" s="80"/>
      <c r="Q452" s="81"/>
      <c r="R452" s="82"/>
      <c r="S452" s="15"/>
      <c r="T452" s="15"/>
      <c r="U452" s="83"/>
      <c r="V452" s="81"/>
      <c r="W452" s="83"/>
      <c r="X452" s="81"/>
      <c r="Y452" s="83"/>
      <c r="Z452" s="81"/>
      <c r="AA452" s="37"/>
      <c r="AB452" s="37"/>
      <c r="AC452" s="15"/>
      <c r="AD452" s="9"/>
      <c r="AE452" s="38"/>
      <c r="AF452" s="38" t="str">
        <f t="shared" si="36"/>
        <v/>
      </c>
      <c r="AG452" s="15" t="str">
        <f t="shared" si="37"/>
        <v/>
      </c>
      <c r="AH452" s="15"/>
      <c r="AI452" s="15"/>
      <c r="AJ452" s="15"/>
      <c r="AK452" s="15"/>
      <c r="AL452" s="15"/>
      <c r="AM452" s="15"/>
      <c r="AN452" s="9"/>
      <c r="AO452" s="9"/>
      <c r="AP452" s="9"/>
      <c r="AQ452" s="9"/>
      <c r="AR452" s="9" t="str">
        <f t="shared" si="38"/>
        <v/>
      </c>
      <c r="AS452" s="15"/>
      <c r="AT452" s="15"/>
      <c r="AU452" s="15"/>
    </row>
    <row r="453" ht="15.75" customHeight="1">
      <c r="A453" s="15" t="str">
        <f t="shared" si="1"/>
        <v/>
      </c>
      <c r="B453" s="15"/>
      <c r="C453" s="15"/>
      <c r="D453" s="15"/>
      <c r="E453" s="15"/>
      <c r="F453" s="43"/>
      <c r="G453" s="15"/>
      <c r="H453" s="43"/>
      <c r="I453" s="15"/>
      <c r="J453" s="15"/>
      <c r="K453" s="78"/>
      <c r="L453" s="78"/>
      <c r="M453" s="78"/>
      <c r="N453" s="78"/>
      <c r="O453" s="78"/>
      <c r="P453" s="80"/>
      <c r="Q453" s="81"/>
      <c r="R453" s="82"/>
      <c r="S453" s="15"/>
      <c r="T453" s="15"/>
      <c r="U453" s="83"/>
      <c r="V453" s="81"/>
      <c r="W453" s="83"/>
      <c r="X453" s="81"/>
      <c r="Y453" s="83"/>
      <c r="Z453" s="81"/>
      <c r="AA453" s="37"/>
      <c r="AB453" s="37"/>
      <c r="AC453" s="15"/>
      <c r="AD453" s="9"/>
      <c r="AE453" s="38"/>
      <c r="AF453" s="38" t="str">
        <f t="shared" si="36"/>
        <v/>
      </c>
      <c r="AG453" s="15" t="str">
        <f t="shared" si="37"/>
        <v/>
      </c>
      <c r="AH453" s="15"/>
      <c r="AI453" s="15"/>
      <c r="AJ453" s="15"/>
      <c r="AK453" s="15"/>
      <c r="AL453" s="15"/>
      <c r="AM453" s="15"/>
      <c r="AN453" s="9"/>
      <c r="AO453" s="9"/>
      <c r="AP453" s="9"/>
      <c r="AQ453" s="9"/>
      <c r="AR453" s="9" t="str">
        <f t="shared" si="38"/>
        <v/>
      </c>
      <c r="AS453" s="15"/>
      <c r="AT453" s="15"/>
      <c r="AU453" s="15"/>
    </row>
    <row r="454" ht="15.75" customHeight="1">
      <c r="A454" s="15" t="str">
        <f t="shared" si="1"/>
        <v/>
      </c>
      <c r="B454" s="15"/>
      <c r="C454" s="15"/>
      <c r="D454" s="15"/>
      <c r="E454" s="15"/>
      <c r="F454" s="43"/>
      <c r="G454" s="15"/>
      <c r="H454" s="43"/>
      <c r="I454" s="15"/>
      <c r="J454" s="15"/>
      <c r="K454" s="78"/>
      <c r="L454" s="78"/>
      <c r="M454" s="78"/>
      <c r="N454" s="78"/>
      <c r="O454" s="78"/>
      <c r="P454" s="80"/>
      <c r="Q454" s="81"/>
      <c r="R454" s="82"/>
      <c r="S454" s="15"/>
      <c r="T454" s="15"/>
      <c r="U454" s="83"/>
      <c r="V454" s="81"/>
      <c r="W454" s="83"/>
      <c r="X454" s="81"/>
      <c r="Y454" s="83"/>
      <c r="Z454" s="81"/>
      <c r="AA454" s="37"/>
      <c r="AB454" s="37"/>
      <c r="AC454" s="15"/>
      <c r="AD454" s="9"/>
      <c r="AE454" s="38"/>
      <c r="AF454" s="38" t="str">
        <f t="shared" si="36"/>
        <v/>
      </c>
      <c r="AG454" s="15" t="str">
        <f t="shared" si="37"/>
        <v/>
      </c>
      <c r="AH454" s="15"/>
      <c r="AI454" s="15"/>
      <c r="AJ454" s="15"/>
      <c r="AK454" s="15"/>
      <c r="AL454" s="15"/>
      <c r="AM454" s="15"/>
      <c r="AN454" s="9"/>
      <c r="AO454" s="9"/>
      <c r="AP454" s="9"/>
      <c r="AQ454" s="9"/>
      <c r="AR454" s="9" t="str">
        <f t="shared" si="38"/>
        <v/>
      </c>
      <c r="AS454" s="15"/>
      <c r="AT454" s="15"/>
      <c r="AU454" s="15"/>
    </row>
    <row r="455" ht="15.75" customHeight="1">
      <c r="A455" s="15" t="str">
        <f t="shared" si="1"/>
        <v/>
      </c>
      <c r="B455" s="15"/>
      <c r="C455" s="15"/>
      <c r="D455" s="15"/>
      <c r="E455" s="15"/>
      <c r="F455" s="43"/>
      <c r="G455" s="15"/>
      <c r="H455" s="43"/>
      <c r="I455" s="15"/>
      <c r="J455" s="15"/>
      <c r="K455" s="78"/>
      <c r="L455" s="78"/>
      <c r="M455" s="78"/>
      <c r="N455" s="78"/>
      <c r="O455" s="78"/>
      <c r="P455" s="80"/>
      <c r="Q455" s="81"/>
      <c r="R455" s="82"/>
      <c r="S455" s="15"/>
      <c r="T455" s="15"/>
      <c r="U455" s="83"/>
      <c r="V455" s="81"/>
      <c r="W455" s="83"/>
      <c r="X455" s="81"/>
      <c r="Y455" s="83"/>
      <c r="Z455" s="81"/>
      <c r="AA455" s="37"/>
      <c r="AB455" s="37"/>
      <c r="AC455" s="15"/>
      <c r="AD455" s="9"/>
      <c r="AE455" s="38"/>
      <c r="AF455" s="38" t="str">
        <f t="shared" si="36"/>
        <v/>
      </c>
      <c r="AG455" s="15" t="str">
        <f t="shared" si="37"/>
        <v/>
      </c>
      <c r="AH455" s="15"/>
      <c r="AI455" s="15"/>
      <c r="AJ455" s="15"/>
      <c r="AK455" s="15"/>
      <c r="AL455" s="15"/>
      <c r="AM455" s="15"/>
      <c r="AN455" s="9"/>
      <c r="AO455" s="9"/>
      <c r="AP455" s="9"/>
      <c r="AQ455" s="9"/>
      <c r="AR455" s="9" t="str">
        <f t="shared" si="38"/>
        <v/>
      </c>
      <c r="AS455" s="15"/>
      <c r="AT455" s="15"/>
      <c r="AU455" s="15"/>
    </row>
    <row r="456" ht="15.75" customHeight="1">
      <c r="A456" s="15" t="str">
        <f t="shared" si="1"/>
        <v/>
      </c>
      <c r="B456" s="15"/>
      <c r="C456" s="15"/>
      <c r="D456" s="15"/>
      <c r="E456" s="15"/>
      <c r="F456" s="43"/>
      <c r="G456" s="15"/>
      <c r="H456" s="43"/>
      <c r="I456" s="15"/>
      <c r="J456" s="15"/>
      <c r="K456" s="78"/>
      <c r="L456" s="78"/>
      <c r="M456" s="78"/>
      <c r="N456" s="78"/>
      <c r="O456" s="78"/>
      <c r="P456" s="80"/>
      <c r="Q456" s="81"/>
      <c r="R456" s="82"/>
      <c r="S456" s="15"/>
      <c r="T456" s="15"/>
      <c r="U456" s="83"/>
      <c r="V456" s="81"/>
      <c r="W456" s="83"/>
      <c r="X456" s="81"/>
      <c r="Y456" s="83"/>
      <c r="Z456" s="81"/>
      <c r="AA456" s="37"/>
      <c r="AB456" s="37"/>
      <c r="AC456" s="15"/>
      <c r="AD456" s="9"/>
      <c r="AE456" s="38"/>
      <c r="AF456" s="38" t="str">
        <f t="shared" si="36"/>
        <v/>
      </c>
      <c r="AG456" s="15" t="str">
        <f t="shared" si="37"/>
        <v/>
      </c>
      <c r="AH456" s="15"/>
      <c r="AI456" s="15"/>
      <c r="AJ456" s="15"/>
      <c r="AK456" s="15"/>
      <c r="AL456" s="15"/>
      <c r="AM456" s="15"/>
      <c r="AN456" s="9"/>
      <c r="AO456" s="9"/>
      <c r="AP456" s="9"/>
      <c r="AQ456" s="9"/>
      <c r="AR456" s="9" t="str">
        <f t="shared" si="38"/>
        <v/>
      </c>
      <c r="AS456" s="15"/>
      <c r="AT456" s="15"/>
      <c r="AU456" s="15"/>
    </row>
    <row r="457" ht="15.75" customHeight="1">
      <c r="A457" s="15" t="str">
        <f t="shared" si="1"/>
        <v/>
      </c>
      <c r="B457" s="15"/>
      <c r="C457" s="15"/>
      <c r="D457" s="15"/>
      <c r="E457" s="15"/>
      <c r="F457" s="43"/>
      <c r="G457" s="15"/>
      <c r="H457" s="43"/>
      <c r="I457" s="15"/>
      <c r="J457" s="15"/>
      <c r="K457" s="78"/>
      <c r="L457" s="78"/>
      <c r="M457" s="78"/>
      <c r="N457" s="78"/>
      <c r="O457" s="78"/>
      <c r="P457" s="80"/>
      <c r="Q457" s="81"/>
      <c r="R457" s="82"/>
      <c r="S457" s="15"/>
      <c r="T457" s="15"/>
      <c r="U457" s="83"/>
      <c r="V457" s="81"/>
      <c r="W457" s="83"/>
      <c r="X457" s="81"/>
      <c r="Y457" s="83"/>
      <c r="Z457" s="81"/>
      <c r="AA457" s="37"/>
      <c r="AB457" s="37"/>
      <c r="AC457" s="15"/>
      <c r="AD457" s="9"/>
      <c r="AE457" s="38"/>
      <c r="AF457" s="38" t="str">
        <f t="shared" si="36"/>
        <v/>
      </c>
      <c r="AG457" s="15" t="str">
        <f t="shared" si="37"/>
        <v/>
      </c>
      <c r="AH457" s="15"/>
      <c r="AI457" s="15"/>
      <c r="AJ457" s="15"/>
      <c r="AK457" s="15"/>
      <c r="AL457" s="15"/>
      <c r="AM457" s="15"/>
      <c r="AN457" s="9"/>
      <c r="AO457" s="9"/>
      <c r="AP457" s="9"/>
      <c r="AQ457" s="9"/>
      <c r="AR457" s="9" t="str">
        <f t="shared" si="38"/>
        <v/>
      </c>
      <c r="AS457" s="15"/>
      <c r="AT457" s="15"/>
      <c r="AU457" s="15"/>
    </row>
    <row r="458" ht="15.75" customHeight="1">
      <c r="A458" s="15" t="str">
        <f t="shared" si="1"/>
        <v/>
      </c>
      <c r="B458" s="15"/>
      <c r="C458" s="15"/>
      <c r="D458" s="15"/>
      <c r="E458" s="15"/>
      <c r="F458" s="43"/>
      <c r="G458" s="15"/>
      <c r="H458" s="43"/>
      <c r="I458" s="15"/>
      <c r="J458" s="15"/>
      <c r="K458" s="78"/>
      <c r="L458" s="78"/>
      <c r="M458" s="78"/>
      <c r="N458" s="78"/>
      <c r="O458" s="78"/>
      <c r="P458" s="80"/>
      <c r="Q458" s="81"/>
      <c r="R458" s="82"/>
      <c r="S458" s="15"/>
      <c r="T458" s="15"/>
      <c r="U458" s="83"/>
      <c r="V458" s="81"/>
      <c r="W458" s="83"/>
      <c r="X458" s="81"/>
      <c r="Y458" s="83"/>
      <c r="Z458" s="81"/>
      <c r="AA458" s="37"/>
      <c r="AB458" s="37"/>
      <c r="AC458" s="15"/>
      <c r="AD458" s="9"/>
      <c r="AE458" s="38"/>
      <c r="AF458" s="38" t="str">
        <f t="shared" si="36"/>
        <v/>
      </c>
      <c r="AG458" s="15" t="str">
        <f t="shared" si="37"/>
        <v/>
      </c>
      <c r="AH458" s="15"/>
      <c r="AI458" s="15"/>
      <c r="AJ458" s="15"/>
      <c r="AK458" s="15"/>
      <c r="AL458" s="15"/>
      <c r="AM458" s="15"/>
      <c r="AN458" s="9"/>
      <c r="AO458" s="9"/>
      <c r="AP458" s="9"/>
      <c r="AQ458" s="9"/>
      <c r="AR458" s="9" t="str">
        <f t="shared" si="38"/>
        <v/>
      </c>
      <c r="AS458" s="15"/>
      <c r="AT458" s="15"/>
      <c r="AU458" s="15"/>
    </row>
    <row r="459" ht="15.75" customHeight="1">
      <c r="A459" s="15" t="str">
        <f t="shared" si="1"/>
        <v/>
      </c>
      <c r="B459" s="15"/>
      <c r="C459" s="15"/>
      <c r="D459" s="15"/>
      <c r="E459" s="15"/>
      <c r="F459" s="43"/>
      <c r="G459" s="15"/>
      <c r="H459" s="43"/>
      <c r="I459" s="15"/>
      <c r="J459" s="15"/>
      <c r="K459" s="78"/>
      <c r="L459" s="78"/>
      <c r="M459" s="78"/>
      <c r="N459" s="78"/>
      <c r="O459" s="78"/>
      <c r="P459" s="80"/>
      <c r="Q459" s="81"/>
      <c r="R459" s="82"/>
      <c r="S459" s="15"/>
      <c r="T459" s="15"/>
      <c r="U459" s="83"/>
      <c r="V459" s="81"/>
      <c r="W459" s="83"/>
      <c r="X459" s="81"/>
      <c r="Y459" s="83"/>
      <c r="Z459" s="81"/>
      <c r="AA459" s="37"/>
      <c r="AB459" s="37"/>
      <c r="AC459" s="15"/>
      <c r="AD459" s="9"/>
      <c r="AE459" s="38"/>
      <c r="AF459" s="38" t="str">
        <f t="shared" si="36"/>
        <v/>
      </c>
      <c r="AG459" s="15" t="str">
        <f t="shared" si="37"/>
        <v/>
      </c>
      <c r="AH459" s="15"/>
      <c r="AI459" s="15"/>
      <c r="AJ459" s="15"/>
      <c r="AK459" s="15"/>
      <c r="AL459" s="15"/>
      <c r="AM459" s="15"/>
      <c r="AN459" s="9"/>
      <c r="AO459" s="9"/>
      <c r="AP459" s="9"/>
      <c r="AQ459" s="9"/>
      <c r="AR459" s="9" t="str">
        <f t="shared" si="38"/>
        <v/>
      </c>
      <c r="AS459" s="15"/>
      <c r="AT459" s="15"/>
      <c r="AU459" s="15"/>
    </row>
    <row r="460" ht="15.75" customHeight="1">
      <c r="A460" s="15" t="str">
        <f t="shared" si="1"/>
        <v/>
      </c>
      <c r="B460" s="15"/>
      <c r="C460" s="15"/>
      <c r="D460" s="15"/>
      <c r="E460" s="15"/>
      <c r="F460" s="43"/>
      <c r="G460" s="15"/>
      <c r="H460" s="43"/>
      <c r="I460" s="15"/>
      <c r="J460" s="15"/>
      <c r="K460" s="78"/>
      <c r="L460" s="78"/>
      <c r="M460" s="78"/>
      <c r="N460" s="78"/>
      <c r="O460" s="78"/>
      <c r="P460" s="80"/>
      <c r="Q460" s="81"/>
      <c r="R460" s="82"/>
      <c r="S460" s="15"/>
      <c r="T460" s="15"/>
      <c r="U460" s="83"/>
      <c r="V460" s="81"/>
      <c r="W460" s="83"/>
      <c r="X460" s="81"/>
      <c r="Y460" s="83"/>
      <c r="Z460" s="81"/>
      <c r="AA460" s="37"/>
      <c r="AB460" s="37"/>
      <c r="AC460" s="15"/>
      <c r="AD460" s="9"/>
      <c r="AE460" s="38"/>
      <c r="AF460" s="38" t="str">
        <f t="shared" si="36"/>
        <v/>
      </c>
      <c r="AG460" s="15" t="str">
        <f t="shared" si="37"/>
        <v/>
      </c>
      <c r="AH460" s="15"/>
      <c r="AI460" s="15"/>
      <c r="AJ460" s="15"/>
      <c r="AK460" s="15"/>
      <c r="AL460" s="15"/>
      <c r="AM460" s="15"/>
      <c r="AN460" s="9"/>
      <c r="AO460" s="9"/>
      <c r="AP460" s="9"/>
      <c r="AQ460" s="9"/>
      <c r="AR460" s="9" t="str">
        <f t="shared" si="38"/>
        <v/>
      </c>
      <c r="AS460" s="15"/>
      <c r="AT460" s="15"/>
      <c r="AU460" s="15"/>
    </row>
    <row r="461" ht="15.75" customHeight="1">
      <c r="A461" s="15" t="str">
        <f t="shared" si="1"/>
        <v/>
      </c>
      <c r="B461" s="15"/>
      <c r="C461" s="15"/>
      <c r="D461" s="15"/>
      <c r="E461" s="15"/>
      <c r="F461" s="43"/>
      <c r="G461" s="15"/>
      <c r="H461" s="43"/>
      <c r="I461" s="15"/>
      <c r="J461" s="15"/>
      <c r="K461" s="78"/>
      <c r="L461" s="78"/>
      <c r="M461" s="78"/>
      <c r="N461" s="78"/>
      <c r="O461" s="78"/>
      <c r="P461" s="80"/>
      <c r="Q461" s="81"/>
      <c r="R461" s="82"/>
      <c r="S461" s="15"/>
      <c r="T461" s="15"/>
      <c r="U461" s="83"/>
      <c r="V461" s="81"/>
      <c r="W461" s="83"/>
      <c r="X461" s="81"/>
      <c r="Y461" s="83"/>
      <c r="Z461" s="81"/>
      <c r="AA461" s="37"/>
      <c r="AB461" s="37"/>
      <c r="AC461" s="15"/>
      <c r="AD461" s="9"/>
      <c r="AE461" s="38"/>
      <c r="AF461" s="38" t="str">
        <f t="shared" si="36"/>
        <v/>
      </c>
      <c r="AG461" s="15" t="str">
        <f t="shared" si="37"/>
        <v/>
      </c>
      <c r="AH461" s="15"/>
      <c r="AI461" s="15"/>
      <c r="AJ461" s="15"/>
      <c r="AK461" s="15"/>
      <c r="AL461" s="15"/>
      <c r="AM461" s="15"/>
      <c r="AN461" s="9"/>
      <c r="AO461" s="9"/>
      <c r="AP461" s="9"/>
      <c r="AQ461" s="9"/>
      <c r="AR461" s="9" t="str">
        <f t="shared" si="38"/>
        <v/>
      </c>
      <c r="AS461" s="15"/>
      <c r="AT461" s="15"/>
      <c r="AU461" s="15"/>
    </row>
    <row r="462" ht="15.75" customHeight="1">
      <c r="A462" s="15" t="str">
        <f t="shared" si="1"/>
        <v/>
      </c>
      <c r="B462" s="15"/>
      <c r="C462" s="15"/>
      <c r="D462" s="15"/>
      <c r="E462" s="15"/>
      <c r="F462" s="43"/>
      <c r="G462" s="15"/>
      <c r="H462" s="43"/>
      <c r="I462" s="15"/>
      <c r="J462" s="15"/>
      <c r="K462" s="78"/>
      <c r="L462" s="78"/>
      <c r="M462" s="78"/>
      <c r="N462" s="78"/>
      <c r="O462" s="78"/>
      <c r="P462" s="80"/>
      <c r="Q462" s="81"/>
      <c r="R462" s="82"/>
      <c r="S462" s="15"/>
      <c r="T462" s="15"/>
      <c r="U462" s="83"/>
      <c r="V462" s="81"/>
      <c r="W462" s="83"/>
      <c r="X462" s="81"/>
      <c r="Y462" s="83"/>
      <c r="Z462" s="81"/>
      <c r="AA462" s="37"/>
      <c r="AB462" s="37"/>
      <c r="AC462" s="15"/>
      <c r="AD462" s="9"/>
      <c r="AE462" s="38"/>
      <c r="AF462" s="38" t="str">
        <f t="shared" si="36"/>
        <v/>
      </c>
      <c r="AG462" s="15" t="str">
        <f t="shared" si="37"/>
        <v/>
      </c>
      <c r="AH462" s="15"/>
      <c r="AI462" s="15"/>
      <c r="AJ462" s="15"/>
      <c r="AK462" s="15"/>
      <c r="AL462" s="15"/>
      <c r="AM462" s="15"/>
      <c r="AN462" s="9"/>
      <c r="AO462" s="9"/>
      <c r="AP462" s="9"/>
      <c r="AQ462" s="9"/>
      <c r="AR462" s="9" t="str">
        <f t="shared" si="38"/>
        <v/>
      </c>
      <c r="AS462" s="15"/>
      <c r="AT462" s="15"/>
      <c r="AU462" s="15"/>
    </row>
    <row r="463" ht="15.75" customHeight="1">
      <c r="A463" s="15" t="str">
        <f t="shared" si="1"/>
        <v/>
      </c>
      <c r="B463" s="15"/>
      <c r="C463" s="15"/>
      <c r="D463" s="15"/>
      <c r="E463" s="15"/>
      <c r="F463" s="43"/>
      <c r="G463" s="15"/>
      <c r="H463" s="43"/>
      <c r="I463" s="15"/>
      <c r="J463" s="15"/>
      <c r="K463" s="78"/>
      <c r="L463" s="78"/>
      <c r="M463" s="78"/>
      <c r="N463" s="78"/>
      <c r="O463" s="78"/>
      <c r="P463" s="80"/>
      <c r="Q463" s="81"/>
      <c r="R463" s="82"/>
      <c r="S463" s="15"/>
      <c r="T463" s="15"/>
      <c r="U463" s="83"/>
      <c r="V463" s="81"/>
      <c r="W463" s="83"/>
      <c r="X463" s="81"/>
      <c r="Y463" s="83"/>
      <c r="Z463" s="81"/>
      <c r="AA463" s="37"/>
      <c r="AB463" s="37"/>
      <c r="AC463" s="15"/>
      <c r="AD463" s="9"/>
      <c r="AE463" s="38"/>
      <c r="AF463" s="38" t="str">
        <f t="shared" si="36"/>
        <v/>
      </c>
      <c r="AG463" s="15" t="str">
        <f t="shared" si="37"/>
        <v/>
      </c>
      <c r="AH463" s="15"/>
      <c r="AI463" s="15"/>
      <c r="AJ463" s="15"/>
      <c r="AK463" s="15"/>
      <c r="AL463" s="15"/>
      <c r="AM463" s="15"/>
      <c r="AN463" s="9"/>
      <c r="AO463" s="9"/>
      <c r="AP463" s="9"/>
      <c r="AQ463" s="9"/>
      <c r="AR463" s="9" t="str">
        <f t="shared" si="38"/>
        <v/>
      </c>
      <c r="AS463" s="15"/>
      <c r="AT463" s="15"/>
      <c r="AU463" s="15"/>
    </row>
    <row r="464" ht="15.75" customHeight="1">
      <c r="A464" s="15" t="str">
        <f t="shared" si="1"/>
        <v/>
      </c>
      <c r="B464" s="15"/>
      <c r="C464" s="15"/>
      <c r="D464" s="15"/>
      <c r="E464" s="15"/>
      <c r="F464" s="43"/>
      <c r="G464" s="15"/>
      <c r="H464" s="43"/>
      <c r="I464" s="15"/>
      <c r="J464" s="15"/>
      <c r="K464" s="78"/>
      <c r="L464" s="78"/>
      <c r="M464" s="78"/>
      <c r="N464" s="78"/>
      <c r="O464" s="78"/>
      <c r="P464" s="80"/>
      <c r="Q464" s="81"/>
      <c r="R464" s="82"/>
      <c r="S464" s="15"/>
      <c r="T464" s="15"/>
      <c r="U464" s="83"/>
      <c r="V464" s="81"/>
      <c r="W464" s="83"/>
      <c r="X464" s="81"/>
      <c r="Y464" s="83"/>
      <c r="Z464" s="81"/>
      <c r="AA464" s="37"/>
      <c r="AB464" s="37"/>
      <c r="AC464" s="15"/>
      <c r="AD464" s="9"/>
      <c r="AE464" s="38"/>
      <c r="AF464" s="38" t="str">
        <f t="shared" si="36"/>
        <v/>
      </c>
      <c r="AG464" s="15" t="str">
        <f t="shared" si="37"/>
        <v/>
      </c>
      <c r="AH464" s="15"/>
      <c r="AI464" s="15"/>
      <c r="AJ464" s="15"/>
      <c r="AK464" s="15"/>
      <c r="AL464" s="15"/>
      <c r="AM464" s="15"/>
      <c r="AN464" s="9"/>
      <c r="AO464" s="9"/>
      <c r="AP464" s="9"/>
      <c r="AQ464" s="9"/>
      <c r="AR464" s="9" t="str">
        <f t="shared" si="38"/>
        <v/>
      </c>
      <c r="AS464" s="15"/>
      <c r="AT464" s="15"/>
      <c r="AU464" s="15"/>
    </row>
    <row r="465" ht="15.75" customHeight="1">
      <c r="A465" s="15" t="str">
        <f t="shared" si="1"/>
        <v/>
      </c>
      <c r="B465" s="15"/>
      <c r="C465" s="15"/>
      <c r="D465" s="15"/>
      <c r="E465" s="15"/>
      <c r="F465" s="43"/>
      <c r="G465" s="15"/>
      <c r="H465" s="43"/>
      <c r="I465" s="15"/>
      <c r="J465" s="15"/>
      <c r="K465" s="78"/>
      <c r="L465" s="78"/>
      <c r="M465" s="78"/>
      <c r="N465" s="78"/>
      <c r="O465" s="78"/>
      <c r="P465" s="80"/>
      <c r="Q465" s="81"/>
      <c r="R465" s="82"/>
      <c r="S465" s="15"/>
      <c r="T465" s="15"/>
      <c r="U465" s="83"/>
      <c r="V465" s="81"/>
      <c r="W465" s="83"/>
      <c r="X465" s="81"/>
      <c r="Y465" s="83"/>
      <c r="Z465" s="81"/>
      <c r="AA465" s="37"/>
      <c r="AB465" s="37"/>
      <c r="AC465" s="15"/>
      <c r="AD465" s="9"/>
      <c r="AE465" s="38"/>
      <c r="AF465" s="38" t="str">
        <f t="shared" si="36"/>
        <v/>
      </c>
      <c r="AG465" s="15" t="str">
        <f t="shared" si="37"/>
        <v/>
      </c>
      <c r="AH465" s="15"/>
      <c r="AI465" s="15"/>
      <c r="AJ465" s="15"/>
      <c r="AK465" s="15"/>
      <c r="AL465" s="15"/>
      <c r="AM465" s="15"/>
      <c r="AN465" s="9"/>
      <c r="AO465" s="9"/>
      <c r="AP465" s="9"/>
      <c r="AQ465" s="9"/>
      <c r="AR465" s="9" t="str">
        <f t="shared" si="38"/>
        <v/>
      </c>
      <c r="AS465" s="15"/>
      <c r="AT465" s="15"/>
      <c r="AU465" s="15"/>
    </row>
    <row r="466" ht="15.75" customHeight="1">
      <c r="A466" s="15" t="str">
        <f t="shared" si="1"/>
        <v/>
      </c>
      <c r="B466" s="15"/>
      <c r="C466" s="15"/>
      <c r="D466" s="15"/>
      <c r="E466" s="15"/>
      <c r="F466" s="43"/>
      <c r="G466" s="15"/>
      <c r="H466" s="43"/>
      <c r="I466" s="15"/>
      <c r="J466" s="15"/>
      <c r="K466" s="78"/>
      <c r="L466" s="78"/>
      <c r="M466" s="78"/>
      <c r="N466" s="78"/>
      <c r="O466" s="78"/>
      <c r="P466" s="80"/>
      <c r="Q466" s="81"/>
      <c r="R466" s="82"/>
      <c r="S466" s="15"/>
      <c r="T466" s="15"/>
      <c r="U466" s="83"/>
      <c r="V466" s="81"/>
      <c r="W466" s="83"/>
      <c r="X466" s="81"/>
      <c r="Y466" s="83"/>
      <c r="Z466" s="81"/>
      <c r="AA466" s="37"/>
      <c r="AB466" s="37"/>
      <c r="AC466" s="15"/>
      <c r="AD466" s="9"/>
      <c r="AE466" s="38"/>
      <c r="AF466" s="38" t="str">
        <f t="shared" si="36"/>
        <v/>
      </c>
      <c r="AG466" s="15" t="str">
        <f t="shared" si="37"/>
        <v/>
      </c>
      <c r="AH466" s="15"/>
      <c r="AI466" s="15"/>
      <c r="AJ466" s="15"/>
      <c r="AK466" s="15"/>
      <c r="AL466" s="15"/>
      <c r="AM466" s="15"/>
      <c r="AN466" s="9"/>
      <c r="AO466" s="9"/>
      <c r="AP466" s="9"/>
      <c r="AQ466" s="9"/>
      <c r="AR466" s="9" t="str">
        <f t="shared" si="38"/>
        <v/>
      </c>
      <c r="AS466" s="15"/>
      <c r="AT466" s="15"/>
      <c r="AU466" s="15"/>
    </row>
    <row r="467" ht="15.75" customHeight="1">
      <c r="A467" s="15" t="str">
        <f t="shared" si="1"/>
        <v/>
      </c>
      <c r="B467" s="15"/>
      <c r="C467" s="15"/>
      <c r="D467" s="15"/>
      <c r="E467" s="15"/>
      <c r="F467" s="43"/>
      <c r="G467" s="15"/>
      <c r="H467" s="43"/>
      <c r="I467" s="15"/>
      <c r="J467" s="15"/>
      <c r="K467" s="78"/>
      <c r="L467" s="78"/>
      <c r="M467" s="78"/>
      <c r="N467" s="78"/>
      <c r="O467" s="78"/>
      <c r="P467" s="80"/>
      <c r="Q467" s="81"/>
      <c r="R467" s="82"/>
      <c r="S467" s="15"/>
      <c r="T467" s="15"/>
      <c r="U467" s="83"/>
      <c r="V467" s="81"/>
      <c r="W467" s="83"/>
      <c r="X467" s="81"/>
      <c r="Y467" s="83"/>
      <c r="Z467" s="81"/>
      <c r="AA467" s="37"/>
      <c r="AB467" s="37"/>
      <c r="AC467" s="15"/>
      <c r="AD467" s="9"/>
      <c r="AE467" s="38"/>
      <c r="AF467" s="38" t="str">
        <f t="shared" si="36"/>
        <v/>
      </c>
      <c r="AG467" s="15" t="str">
        <f t="shared" si="37"/>
        <v/>
      </c>
      <c r="AH467" s="15"/>
      <c r="AI467" s="15"/>
      <c r="AJ467" s="15"/>
      <c r="AK467" s="15"/>
      <c r="AL467" s="15"/>
      <c r="AM467" s="15"/>
      <c r="AN467" s="9"/>
      <c r="AO467" s="9"/>
      <c r="AP467" s="9"/>
      <c r="AQ467" s="9"/>
      <c r="AR467" s="9" t="str">
        <f t="shared" si="38"/>
        <v/>
      </c>
      <c r="AS467" s="15"/>
      <c r="AT467" s="15"/>
      <c r="AU467" s="15"/>
    </row>
    <row r="468" ht="15.75" customHeight="1">
      <c r="A468" s="15" t="str">
        <f t="shared" si="1"/>
        <v/>
      </c>
      <c r="B468" s="15"/>
      <c r="C468" s="15"/>
      <c r="D468" s="15"/>
      <c r="E468" s="15"/>
      <c r="F468" s="43"/>
      <c r="G468" s="15"/>
      <c r="H468" s="43"/>
      <c r="I468" s="15"/>
      <c r="J468" s="15"/>
      <c r="K468" s="78"/>
      <c r="L468" s="78"/>
      <c r="M468" s="78"/>
      <c r="N468" s="78"/>
      <c r="O468" s="78"/>
      <c r="P468" s="80"/>
      <c r="Q468" s="81"/>
      <c r="R468" s="82"/>
      <c r="S468" s="15"/>
      <c r="T468" s="15"/>
      <c r="U468" s="83"/>
      <c r="V468" s="81"/>
      <c r="W468" s="83"/>
      <c r="X468" s="81"/>
      <c r="Y468" s="83"/>
      <c r="Z468" s="81"/>
      <c r="AA468" s="37"/>
      <c r="AB468" s="37"/>
      <c r="AC468" s="15"/>
      <c r="AD468" s="9"/>
      <c r="AE468" s="38"/>
      <c r="AF468" s="38" t="str">
        <f t="shared" si="36"/>
        <v/>
      </c>
      <c r="AG468" s="15" t="str">
        <f t="shared" si="37"/>
        <v/>
      </c>
      <c r="AH468" s="15"/>
      <c r="AI468" s="15"/>
      <c r="AJ468" s="15"/>
      <c r="AK468" s="15"/>
      <c r="AL468" s="15"/>
      <c r="AM468" s="15"/>
      <c r="AN468" s="9"/>
      <c r="AO468" s="9"/>
      <c r="AP468" s="9"/>
      <c r="AQ468" s="9"/>
      <c r="AR468" s="9" t="str">
        <f t="shared" si="38"/>
        <v/>
      </c>
      <c r="AS468" s="15"/>
      <c r="AT468" s="15"/>
      <c r="AU468" s="15"/>
    </row>
    <row r="469" ht="15.75" customHeight="1">
      <c r="A469" s="15" t="str">
        <f t="shared" si="1"/>
        <v/>
      </c>
      <c r="B469" s="15"/>
      <c r="C469" s="15"/>
      <c r="D469" s="15"/>
      <c r="E469" s="15"/>
      <c r="F469" s="43"/>
      <c r="G469" s="15"/>
      <c r="H469" s="43"/>
      <c r="I469" s="15"/>
      <c r="J469" s="15"/>
      <c r="K469" s="78"/>
      <c r="L469" s="78"/>
      <c r="M469" s="78"/>
      <c r="N469" s="78"/>
      <c r="O469" s="78"/>
      <c r="P469" s="80"/>
      <c r="Q469" s="81"/>
      <c r="R469" s="82"/>
      <c r="S469" s="15"/>
      <c r="T469" s="15"/>
      <c r="U469" s="83"/>
      <c r="V469" s="81"/>
      <c r="W469" s="83"/>
      <c r="X469" s="81"/>
      <c r="Y469" s="83"/>
      <c r="Z469" s="81"/>
      <c r="AA469" s="37"/>
      <c r="AB469" s="37"/>
      <c r="AC469" s="15"/>
      <c r="AD469" s="9"/>
      <c r="AE469" s="38"/>
      <c r="AF469" s="38" t="str">
        <f t="shared" si="36"/>
        <v/>
      </c>
      <c r="AG469" s="15" t="str">
        <f t="shared" si="37"/>
        <v/>
      </c>
      <c r="AH469" s="15"/>
      <c r="AI469" s="15"/>
      <c r="AJ469" s="15"/>
      <c r="AK469" s="15"/>
      <c r="AL469" s="15"/>
      <c r="AM469" s="15"/>
      <c r="AN469" s="9"/>
      <c r="AO469" s="9"/>
      <c r="AP469" s="9"/>
      <c r="AQ469" s="9"/>
      <c r="AR469" s="9" t="str">
        <f t="shared" si="38"/>
        <v/>
      </c>
      <c r="AS469" s="15"/>
      <c r="AT469" s="15"/>
      <c r="AU469" s="15"/>
    </row>
    <row r="470" ht="15.75" customHeight="1">
      <c r="A470" s="15" t="str">
        <f t="shared" si="1"/>
        <v/>
      </c>
      <c r="B470" s="15"/>
      <c r="C470" s="15"/>
      <c r="D470" s="15"/>
      <c r="E470" s="15"/>
      <c r="F470" s="43"/>
      <c r="G470" s="15"/>
      <c r="H470" s="43"/>
      <c r="I470" s="15"/>
      <c r="J470" s="15"/>
      <c r="K470" s="78"/>
      <c r="L470" s="78"/>
      <c r="M470" s="78"/>
      <c r="N470" s="78"/>
      <c r="O470" s="78"/>
      <c r="P470" s="80"/>
      <c r="Q470" s="81"/>
      <c r="R470" s="82"/>
      <c r="S470" s="15"/>
      <c r="T470" s="15"/>
      <c r="U470" s="83"/>
      <c r="V470" s="81"/>
      <c r="W470" s="83"/>
      <c r="X470" s="81"/>
      <c r="Y470" s="83"/>
      <c r="Z470" s="81"/>
      <c r="AA470" s="37"/>
      <c r="AB470" s="37"/>
      <c r="AC470" s="15"/>
      <c r="AD470" s="9"/>
      <c r="AE470" s="38"/>
      <c r="AF470" s="38" t="str">
        <f t="shared" si="36"/>
        <v/>
      </c>
      <c r="AG470" s="15" t="str">
        <f t="shared" si="37"/>
        <v/>
      </c>
      <c r="AH470" s="15"/>
      <c r="AI470" s="15"/>
      <c r="AJ470" s="15"/>
      <c r="AK470" s="15"/>
      <c r="AL470" s="15"/>
      <c r="AM470" s="15"/>
      <c r="AN470" s="9"/>
      <c r="AO470" s="9"/>
      <c r="AP470" s="9"/>
      <c r="AQ470" s="9"/>
      <c r="AR470" s="9" t="str">
        <f t="shared" si="38"/>
        <v/>
      </c>
      <c r="AS470" s="15"/>
      <c r="AT470" s="15"/>
      <c r="AU470" s="15"/>
    </row>
    <row r="471" ht="15.75" customHeight="1">
      <c r="A471" s="15" t="str">
        <f t="shared" si="1"/>
        <v/>
      </c>
      <c r="B471" s="15"/>
      <c r="C471" s="15"/>
      <c r="D471" s="15"/>
      <c r="E471" s="15"/>
      <c r="F471" s="43"/>
      <c r="G471" s="15"/>
      <c r="H471" s="43"/>
      <c r="I471" s="15"/>
      <c r="J471" s="15"/>
      <c r="K471" s="78"/>
      <c r="L471" s="78"/>
      <c r="M471" s="78"/>
      <c r="N471" s="78"/>
      <c r="O471" s="78"/>
      <c r="P471" s="80"/>
      <c r="Q471" s="81"/>
      <c r="R471" s="82"/>
      <c r="S471" s="15"/>
      <c r="T471" s="15"/>
      <c r="U471" s="83"/>
      <c r="V471" s="81"/>
      <c r="W471" s="83"/>
      <c r="X471" s="81"/>
      <c r="Y471" s="83"/>
      <c r="Z471" s="81"/>
      <c r="AA471" s="37"/>
      <c r="AB471" s="37"/>
      <c r="AC471" s="15"/>
      <c r="AD471" s="9"/>
      <c r="AE471" s="38"/>
      <c r="AF471" s="38" t="str">
        <f t="shared" si="36"/>
        <v/>
      </c>
      <c r="AG471" s="15" t="str">
        <f t="shared" si="37"/>
        <v/>
      </c>
      <c r="AH471" s="15"/>
      <c r="AI471" s="15"/>
      <c r="AJ471" s="15"/>
      <c r="AK471" s="15"/>
      <c r="AL471" s="15"/>
      <c r="AM471" s="15"/>
      <c r="AN471" s="9"/>
      <c r="AO471" s="9"/>
      <c r="AP471" s="9"/>
      <c r="AQ471" s="9"/>
      <c r="AR471" s="9" t="str">
        <f t="shared" si="38"/>
        <v/>
      </c>
      <c r="AS471" s="15"/>
      <c r="AT471" s="15"/>
      <c r="AU471" s="15"/>
    </row>
    <row r="472" ht="15.75" customHeight="1">
      <c r="A472" s="15" t="str">
        <f t="shared" si="1"/>
        <v/>
      </c>
      <c r="B472" s="15"/>
      <c r="C472" s="15"/>
      <c r="D472" s="15"/>
      <c r="E472" s="15"/>
      <c r="F472" s="43"/>
      <c r="G472" s="15"/>
      <c r="H472" s="43"/>
      <c r="I472" s="15"/>
      <c r="J472" s="15"/>
      <c r="K472" s="78"/>
      <c r="L472" s="78"/>
      <c r="M472" s="78"/>
      <c r="N472" s="78"/>
      <c r="O472" s="78"/>
      <c r="P472" s="80"/>
      <c r="Q472" s="81"/>
      <c r="R472" s="82"/>
      <c r="S472" s="15"/>
      <c r="T472" s="15"/>
      <c r="U472" s="83"/>
      <c r="V472" s="81"/>
      <c r="W472" s="83"/>
      <c r="X472" s="81"/>
      <c r="Y472" s="83"/>
      <c r="Z472" s="81"/>
      <c r="AA472" s="37"/>
      <c r="AB472" s="37"/>
      <c r="AC472" s="15"/>
      <c r="AD472" s="9"/>
      <c r="AE472" s="38"/>
      <c r="AF472" s="38" t="str">
        <f t="shared" si="36"/>
        <v/>
      </c>
      <c r="AG472" s="15" t="str">
        <f t="shared" si="37"/>
        <v/>
      </c>
      <c r="AH472" s="15"/>
      <c r="AI472" s="15"/>
      <c r="AJ472" s="15"/>
      <c r="AK472" s="15"/>
      <c r="AL472" s="15"/>
      <c r="AM472" s="15"/>
      <c r="AN472" s="9"/>
      <c r="AO472" s="9"/>
      <c r="AP472" s="9"/>
      <c r="AQ472" s="9"/>
      <c r="AR472" s="9" t="str">
        <f t="shared" si="38"/>
        <v/>
      </c>
      <c r="AS472" s="15"/>
      <c r="AT472" s="15"/>
      <c r="AU472" s="15"/>
    </row>
    <row r="473" ht="15.75" customHeight="1">
      <c r="A473" s="15" t="str">
        <f t="shared" si="1"/>
        <v/>
      </c>
      <c r="B473" s="15"/>
      <c r="C473" s="15"/>
      <c r="D473" s="15"/>
      <c r="E473" s="15"/>
      <c r="F473" s="43"/>
      <c r="G473" s="15"/>
      <c r="H473" s="43"/>
      <c r="I473" s="15"/>
      <c r="J473" s="15"/>
      <c r="K473" s="78"/>
      <c r="L473" s="78"/>
      <c r="M473" s="78"/>
      <c r="N473" s="78"/>
      <c r="O473" s="78"/>
      <c r="P473" s="80"/>
      <c r="Q473" s="81"/>
      <c r="R473" s="82"/>
      <c r="S473" s="15"/>
      <c r="T473" s="15"/>
      <c r="U473" s="83"/>
      <c r="V473" s="81"/>
      <c r="W473" s="83"/>
      <c r="X473" s="81"/>
      <c r="Y473" s="83"/>
      <c r="Z473" s="81"/>
      <c r="AA473" s="37"/>
      <c r="AB473" s="37"/>
      <c r="AC473" s="15"/>
      <c r="AD473" s="9"/>
      <c r="AE473" s="38"/>
      <c r="AF473" s="38" t="str">
        <f t="shared" si="36"/>
        <v/>
      </c>
      <c r="AG473" s="15" t="str">
        <f t="shared" si="37"/>
        <v/>
      </c>
      <c r="AH473" s="15"/>
      <c r="AI473" s="15"/>
      <c r="AJ473" s="15"/>
      <c r="AK473" s="15"/>
      <c r="AL473" s="15"/>
      <c r="AM473" s="15"/>
      <c r="AN473" s="9"/>
      <c r="AO473" s="9"/>
      <c r="AP473" s="9"/>
      <c r="AQ473" s="9"/>
      <c r="AR473" s="9" t="str">
        <f t="shared" si="38"/>
        <v/>
      </c>
      <c r="AS473" s="15"/>
      <c r="AT473" s="15"/>
      <c r="AU473" s="15"/>
    </row>
    <row r="474" ht="15.75" customHeight="1">
      <c r="A474" s="15" t="str">
        <f t="shared" si="1"/>
        <v/>
      </c>
      <c r="B474" s="15"/>
      <c r="C474" s="15"/>
      <c r="D474" s="15"/>
      <c r="E474" s="15"/>
      <c r="F474" s="43"/>
      <c r="G474" s="15"/>
      <c r="H474" s="43"/>
      <c r="I474" s="15"/>
      <c r="J474" s="15"/>
      <c r="K474" s="78"/>
      <c r="L474" s="78"/>
      <c r="M474" s="78"/>
      <c r="N474" s="78"/>
      <c r="O474" s="78"/>
      <c r="P474" s="80"/>
      <c r="Q474" s="81"/>
      <c r="R474" s="82"/>
      <c r="S474" s="15"/>
      <c r="T474" s="15"/>
      <c r="U474" s="83"/>
      <c r="V474" s="81"/>
      <c r="W474" s="83"/>
      <c r="X474" s="81"/>
      <c r="Y474" s="83"/>
      <c r="Z474" s="81"/>
      <c r="AA474" s="37"/>
      <c r="AB474" s="37"/>
      <c r="AC474" s="15"/>
      <c r="AD474" s="9"/>
      <c r="AE474" s="38"/>
      <c r="AF474" s="38" t="str">
        <f t="shared" si="36"/>
        <v/>
      </c>
      <c r="AG474" s="15" t="str">
        <f t="shared" si="37"/>
        <v/>
      </c>
      <c r="AH474" s="15"/>
      <c r="AI474" s="15"/>
      <c r="AJ474" s="15"/>
      <c r="AK474" s="15"/>
      <c r="AL474" s="15"/>
      <c r="AM474" s="15"/>
      <c r="AN474" s="9"/>
      <c r="AO474" s="9"/>
      <c r="AP474" s="9"/>
      <c r="AQ474" s="9"/>
      <c r="AR474" s="9" t="str">
        <f t="shared" si="38"/>
        <v/>
      </c>
      <c r="AS474" s="15"/>
      <c r="AT474" s="15"/>
      <c r="AU474" s="15"/>
    </row>
    <row r="475" ht="15.75" customHeight="1">
      <c r="A475" s="15" t="str">
        <f t="shared" si="1"/>
        <v/>
      </c>
      <c r="B475" s="15"/>
      <c r="C475" s="15"/>
      <c r="D475" s="15"/>
      <c r="E475" s="15"/>
      <c r="F475" s="43"/>
      <c r="G475" s="15"/>
      <c r="H475" s="43"/>
      <c r="I475" s="15"/>
      <c r="J475" s="15"/>
      <c r="K475" s="78"/>
      <c r="L475" s="78"/>
      <c r="M475" s="78"/>
      <c r="N475" s="78"/>
      <c r="O475" s="78"/>
      <c r="P475" s="80"/>
      <c r="Q475" s="81"/>
      <c r="R475" s="82"/>
      <c r="S475" s="15"/>
      <c r="T475" s="15"/>
      <c r="U475" s="83"/>
      <c r="V475" s="81"/>
      <c r="W475" s="83"/>
      <c r="X475" s="81"/>
      <c r="Y475" s="83"/>
      <c r="Z475" s="81"/>
      <c r="AA475" s="37"/>
      <c r="AB475" s="37"/>
      <c r="AC475" s="15"/>
      <c r="AD475" s="9"/>
      <c r="AE475" s="38"/>
      <c r="AF475" s="38" t="str">
        <f t="shared" si="36"/>
        <v/>
      </c>
      <c r="AG475" s="15" t="str">
        <f t="shared" si="37"/>
        <v/>
      </c>
      <c r="AH475" s="15"/>
      <c r="AI475" s="15"/>
      <c r="AJ475" s="15"/>
      <c r="AK475" s="15"/>
      <c r="AL475" s="15"/>
      <c r="AM475" s="15"/>
      <c r="AN475" s="9"/>
      <c r="AO475" s="9"/>
      <c r="AP475" s="9"/>
      <c r="AQ475" s="9"/>
      <c r="AR475" s="9" t="str">
        <f t="shared" si="38"/>
        <v/>
      </c>
      <c r="AS475" s="15"/>
      <c r="AT475" s="15"/>
      <c r="AU475" s="15"/>
    </row>
    <row r="476" ht="15.75" customHeight="1">
      <c r="A476" s="15" t="str">
        <f t="shared" si="1"/>
        <v/>
      </c>
      <c r="B476" s="15"/>
      <c r="C476" s="15"/>
      <c r="D476" s="15"/>
      <c r="E476" s="15"/>
      <c r="F476" s="43"/>
      <c r="G476" s="15"/>
      <c r="H476" s="43"/>
      <c r="I476" s="15"/>
      <c r="J476" s="15"/>
      <c r="K476" s="78"/>
      <c r="L476" s="78"/>
      <c r="M476" s="78"/>
      <c r="N476" s="78"/>
      <c r="O476" s="78"/>
      <c r="P476" s="80"/>
      <c r="Q476" s="81"/>
      <c r="R476" s="82"/>
      <c r="S476" s="15"/>
      <c r="T476" s="15"/>
      <c r="U476" s="83"/>
      <c r="V476" s="81"/>
      <c r="W476" s="83"/>
      <c r="X476" s="81"/>
      <c r="Y476" s="83"/>
      <c r="Z476" s="81"/>
      <c r="AA476" s="37"/>
      <c r="AB476" s="37"/>
      <c r="AC476" s="15"/>
      <c r="AD476" s="9"/>
      <c r="AE476" s="38"/>
      <c r="AF476" s="38" t="str">
        <f t="shared" si="36"/>
        <v/>
      </c>
      <c r="AG476" s="15" t="str">
        <f t="shared" si="37"/>
        <v/>
      </c>
      <c r="AH476" s="15"/>
      <c r="AI476" s="15"/>
      <c r="AJ476" s="15"/>
      <c r="AK476" s="15"/>
      <c r="AL476" s="15"/>
      <c r="AM476" s="15"/>
      <c r="AN476" s="9"/>
      <c r="AO476" s="9"/>
      <c r="AP476" s="9"/>
      <c r="AQ476" s="9"/>
      <c r="AR476" s="9" t="str">
        <f t="shared" si="38"/>
        <v/>
      </c>
      <c r="AS476" s="15"/>
      <c r="AT476" s="15"/>
      <c r="AU476" s="15"/>
    </row>
    <row r="477" ht="15.75" customHeight="1">
      <c r="A477" s="15" t="str">
        <f t="shared" si="1"/>
        <v/>
      </c>
      <c r="B477" s="15"/>
      <c r="C477" s="15"/>
      <c r="D477" s="15"/>
      <c r="E477" s="15"/>
      <c r="F477" s="43"/>
      <c r="G477" s="15"/>
      <c r="H477" s="43"/>
      <c r="I477" s="15"/>
      <c r="J477" s="15"/>
      <c r="K477" s="78"/>
      <c r="L477" s="78"/>
      <c r="M477" s="78"/>
      <c r="N477" s="78"/>
      <c r="O477" s="78"/>
      <c r="P477" s="80"/>
      <c r="Q477" s="81"/>
      <c r="R477" s="82"/>
      <c r="S477" s="15"/>
      <c r="T477" s="15"/>
      <c r="U477" s="83"/>
      <c r="V477" s="81"/>
      <c r="W477" s="83"/>
      <c r="X477" s="81"/>
      <c r="Y477" s="83"/>
      <c r="Z477" s="81"/>
      <c r="AA477" s="37"/>
      <c r="AB477" s="37"/>
      <c r="AC477" s="15"/>
      <c r="AD477" s="9"/>
      <c r="AE477" s="38"/>
      <c r="AF477" s="38" t="str">
        <f t="shared" si="36"/>
        <v/>
      </c>
      <c r="AG477" s="15" t="str">
        <f t="shared" si="37"/>
        <v/>
      </c>
      <c r="AH477" s="15"/>
      <c r="AI477" s="15"/>
      <c r="AJ477" s="15"/>
      <c r="AK477" s="15"/>
      <c r="AL477" s="15"/>
      <c r="AM477" s="15"/>
      <c r="AN477" s="9"/>
      <c r="AO477" s="9"/>
      <c r="AP477" s="9"/>
      <c r="AQ477" s="9"/>
      <c r="AR477" s="9" t="str">
        <f t="shared" si="38"/>
        <v/>
      </c>
      <c r="AS477" s="15"/>
      <c r="AT477" s="15"/>
      <c r="AU477" s="15"/>
    </row>
    <row r="478" ht="15.75" customHeight="1">
      <c r="A478" s="15" t="str">
        <f t="shared" si="1"/>
        <v/>
      </c>
      <c r="B478" s="15"/>
      <c r="C478" s="15"/>
      <c r="D478" s="15"/>
      <c r="E478" s="15"/>
      <c r="F478" s="43"/>
      <c r="G478" s="15"/>
      <c r="H478" s="43"/>
      <c r="I478" s="15"/>
      <c r="J478" s="15"/>
      <c r="K478" s="78"/>
      <c r="L478" s="78"/>
      <c r="M478" s="78"/>
      <c r="N478" s="78"/>
      <c r="O478" s="78"/>
      <c r="P478" s="80"/>
      <c r="Q478" s="81"/>
      <c r="R478" s="82"/>
      <c r="S478" s="15"/>
      <c r="T478" s="15"/>
      <c r="U478" s="83"/>
      <c r="V478" s="81"/>
      <c r="W478" s="83"/>
      <c r="X478" s="81"/>
      <c r="Y478" s="83"/>
      <c r="Z478" s="81"/>
      <c r="AA478" s="37"/>
      <c r="AB478" s="37"/>
      <c r="AC478" s="15"/>
      <c r="AD478" s="9"/>
      <c r="AE478" s="38"/>
      <c r="AF478" s="38" t="str">
        <f t="shared" si="36"/>
        <v/>
      </c>
      <c r="AG478" s="15" t="str">
        <f t="shared" si="37"/>
        <v/>
      </c>
      <c r="AH478" s="15"/>
      <c r="AI478" s="15"/>
      <c r="AJ478" s="15"/>
      <c r="AK478" s="15"/>
      <c r="AL478" s="15"/>
      <c r="AM478" s="15"/>
      <c r="AN478" s="9"/>
      <c r="AO478" s="9"/>
      <c r="AP478" s="9"/>
      <c r="AQ478" s="9"/>
      <c r="AR478" s="9" t="str">
        <f t="shared" si="38"/>
        <v/>
      </c>
      <c r="AS478" s="15"/>
      <c r="AT478" s="15"/>
      <c r="AU478" s="15"/>
    </row>
    <row r="479" ht="15.75" customHeight="1">
      <c r="A479" s="15" t="str">
        <f t="shared" si="1"/>
        <v/>
      </c>
      <c r="B479" s="15"/>
      <c r="C479" s="15"/>
      <c r="D479" s="15"/>
      <c r="E479" s="15"/>
      <c r="F479" s="43"/>
      <c r="G479" s="15"/>
      <c r="H479" s="43"/>
      <c r="I479" s="15"/>
      <c r="J479" s="15"/>
      <c r="K479" s="78"/>
      <c r="L479" s="78"/>
      <c r="M479" s="78"/>
      <c r="N479" s="78"/>
      <c r="O479" s="78"/>
      <c r="P479" s="80"/>
      <c r="Q479" s="81"/>
      <c r="R479" s="82"/>
      <c r="S479" s="15"/>
      <c r="T479" s="15"/>
      <c r="U479" s="83"/>
      <c r="V479" s="81"/>
      <c r="W479" s="83"/>
      <c r="X479" s="81"/>
      <c r="Y479" s="83"/>
      <c r="Z479" s="81"/>
      <c r="AA479" s="37"/>
      <c r="AB479" s="37"/>
      <c r="AC479" s="15"/>
      <c r="AD479" s="9"/>
      <c r="AE479" s="38"/>
      <c r="AF479" s="38" t="str">
        <f t="shared" si="36"/>
        <v/>
      </c>
      <c r="AG479" s="15" t="str">
        <f t="shared" si="37"/>
        <v/>
      </c>
      <c r="AH479" s="15"/>
      <c r="AI479" s="15"/>
      <c r="AJ479" s="15"/>
      <c r="AK479" s="15"/>
      <c r="AL479" s="15"/>
      <c r="AM479" s="15"/>
      <c r="AN479" s="9"/>
      <c r="AO479" s="9"/>
      <c r="AP479" s="9"/>
      <c r="AQ479" s="9"/>
      <c r="AR479" s="9" t="str">
        <f t="shared" si="38"/>
        <v/>
      </c>
      <c r="AS479" s="15"/>
      <c r="AT479" s="15"/>
      <c r="AU479" s="15"/>
    </row>
    <row r="480" ht="15.75" customHeight="1">
      <c r="A480" s="15" t="str">
        <f t="shared" si="1"/>
        <v/>
      </c>
      <c r="B480" s="15"/>
      <c r="C480" s="15"/>
      <c r="D480" s="15"/>
      <c r="E480" s="15"/>
      <c r="F480" s="43"/>
      <c r="G480" s="15"/>
      <c r="H480" s="43"/>
      <c r="I480" s="15"/>
      <c r="J480" s="15"/>
      <c r="K480" s="78"/>
      <c r="L480" s="78"/>
      <c r="M480" s="78"/>
      <c r="N480" s="78"/>
      <c r="O480" s="78"/>
      <c r="P480" s="80"/>
      <c r="Q480" s="81"/>
      <c r="R480" s="82"/>
      <c r="S480" s="15"/>
      <c r="T480" s="15"/>
      <c r="U480" s="83"/>
      <c r="V480" s="81"/>
      <c r="W480" s="83"/>
      <c r="X480" s="81"/>
      <c r="Y480" s="83"/>
      <c r="Z480" s="81"/>
      <c r="AA480" s="37"/>
      <c r="AB480" s="37"/>
      <c r="AC480" s="15"/>
      <c r="AD480" s="9"/>
      <c r="AE480" s="38"/>
      <c r="AF480" s="38" t="str">
        <f t="shared" si="36"/>
        <v/>
      </c>
      <c r="AG480" s="15" t="str">
        <f t="shared" si="37"/>
        <v/>
      </c>
      <c r="AH480" s="15"/>
      <c r="AI480" s="15"/>
      <c r="AJ480" s="15"/>
      <c r="AK480" s="15"/>
      <c r="AL480" s="15"/>
      <c r="AM480" s="15"/>
      <c r="AN480" s="9"/>
      <c r="AO480" s="9"/>
      <c r="AP480" s="9"/>
      <c r="AQ480" s="9"/>
      <c r="AR480" s="9" t="str">
        <f t="shared" si="38"/>
        <v/>
      </c>
      <c r="AS480" s="15"/>
      <c r="AT480" s="15"/>
      <c r="AU480" s="15"/>
    </row>
    <row r="481" ht="15.75" customHeight="1">
      <c r="A481" s="15" t="str">
        <f t="shared" si="1"/>
        <v/>
      </c>
      <c r="B481" s="15"/>
      <c r="C481" s="15"/>
      <c r="D481" s="15"/>
      <c r="E481" s="15"/>
      <c r="F481" s="43"/>
      <c r="G481" s="15"/>
      <c r="H481" s="43"/>
      <c r="I481" s="15"/>
      <c r="J481" s="15"/>
      <c r="K481" s="78"/>
      <c r="L481" s="78"/>
      <c r="M481" s="78"/>
      <c r="N481" s="78"/>
      <c r="O481" s="78"/>
      <c r="P481" s="80"/>
      <c r="Q481" s="81"/>
      <c r="R481" s="82"/>
      <c r="S481" s="15"/>
      <c r="T481" s="15"/>
      <c r="U481" s="83"/>
      <c r="V481" s="81"/>
      <c r="W481" s="83"/>
      <c r="X481" s="81"/>
      <c r="Y481" s="83"/>
      <c r="Z481" s="81"/>
      <c r="AA481" s="37"/>
      <c r="AB481" s="37"/>
      <c r="AC481" s="15"/>
      <c r="AD481" s="9"/>
      <c r="AE481" s="38"/>
      <c r="AF481" s="38" t="str">
        <f t="shared" si="36"/>
        <v/>
      </c>
      <c r="AG481" s="15" t="str">
        <f t="shared" si="37"/>
        <v/>
      </c>
      <c r="AH481" s="15"/>
      <c r="AI481" s="15"/>
      <c r="AJ481" s="15"/>
      <c r="AK481" s="15"/>
      <c r="AL481" s="15"/>
      <c r="AM481" s="15"/>
      <c r="AN481" s="9"/>
      <c r="AO481" s="9"/>
      <c r="AP481" s="9"/>
      <c r="AQ481" s="9"/>
      <c r="AR481" s="9" t="str">
        <f t="shared" si="38"/>
        <v/>
      </c>
      <c r="AS481" s="15"/>
      <c r="AT481" s="15"/>
      <c r="AU481" s="15"/>
    </row>
    <row r="482" ht="15.75" customHeight="1">
      <c r="A482" s="15" t="str">
        <f t="shared" si="1"/>
        <v/>
      </c>
      <c r="B482" s="15"/>
      <c r="C482" s="15"/>
      <c r="D482" s="15"/>
      <c r="E482" s="15"/>
      <c r="F482" s="43"/>
      <c r="G482" s="15"/>
      <c r="H482" s="43"/>
      <c r="I482" s="15"/>
      <c r="J482" s="15"/>
      <c r="K482" s="78"/>
      <c r="L482" s="78"/>
      <c r="M482" s="78"/>
      <c r="N482" s="78"/>
      <c r="O482" s="78"/>
      <c r="P482" s="80"/>
      <c r="Q482" s="81"/>
      <c r="R482" s="82"/>
      <c r="S482" s="15"/>
      <c r="T482" s="15"/>
      <c r="U482" s="83"/>
      <c r="V482" s="81"/>
      <c r="W482" s="83"/>
      <c r="X482" s="81"/>
      <c r="Y482" s="83"/>
      <c r="Z482" s="81"/>
      <c r="AA482" s="37"/>
      <c r="AB482" s="37"/>
      <c r="AC482" s="15"/>
      <c r="AD482" s="9"/>
      <c r="AE482" s="38"/>
      <c r="AF482" s="38" t="str">
        <f t="shared" si="36"/>
        <v/>
      </c>
      <c r="AG482" s="15" t="str">
        <f t="shared" si="37"/>
        <v/>
      </c>
      <c r="AH482" s="15"/>
      <c r="AI482" s="15"/>
      <c r="AJ482" s="15"/>
      <c r="AK482" s="15"/>
      <c r="AL482" s="15"/>
      <c r="AM482" s="15"/>
      <c r="AN482" s="9"/>
      <c r="AO482" s="9"/>
      <c r="AP482" s="9"/>
      <c r="AQ482" s="9"/>
      <c r="AR482" s="9" t="str">
        <f t="shared" si="38"/>
        <v/>
      </c>
      <c r="AS482" s="15"/>
      <c r="AT482" s="15"/>
      <c r="AU482" s="15"/>
    </row>
    <row r="483" ht="15.75" customHeight="1">
      <c r="A483" s="15" t="str">
        <f t="shared" si="1"/>
        <v/>
      </c>
      <c r="B483" s="15"/>
      <c r="C483" s="15"/>
      <c r="D483" s="15"/>
      <c r="E483" s="15"/>
      <c r="F483" s="43"/>
      <c r="G483" s="15"/>
      <c r="H483" s="43"/>
      <c r="I483" s="15"/>
      <c r="J483" s="15"/>
      <c r="K483" s="78"/>
      <c r="L483" s="78"/>
      <c r="M483" s="78"/>
      <c r="N483" s="78"/>
      <c r="O483" s="78"/>
      <c r="P483" s="80"/>
      <c r="Q483" s="81"/>
      <c r="R483" s="82"/>
      <c r="S483" s="15"/>
      <c r="T483" s="15"/>
      <c r="U483" s="83"/>
      <c r="V483" s="81"/>
      <c r="W483" s="83"/>
      <c r="X483" s="81"/>
      <c r="Y483" s="83"/>
      <c r="Z483" s="81"/>
      <c r="AA483" s="37"/>
      <c r="AB483" s="37"/>
      <c r="AC483" s="15"/>
      <c r="AD483" s="9"/>
      <c r="AE483" s="38"/>
      <c r="AF483" s="38" t="str">
        <f t="shared" si="36"/>
        <v/>
      </c>
      <c r="AG483" s="15" t="str">
        <f t="shared" si="37"/>
        <v/>
      </c>
      <c r="AH483" s="15"/>
      <c r="AI483" s="15"/>
      <c r="AJ483" s="15"/>
      <c r="AK483" s="15"/>
      <c r="AL483" s="15"/>
      <c r="AM483" s="15"/>
      <c r="AN483" s="9"/>
      <c r="AO483" s="9"/>
      <c r="AP483" s="9"/>
      <c r="AQ483" s="9"/>
      <c r="AR483" s="9" t="str">
        <f t="shared" si="38"/>
        <v/>
      </c>
      <c r="AS483" s="15"/>
      <c r="AT483" s="15"/>
      <c r="AU483" s="15"/>
    </row>
    <row r="484" ht="15.75" customHeight="1">
      <c r="A484" s="15" t="str">
        <f t="shared" si="1"/>
        <v/>
      </c>
      <c r="B484" s="15"/>
      <c r="C484" s="15"/>
      <c r="D484" s="15"/>
      <c r="E484" s="15"/>
      <c r="F484" s="43"/>
      <c r="G484" s="15"/>
      <c r="H484" s="43"/>
      <c r="I484" s="15"/>
      <c r="J484" s="15"/>
      <c r="K484" s="78"/>
      <c r="L484" s="78"/>
      <c r="M484" s="78"/>
      <c r="N484" s="78"/>
      <c r="O484" s="78"/>
      <c r="P484" s="80"/>
      <c r="Q484" s="81"/>
      <c r="R484" s="82"/>
      <c r="S484" s="15"/>
      <c r="T484" s="15"/>
      <c r="U484" s="83"/>
      <c r="V484" s="81"/>
      <c r="W484" s="83"/>
      <c r="X484" s="81"/>
      <c r="Y484" s="83"/>
      <c r="Z484" s="81"/>
      <c r="AA484" s="37"/>
      <c r="AB484" s="37"/>
      <c r="AC484" s="15"/>
      <c r="AD484" s="9"/>
      <c r="AE484" s="38"/>
      <c r="AF484" s="38" t="str">
        <f t="shared" si="36"/>
        <v/>
      </c>
      <c r="AG484" s="15" t="str">
        <f t="shared" si="37"/>
        <v/>
      </c>
      <c r="AH484" s="15"/>
      <c r="AI484" s="15"/>
      <c r="AJ484" s="15"/>
      <c r="AK484" s="15"/>
      <c r="AL484" s="15"/>
      <c r="AM484" s="15"/>
      <c r="AN484" s="9"/>
      <c r="AO484" s="9"/>
      <c r="AP484" s="9"/>
      <c r="AQ484" s="9"/>
      <c r="AR484" s="9" t="str">
        <f t="shared" si="38"/>
        <v/>
      </c>
      <c r="AS484" s="15"/>
      <c r="AT484" s="15"/>
      <c r="AU484" s="15"/>
    </row>
    <row r="485" ht="15.75" customHeight="1">
      <c r="A485" s="15" t="str">
        <f t="shared" si="1"/>
        <v/>
      </c>
      <c r="B485" s="15"/>
      <c r="C485" s="15"/>
      <c r="D485" s="15"/>
      <c r="E485" s="15"/>
      <c r="F485" s="43"/>
      <c r="G485" s="15"/>
      <c r="H485" s="43"/>
      <c r="I485" s="15"/>
      <c r="J485" s="15"/>
      <c r="K485" s="78"/>
      <c r="L485" s="78"/>
      <c r="M485" s="78"/>
      <c r="N485" s="78"/>
      <c r="O485" s="78"/>
      <c r="P485" s="80"/>
      <c r="Q485" s="81"/>
      <c r="R485" s="82"/>
      <c r="S485" s="15"/>
      <c r="T485" s="15"/>
      <c r="U485" s="83"/>
      <c r="V485" s="81"/>
      <c r="W485" s="83"/>
      <c r="X485" s="81"/>
      <c r="Y485" s="83"/>
      <c r="Z485" s="81"/>
      <c r="AA485" s="37"/>
      <c r="AB485" s="37"/>
      <c r="AC485" s="15"/>
      <c r="AD485" s="9"/>
      <c r="AE485" s="38"/>
      <c r="AF485" s="38" t="str">
        <f t="shared" si="36"/>
        <v/>
      </c>
      <c r="AG485" s="15" t="str">
        <f t="shared" si="37"/>
        <v/>
      </c>
      <c r="AH485" s="15"/>
      <c r="AI485" s="15"/>
      <c r="AJ485" s="15"/>
      <c r="AK485" s="15"/>
      <c r="AL485" s="15"/>
      <c r="AM485" s="15"/>
      <c r="AN485" s="9"/>
      <c r="AO485" s="9"/>
      <c r="AP485" s="9"/>
      <c r="AQ485" s="9"/>
      <c r="AR485" s="9" t="str">
        <f t="shared" si="38"/>
        <v/>
      </c>
      <c r="AS485" s="15"/>
      <c r="AT485" s="15"/>
      <c r="AU485" s="15"/>
    </row>
    <row r="486" ht="15.75" customHeight="1">
      <c r="A486" s="15" t="str">
        <f t="shared" si="1"/>
        <v/>
      </c>
      <c r="B486" s="15"/>
      <c r="C486" s="15"/>
      <c r="D486" s="15"/>
      <c r="E486" s="15"/>
      <c r="F486" s="43"/>
      <c r="G486" s="15"/>
      <c r="H486" s="43"/>
      <c r="I486" s="15"/>
      <c r="J486" s="15"/>
      <c r="K486" s="78"/>
      <c r="L486" s="78"/>
      <c r="M486" s="78"/>
      <c r="N486" s="78"/>
      <c r="O486" s="78"/>
      <c r="P486" s="80"/>
      <c r="Q486" s="81"/>
      <c r="R486" s="82"/>
      <c r="S486" s="15"/>
      <c r="T486" s="15"/>
      <c r="U486" s="83"/>
      <c r="V486" s="81"/>
      <c r="W486" s="83"/>
      <c r="X486" s="81"/>
      <c r="Y486" s="83"/>
      <c r="Z486" s="81"/>
      <c r="AA486" s="37"/>
      <c r="AB486" s="37"/>
      <c r="AC486" s="15"/>
      <c r="AD486" s="9"/>
      <c r="AE486" s="38"/>
      <c r="AF486" s="38" t="str">
        <f t="shared" si="36"/>
        <v/>
      </c>
      <c r="AG486" s="15" t="str">
        <f t="shared" si="37"/>
        <v/>
      </c>
      <c r="AH486" s="15"/>
      <c r="AI486" s="15"/>
      <c r="AJ486" s="15"/>
      <c r="AK486" s="15"/>
      <c r="AL486" s="15"/>
      <c r="AM486" s="15"/>
      <c r="AN486" s="9"/>
      <c r="AO486" s="9"/>
      <c r="AP486" s="9"/>
      <c r="AQ486" s="9"/>
      <c r="AR486" s="9" t="str">
        <f t="shared" si="38"/>
        <v/>
      </c>
      <c r="AS486" s="15"/>
      <c r="AT486" s="15"/>
      <c r="AU486" s="15"/>
    </row>
    <row r="487" ht="15.75" customHeight="1">
      <c r="A487" s="15" t="str">
        <f t="shared" si="1"/>
        <v/>
      </c>
      <c r="B487" s="15"/>
      <c r="C487" s="15"/>
      <c r="D487" s="15"/>
      <c r="E487" s="15"/>
      <c r="F487" s="43"/>
      <c r="G487" s="15"/>
      <c r="H487" s="43"/>
      <c r="I487" s="15"/>
      <c r="J487" s="15"/>
      <c r="K487" s="78"/>
      <c r="L487" s="78"/>
      <c r="M487" s="78"/>
      <c r="N487" s="78"/>
      <c r="O487" s="78"/>
      <c r="P487" s="80"/>
      <c r="Q487" s="81"/>
      <c r="R487" s="82"/>
      <c r="S487" s="15"/>
      <c r="T487" s="15"/>
      <c r="U487" s="83"/>
      <c r="V487" s="81"/>
      <c r="W487" s="83"/>
      <c r="X487" s="81"/>
      <c r="Y487" s="83"/>
      <c r="Z487" s="81"/>
      <c r="AA487" s="37"/>
      <c r="AB487" s="37"/>
      <c r="AC487" s="15"/>
      <c r="AD487" s="9"/>
      <c r="AE487" s="38"/>
      <c r="AF487" s="38" t="str">
        <f t="shared" si="36"/>
        <v/>
      </c>
      <c r="AG487" s="15" t="str">
        <f t="shared" si="37"/>
        <v/>
      </c>
      <c r="AH487" s="15"/>
      <c r="AI487" s="15"/>
      <c r="AJ487" s="15"/>
      <c r="AK487" s="15"/>
      <c r="AL487" s="15"/>
      <c r="AM487" s="15"/>
      <c r="AN487" s="9"/>
      <c r="AO487" s="9"/>
      <c r="AP487" s="9"/>
      <c r="AQ487" s="9"/>
      <c r="AR487" s="9" t="str">
        <f t="shared" si="38"/>
        <v/>
      </c>
      <c r="AS487" s="15"/>
      <c r="AT487" s="15"/>
      <c r="AU487" s="15"/>
    </row>
    <row r="488" ht="15.75" customHeight="1">
      <c r="A488" s="15" t="str">
        <f t="shared" si="1"/>
        <v/>
      </c>
      <c r="B488" s="15"/>
      <c r="C488" s="15"/>
      <c r="D488" s="15"/>
      <c r="E488" s="15"/>
      <c r="F488" s="43"/>
      <c r="G488" s="15"/>
      <c r="H488" s="43"/>
      <c r="I488" s="15"/>
      <c r="J488" s="15"/>
      <c r="K488" s="78"/>
      <c r="L488" s="78"/>
      <c r="M488" s="78"/>
      <c r="N488" s="78"/>
      <c r="O488" s="78"/>
      <c r="P488" s="80"/>
      <c r="Q488" s="81"/>
      <c r="R488" s="82"/>
      <c r="S488" s="15"/>
      <c r="T488" s="15"/>
      <c r="U488" s="83"/>
      <c r="V488" s="81"/>
      <c r="W488" s="83"/>
      <c r="X488" s="81"/>
      <c r="Y488" s="83"/>
      <c r="Z488" s="81"/>
      <c r="AA488" s="37"/>
      <c r="AB488" s="37"/>
      <c r="AC488" s="15"/>
      <c r="AD488" s="9"/>
      <c r="AE488" s="38"/>
      <c r="AF488" s="38" t="str">
        <f t="shared" si="36"/>
        <v/>
      </c>
      <c r="AG488" s="15" t="str">
        <f t="shared" si="37"/>
        <v/>
      </c>
      <c r="AH488" s="15"/>
      <c r="AI488" s="15"/>
      <c r="AJ488" s="15"/>
      <c r="AK488" s="15"/>
      <c r="AL488" s="15"/>
      <c r="AM488" s="15"/>
      <c r="AN488" s="9"/>
      <c r="AO488" s="9"/>
      <c r="AP488" s="9"/>
      <c r="AQ488" s="9"/>
      <c r="AR488" s="9" t="str">
        <f t="shared" si="38"/>
        <v/>
      </c>
      <c r="AS488" s="15"/>
      <c r="AT488" s="15"/>
      <c r="AU488" s="15"/>
    </row>
    <row r="489" ht="15.75" customHeight="1">
      <c r="A489" s="15" t="str">
        <f t="shared" si="1"/>
        <v/>
      </c>
      <c r="B489" s="15"/>
      <c r="C489" s="15"/>
      <c r="D489" s="15"/>
      <c r="E489" s="15"/>
      <c r="F489" s="43"/>
      <c r="G489" s="15"/>
      <c r="H489" s="43"/>
      <c r="I489" s="15"/>
      <c r="J489" s="15"/>
      <c r="K489" s="78"/>
      <c r="L489" s="78"/>
      <c r="M489" s="78"/>
      <c r="N489" s="78"/>
      <c r="O489" s="78"/>
      <c r="P489" s="80"/>
      <c r="Q489" s="81"/>
      <c r="R489" s="82"/>
      <c r="S489" s="15"/>
      <c r="T489" s="15"/>
      <c r="U489" s="83"/>
      <c r="V489" s="81"/>
      <c r="W489" s="83"/>
      <c r="X489" s="81"/>
      <c r="Y489" s="83"/>
      <c r="Z489" s="81"/>
      <c r="AA489" s="37"/>
      <c r="AB489" s="37"/>
      <c r="AC489" s="15"/>
      <c r="AD489" s="9"/>
      <c r="AE489" s="38"/>
      <c r="AF489" s="38" t="str">
        <f t="shared" si="36"/>
        <v/>
      </c>
      <c r="AG489" s="15" t="str">
        <f t="shared" si="37"/>
        <v/>
      </c>
      <c r="AH489" s="15"/>
      <c r="AI489" s="15"/>
      <c r="AJ489" s="15"/>
      <c r="AK489" s="15"/>
      <c r="AL489" s="15"/>
      <c r="AM489" s="15"/>
      <c r="AN489" s="9"/>
      <c r="AO489" s="9"/>
      <c r="AP489" s="9"/>
      <c r="AQ489" s="9"/>
      <c r="AR489" s="9" t="str">
        <f t="shared" si="38"/>
        <v/>
      </c>
      <c r="AS489" s="15"/>
      <c r="AT489" s="15"/>
      <c r="AU489" s="15"/>
    </row>
    <row r="490" ht="15.75" customHeight="1">
      <c r="A490" s="15" t="str">
        <f t="shared" si="1"/>
        <v/>
      </c>
      <c r="B490" s="15"/>
      <c r="C490" s="15"/>
      <c r="D490" s="15"/>
      <c r="E490" s="15"/>
      <c r="F490" s="43"/>
      <c r="G490" s="15"/>
      <c r="H490" s="43"/>
      <c r="I490" s="15"/>
      <c r="J490" s="15"/>
      <c r="K490" s="78"/>
      <c r="L490" s="78"/>
      <c r="M490" s="78"/>
      <c r="N490" s="78"/>
      <c r="O490" s="78"/>
      <c r="P490" s="80"/>
      <c r="Q490" s="81"/>
      <c r="R490" s="82"/>
      <c r="S490" s="15"/>
      <c r="T490" s="15"/>
      <c r="U490" s="83"/>
      <c r="V490" s="81"/>
      <c r="W490" s="83"/>
      <c r="X490" s="81"/>
      <c r="Y490" s="83"/>
      <c r="Z490" s="81"/>
      <c r="AA490" s="37"/>
      <c r="AB490" s="37"/>
      <c r="AC490" s="15"/>
      <c r="AD490" s="9"/>
      <c r="AE490" s="38"/>
      <c r="AF490" s="38" t="str">
        <f t="shared" si="36"/>
        <v/>
      </c>
      <c r="AG490" s="15" t="str">
        <f t="shared" si="37"/>
        <v/>
      </c>
      <c r="AH490" s="15"/>
      <c r="AI490" s="15"/>
      <c r="AJ490" s="15"/>
      <c r="AK490" s="15"/>
      <c r="AL490" s="15"/>
      <c r="AM490" s="15"/>
      <c r="AN490" s="9"/>
      <c r="AO490" s="9"/>
      <c r="AP490" s="9"/>
      <c r="AQ490" s="9"/>
      <c r="AR490" s="9" t="str">
        <f t="shared" si="38"/>
        <v/>
      </c>
      <c r="AS490" s="15"/>
      <c r="AT490" s="15"/>
      <c r="AU490" s="15"/>
    </row>
    <row r="491" ht="15.75" customHeight="1">
      <c r="A491" s="15" t="str">
        <f t="shared" si="1"/>
        <v/>
      </c>
      <c r="B491" s="15"/>
      <c r="C491" s="15"/>
      <c r="D491" s="15"/>
      <c r="E491" s="15"/>
      <c r="F491" s="43"/>
      <c r="G491" s="15"/>
      <c r="H491" s="43"/>
      <c r="I491" s="15"/>
      <c r="J491" s="15"/>
      <c r="K491" s="78"/>
      <c r="L491" s="78"/>
      <c r="M491" s="78"/>
      <c r="N491" s="78"/>
      <c r="O491" s="78"/>
      <c r="P491" s="80"/>
      <c r="Q491" s="81"/>
      <c r="R491" s="82"/>
      <c r="S491" s="15"/>
      <c r="T491" s="15"/>
      <c r="U491" s="83"/>
      <c r="V491" s="81"/>
      <c r="W491" s="83"/>
      <c r="X491" s="81"/>
      <c r="Y491" s="83"/>
      <c r="Z491" s="81"/>
      <c r="AA491" s="37"/>
      <c r="AB491" s="37"/>
      <c r="AC491" s="15"/>
      <c r="AD491" s="9"/>
      <c r="AE491" s="38"/>
      <c r="AF491" s="38" t="str">
        <f t="shared" si="36"/>
        <v/>
      </c>
      <c r="AG491" s="15" t="str">
        <f t="shared" si="37"/>
        <v/>
      </c>
      <c r="AH491" s="15"/>
      <c r="AI491" s="15"/>
      <c r="AJ491" s="15"/>
      <c r="AK491" s="15"/>
      <c r="AL491" s="15"/>
      <c r="AM491" s="15"/>
      <c r="AN491" s="9"/>
      <c r="AO491" s="9"/>
      <c r="AP491" s="9"/>
      <c r="AQ491" s="9"/>
      <c r="AR491" s="9" t="str">
        <f t="shared" si="38"/>
        <v/>
      </c>
      <c r="AS491" s="15"/>
      <c r="AT491" s="15"/>
      <c r="AU491" s="15"/>
    </row>
    <row r="492" ht="15.75" customHeight="1">
      <c r="A492" s="15" t="str">
        <f t="shared" si="1"/>
        <v/>
      </c>
      <c r="B492" s="15"/>
      <c r="C492" s="15"/>
      <c r="D492" s="15"/>
      <c r="E492" s="15"/>
      <c r="F492" s="43"/>
      <c r="G492" s="15"/>
      <c r="H492" s="43"/>
      <c r="I492" s="15"/>
      <c r="J492" s="15"/>
      <c r="K492" s="78"/>
      <c r="L492" s="78"/>
      <c r="M492" s="78"/>
      <c r="N492" s="78"/>
      <c r="O492" s="78"/>
      <c r="P492" s="80"/>
      <c r="Q492" s="81"/>
      <c r="R492" s="82"/>
      <c r="S492" s="15"/>
      <c r="T492" s="15"/>
      <c r="U492" s="83"/>
      <c r="V492" s="81"/>
      <c r="W492" s="83"/>
      <c r="X492" s="81"/>
      <c r="Y492" s="83"/>
      <c r="Z492" s="81"/>
      <c r="AA492" s="37"/>
      <c r="AB492" s="37"/>
      <c r="AC492" s="15"/>
      <c r="AD492" s="9"/>
      <c r="AE492" s="38"/>
      <c r="AF492" s="38" t="str">
        <f t="shared" si="36"/>
        <v/>
      </c>
      <c r="AG492" s="15" t="str">
        <f t="shared" si="37"/>
        <v/>
      </c>
      <c r="AH492" s="15"/>
      <c r="AI492" s="15"/>
      <c r="AJ492" s="15"/>
      <c r="AK492" s="15"/>
      <c r="AL492" s="15"/>
      <c r="AM492" s="15"/>
      <c r="AN492" s="9"/>
      <c r="AO492" s="9"/>
      <c r="AP492" s="9"/>
      <c r="AQ492" s="9"/>
      <c r="AR492" s="9" t="str">
        <f t="shared" si="38"/>
        <v/>
      </c>
      <c r="AS492" s="15"/>
      <c r="AT492" s="15"/>
      <c r="AU492" s="15"/>
    </row>
    <row r="493" ht="15.75" customHeight="1">
      <c r="A493" s="15" t="str">
        <f t="shared" si="1"/>
        <v/>
      </c>
      <c r="B493" s="15"/>
      <c r="C493" s="15"/>
      <c r="D493" s="15"/>
      <c r="E493" s="15"/>
      <c r="F493" s="43"/>
      <c r="G493" s="15"/>
      <c r="H493" s="43"/>
      <c r="I493" s="15"/>
      <c r="J493" s="15"/>
      <c r="K493" s="78"/>
      <c r="L493" s="78"/>
      <c r="M493" s="78"/>
      <c r="N493" s="78"/>
      <c r="O493" s="78"/>
      <c r="P493" s="80"/>
      <c r="Q493" s="81"/>
      <c r="R493" s="82"/>
      <c r="S493" s="15"/>
      <c r="T493" s="15"/>
      <c r="U493" s="83"/>
      <c r="V493" s="81"/>
      <c r="W493" s="83"/>
      <c r="X493" s="81"/>
      <c r="Y493" s="83"/>
      <c r="Z493" s="81"/>
      <c r="AA493" s="37"/>
      <c r="AB493" s="37"/>
      <c r="AC493" s="15"/>
      <c r="AD493" s="9"/>
      <c r="AE493" s="38"/>
      <c r="AF493" s="38" t="str">
        <f t="shared" si="36"/>
        <v/>
      </c>
      <c r="AG493" s="15" t="str">
        <f t="shared" si="37"/>
        <v/>
      </c>
      <c r="AH493" s="15"/>
      <c r="AI493" s="15"/>
      <c r="AJ493" s="15"/>
      <c r="AK493" s="15"/>
      <c r="AL493" s="15"/>
      <c r="AM493" s="15"/>
      <c r="AN493" s="9"/>
      <c r="AO493" s="9"/>
      <c r="AP493" s="9"/>
      <c r="AQ493" s="9"/>
      <c r="AR493" s="9" t="str">
        <f t="shared" si="38"/>
        <v/>
      </c>
      <c r="AS493" s="15"/>
      <c r="AT493" s="15"/>
      <c r="AU493" s="15"/>
    </row>
    <row r="494" ht="15.75" customHeight="1">
      <c r="A494" s="15" t="str">
        <f t="shared" si="1"/>
        <v/>
      </c>
      <c r="B494" s="15"/>
      <c r="C494" s="15"/>
      <c r="D494" s="15"/>
      <c r="E494" s="15"/>
      <c r="F494" s="43"/>
      <c r="G494" s="15"/>
      <c r="H494" s="43"/>
      <c r="I494" s="15"/>
      <c r="J494" s="15"/>
      <c r="K494" s="78"/>
      <c r="L494" s="78"/>
      <c r="M494" s="78"/>
      <c r="N494" s="78"/>
      <c r="O494" s="78"/>
      <c r="P494" s="80"/>
      <c r="Q494" s="81"/>
      <c r="R494" s="82"/>
      <c r="S494" s="15"/>
      <c r="T494" s="15"/>
      <c r="U494" s="83"/>
      <c r="V494" s="81"/>
      <c r="W494" s="83"/>
      <c r="X494" s="81"/>
      <c r="Y494" s="83"/>
      <c r="Z494" s="81"/>
      <c r="AA494" s="37"/>
      <c r="AB494" s="37"/>
      <c r="AC494" s="15"/>
      <c r="AD494" s="9"/>
      <c r="AE494" s="38"/>
      <c r="AF494" s="38" t="str">
        <f t="shared" si="36"/>
        <v/>
      </c>
      <c r="AG494" s="15" t="str">
        <f t="shared" si="37"/>
        <v/>
      </c>
      <c r="AH494" s="15"/>
      <c r="AI494" s="15"/>
      <c r="AJ494" s="15"/>
      <c r="AK494" s="15"/>
      <c r="AL494" s="15"/>
      <c r="AM494" s="15"/>
      <c r="AN494" s="9"/>
      <c r="AO494" s="9"/>
      <c r="AP494" s="9"/>
      <c r="AQ494" s="9"/>
      <c r="AR494" s="9" t="str">
        <f t="shared" si="38"/>
        <v/>
      </c>
      <c r="AS494" s="15"/>
      <c r="AT494" s="15"/>
      <c r="AU494" s="15"/>
    </row>
    <row r="495" ht="15.75" customHeight="1">
      <c r="A495" s="15" t="str">
        <f t="shared" si="1"/>
        <v/>
      </c>
      <c r="B495" s="15"/>
      <c r="C495" s="15"/>
      <c r="D495" s="15"/>
      <c r="E495" s="15"/>
      <c r="F495" s="43"/>
      <c r="G495" s="15"/>
      <c r="H495" s="43"/>
      <c r="I495" s="15"/>
      <c r="J495" s="15"/>
      <c r="K495" s="78"/>
      <c r="L495" s="78"/>
      <c r="M495" s="78"/>
      <c r="N495" s="78"/>
      <c r="O495" s="78"/>
      <c r="P495" s="80"/>
      <c r="Q495" s="81"/>
      <c r="R495" s="82"/>
      <c r="S495" s="15"/>
      <c r="T495" s="15"/>
      <c r="U495" s="83"/>
      <c r="V495" s="81"/>
      <c r="W495" s="83"/>
      <c r="X495" s="81"/>
      <c r="Y495" s="83"/>
      <c r="Z495" s="81"/>
      <c r="AA495" s="37"/>
      <c r="AB495" s="37"/>
      <c r="AC495" s="15"/>
      <c r="AD495" s="9"/>
      <c r="AE495" s="38"/>
      <c r="AF495" s="38" t="str">
        <f t="shared" si="36"/>
        <v/>
      </c>
      <c r="AG495" s="15" t="str">
        <f t="shared" si="37"/>
        <v/>
      </c>
      <c r="AH495" s="15"/>
      <c r="AI495" s="15"/>
      <c r="AJ495" s="15"/>
      <c r="AK495" s="15"/>
      <c r="AL495" s="15"/>
      <c r="AM495" s="15"/>
      <c r="AN495" s="9"/>
      <c r="AO495" s="9"/>
      <c r="AP495" s="9"/>
      <c r="AQ495" s="9"/>
      <c r="AR495" s="9" t="str">
        <f t="shared" si="38"/>
        <v/>
      </c>
      <c r="AS495" s="15"/>
      <c r="AT495" s="15"/>
      <c r="AU495" s="15"/>
    </row>
    <row r="496" ht="15.75" customHeight="1">
      <c r="A496" s="15" t="str">
        <f t="shared" si="1"/>
        <v/>
      </c>
      <c r="B496" s="15"/>
      <c r="C496" s="15"/>
      <c r="D496" s="15"/>
      <c r="E496" s="15"/>
      <c r="F496" s="43"/>
      <c r="G496" s="15"/>
      <c r="H496" s="43"/>
      <c r="I496" s="15"/>
      <c r="J496" s="15"/>
      <c r="K496" s="78"/>
      <c r="L496" s="78"/>
      <c r="M496" s="78"/>
      <c r="N496" s="78"/>
      <c r="O496" s="78"/>
      <c r="P496" s="80"/>
      <c r="Q496" s="81"/>
      <c r="R496" s="82"/>
      <c r="S496" s="15"/>
      <c r="T496" s="15"/>
      <c r="U496" s="83"/>
      <c r="V496" s="81"/>
      <c r="W496" s="83"/>
      <c r="X496" s="81"/>
      <c r="Y496" s="83"/>
      <c r="Z496" s="81"/>
      <c r="AA496" s="37"/>
      <c r="AB496" s="37"/>
      <c r="AC496" s="15"/>
      <c r="AD496" s="9"/>
      <c r="AE496" s="38"/>
      <c r="AF496" s="38" t="str">
        <f t="shared" si="36"/>
        <v/>
      </c>
      <c r="AG496" s="15" t="str">
        <f t="shared" si="37"/>
        <v/>
      </c>
      <c r="AH496" s="15"/>
      <c r="AI496" s="15"/>
      <c r="AJ496" s="15"/>
      <c r="AK496" s="15"/>
      <c r="AL496" s="15"/>
      <c r="AM496" s="15"/>
      <c r="AN496" s="9"/>
      <c r="AO496" s="9"/>
      <c r="AP496" s="9"/>
      <c r="AQ496" s="9"/>
      <c r="AR496" s="9" t="str">
        <f t="shared" si="38"/>
        <v/>
      </c>
      <c r="AS496" s="15"/>
      <c r="AT496" s="15"/>
      <c r="AU496" s="15"/>
    </row>
    <row r="497" ht="15.75" customHeight="1">
      <c r="A497" s="15" t="str">
        <f t="shared" si="1"/>
        <v/>
      </c>
      <c r="B497" s="15"/>
      <c r="C497" s="15"/>
      <c r="D497" s="15"/>
      <c r="E497" s="15"/>
      <c r="F497" s="43"/>
      <c r="G497" s="15"/>
      <c r="H497" s="43"/>
      <c r="I497" s="15"/>
      <c r="J497" s="15"/>
      <c r="K497" s="78"/>
      <c r="L497" s="78"/>
      <c r="M497" s="78"/>
      <c r="N497" s="78"/>
      <c r="O497" s="78"/>
      <c r="P497" s="80"/>
      <c r="Q497" s="81"/>
      <c r="R497" s="82"/>
      <c r="S497" s="15"/>
      <c r="T497" s="15"/>
      <c r="U497" s="83"/>
      <c r="V497" s="81"/>
      <c r="W497" s="83"/>
      <c r="X497" s="81"/>
      <c r="Y497" s="83"/>
      <c r="Z497" s="81"/>
      <c r="AA497" s="37"/>
      <c r="AB497" s="37"/>
      <c r="AC497" s="15"/>
      <c r="AD497" s="9"/>
      <c r="AE497" s="38"/>
      <c r="AF497" s="38" t="str">
        <f t="shared" si="36"/>
        <v/>
      </c>
      <c r="AG497" s="15" t="str">
        <f t="shared" si="37"/>
        <v/>
      </c>
      <c r="AH497" s="15"/>
      <c r="AI497" s="15"/>
      <c r="AJ497" s="15"/>
      <c r="AK497" s="15"/>
      <c r="AL497" s="15"/>
      <c r="AM497" s="15"/>
      <c r="AN497" s="9"/>
      <c r="AO497" s="9"/>
      <c r="AP497" s="9"/>
      <c r="AQ497" s="9"/>
      <c r="AR497" s="9" t="str">
        <f t="shared" si="38"/>
        <v/>
      </c>
      <c r="AS497" s="15"/>
      <c r="AT497" s="15"/>
      <c r="AU497" s="15"/>
    </row>
    <row r="498" ht="15.75" customHeight="1">
      <c r="A498" s="15" t="str">
        <f t="shared" si="1"/>
        <v/>
      </c>
      <c r="B498" s="15"/>
      <c r="C498" s="15"/>
      <c r="D498" s="15"/>
      <c r="E498" s="15"/>
      <c r="F498" s="43"/>
      <c r="G498" s="15"/>
      <c r="H498" s="43"/>
      <c r="I498" s="15"/>
      <c r="J498" s="15"/>
      <c r="K498" s="78"/>
      <c r="L498" s="78"/>
      <c r="M498" s="78"/>
      <c r="N498" s="78"/>
      <c r="O498" s="78"/>
      <c r="P498" s="80"/>
      <c r="Q498" s="81"/>
      <c r="R498" s="82"/>
      <c r="S498" s="15"/>
      <c r="T498" s="15"/>
      <c r="U498" s="83"/>
      <c r="V498" s="81"/>
      <c r="W498" s="83"/>
      <c r="X498" s="81"/>
      <c r="Y498" s="83"/>
      <c r="Z498" s="81"/>
      <c r="AA498" s="37"/>
      <c r="AB498" s="37"/>
      <c r="AC498" s="15"/>
      <c r="AD498" s="9"/>
      <c r="AE498" s="38"/>
      <c r="AF498" s="38" t="str">
        <f t="shared" si="36"/>
        <v/>
      </c>
      <c r="AG498" s="15" t="str">
        <f t="shared" si="37"/>
        <v/>
      </c>
      <c r="AH498" s="15"/>
      <c r="AI498" s="15"/>
      <c r="AJ498" s="15"/>
      <c r="AK498" s="15"/>
      <c r="AL498" s="15"/>
      <c r="AM498" s="15"/>
      <c r="AN498" s="9"/>
      <c r="AO498" s="9"/>
      <c r="AP498" s="9"/>
      <c r="AQ498" s="9"/>
      <c r="AR498" s="9" t="str">
        <f t="shared" si="38"/>
        <v/>
      </c>
      <c r="AS498" s="15"/>
      <c r="AT498" s="15"/>
      <c r="AU498" s="15"/>
    </row>
    <row r="499" ht="15.75" customHeight="1">
      <c r="A499" s="15" t="str">
        <f t="shared" si="1"/>
        <v/>
      </c>
      <c r="B499" s="15"/>
      <c r="C499" s="15"/>
      <c r="D499" s="15"/>
      <c r="E499" s="15"/>
      <c r="F499" s="43"/>
      <c r="G499" s="15"/>
      <c r="H499" s="43"/>
      <c r="I499" s="15"/>
      <c r="J499" s="15"/>
      <c r="K499" s="78"/>
      <c r="L499" s="78"/>
      <c r="M499" s="78"/>
      <c r="N499" s="78"/>
      <c r="O499" s="78"/>
      <c r="P499" s="80"/>
      <c r="Q499" s="81"/>
      <c r="R499" s="82"/>
      <c r="S499" s="15"/>
      <c r="T499" s="15"/>
      <c r="U499" s="83"/>
      <c r="V499" s="81"/>
      <c r="W499" s="83"/>
      <c r="X499" s="81"/>
      <c r="Y499" s="83"/>
      <c r="Z499" s="81"/>
      <c r="AA499" s="37"/>
      <c r="AB499" s="37"/>
      <c r="AC499" s="15"/>
      <c r="AD499" s="9"/>
      <c r="AE499" s="38"/>
      <c r="AF499" s="38" t="str">
        <f t="shared" si="36"/>
        <v/>
      </c>
      <c r="AG499" s="15" t="str">
        <f t="shared" si="37"/>
        <v/>
      </c>
      <c r="AH499" s="15"/>
      <c r="AI499" s="15"/>
      <c r="AJ499" s="15"/>
      <c r="AK499" s="15"/>
      <c r="AL499" s="15"/>
      <c r="AM499" s="15"/>
      <c r="AN499" s="9"/>
      <c r="AO499" s="9"/>
      <c r="AP499" s="9"/>
      <c r="AQ499" s="9"/>
      <c r="AR499" s="9" t="str">
        <f t="shared" si="38"/>
        <v/>
      </c>
      <c r="AS499" s="15"/>
      <c r="AT499" s="15"/>
      <c r="AU499" s="15"/>
    </row>
    <row r="500" ht="15.75" customHeight="1">
      <c r="A500" s="15" t="str">
        <f t="shared" si="1"/>
        <v/>
      </c>
      <c r="B500" s="15"/>
      <c r="C500" s="15"/>
      <c r="D500" s="15"/>
      <c r="E500" s="15"/>
      <c r="F500" s="43"/>
      <c r="G500" s="15"/>
      <c r="H500" s="43"/>
      <c r="I500" s="15"/>
      <c r="J500" s="15"/>
      <c r="K500" s="78"/>
      <c r="L500" s="78"/>
      <c r="M500" s="78"/>
      <c r="N500" s="78"/>
      <c r="O500" s="78"/>
      <c r="P500" s="80"/>
      <c r="Q500" s="81"/>
      <c r="R500" s="82"/>
      <c r="S500" s="15"/>
      <c r="T500" s="15"/>
      <c r="U500" s="83"/>
      <c r="V500" s="81"/>
      <c r="W500" s="83"/>
      <c r="X500" s="81"/>
      <c r="Y500" s="83"/>
      <c r="Z500" s="81"/>
      <c r="AA500" s="37"/>
      <c r="AB500" s="37"/>
      <c r="AC500" s="15"/>
      <c r="AD500" s="9"/>
      <c r="AE500" s="38"/>
      <c r="AF500" s="38" t="str">
        <f t="shared" si="36"/>
        <v/>
      </c>
      <c r="AG500" s="15" t="str">
        <f t="shared" si="37"/>
        <v/>
      </c>
      <c r="AH500" s="15"/>
      <c r="AI500" s="15"/>
      <c r="AJ500" s="15"/>
      <c r="AK500" s="15"/>
      <c r="AL500" s="15"/>
      <c r="AM500" s="15"/>
      <c r="AN500" s="9"/>
      <c r="AO500" s="9"/>
      <c r="AP500" s="9"/>
      <c r="AQ500" s="9"/>
      <c r="AR500" s="9" t="str">
        <f t="shared" si="38"/>
        <v/>
      </c>
      <c r="AS500" s="15"/>
      <c r="AT500" s="15"/>
      <c r="AU500" s="15"/>
    </row>
    <row r="501" ht="15.75" customHeight="1">
      <c r="A501" s="15" t="str">
        <f t="shared" si="1"/>
        <v/>
      </c>
      <c r="B501" s="15"/>
      <c r="C501" s="15"/>
      <c r="D501" s="15"/>
      <c r="E501" s="15"/>
      <c r="F501" s="43"/>
      <c r="G501" s="15"/>
      <c r="H501" s="43"/>
      <c r="I501" s="15"/>
      <c r="J501" s="15"/>
      <c r="K501" s="78"/>
      <c r="L501" s="78"/>
      <c r="M501" s="78"/>
      <c r="N501" s="78"/>
      <c r="O501" s="78"/>
      <c r="P501" s="80"/>
      <c r="Q501" s="81"/>
      <c r="R501" s="82"/>
      <c r="S501" s="15"/>
      <c r="T501" s="15"/>
      <c r="U501" s="83"/>
      <c r="V501" s="81"/>
      <c r="W501" s="83"/>
      <c r="X501" s="81"/>
      <c r="Y501" s="83"/>
      <c r="Z501" s="81"/>
      <c r="AA501" s="37"/>
      <c r="AB501" s="37"/>
      <c r="AC501" s="15"/>
      <c r="AD501" s="9"/>
      <c r="AE501" s="38"/>
      <c r="AF501" s="38" t="str">
        <f t="shared" si="36"/>
        <v/>
      </c>
      <c r="AG501" s="15" t="str">
        <f t="shared" si="37"/>
        <v/>
      </c>
      <c r="AH501" s="15"/>
      <c r="AI501" s="15"/>
      <c r="AJ501" s="15"/>
      <c r="AK501" s="15"/>
      <c r="AL501" s="15"/>
      <c r="AM501" s="15"/>
      <c r="AN501" s="9"/>
      <c r="AO501" s="9"/>
      <c r="AP501" s="9"/>
      <c r="AQ501" s="9"/>
      <c r="AR501" s="9" t="str">
        <f t="shared" si="38"/>
        <v/>
      </c>
      <c r="AS501" s="15"/>
      <c r="AT501" s="15"/>
      <c r="AU501" s="15"/>
    </row>
    <row r="502" ht="15.75" customHeight="1">
      <c r="A502" s="15" t="str">
        <f t="shared" si="1"/>
        <v/>
      </c>
      <c r="B502" s="15"/>
      <c r="C502" s="15"/>
      <c r="D502" s="15"/>
      <c r="E502" s="15"/>
      <c r="F502" s="43"/>
      <c r="G502" s="15"/>
      <c r="H502" s="43"/>
      <c r="I502" s="15"/>
      <c r="J502" s="15"/>
      <c r="K502" s="78"/>
      <c r="L502" s="78"/>
      <c r="M502" s="78"/>
      <c r="N502" s="78"/>
      <c r="O502" s="78"/>
      <c r="P502" s="80"/>
      <c r="Q502" s="81"/>
      <c r="R502" s="82"/>
      <c r="S502" s="15"/>
      <c r="T502" s="15"/>
      <c r="U502" s="83"/>
      <c r="V502" s="81"/>
      <c r="W502" s="83"/>
      <c r="X502" s="81"/>
      <c r="Y502" s="83"/>
      <c r="Z502" s="81"/>
      <c r="AA502" s="37"/>
      <c r="AB502" s="37"/>
      <c r="AC502" s="15"/>
      <c r="AD502" s="9"/>
      <c r="AE502" s="38"/>
      <c r="AF502" s="38" t="str">
        <f t="shared" si="36"/>
        <v/>
      </c>
      <c r="AG502" s="15" t="str">
        <f t="shared" si="37"/>
        <v/>
      </c>
      <c r="AH502" s="15"/>
      <c r="AI502" s="15"/>
      <c r="AJ502" s="15"/>
      <c r="AK502" s="15"/>
      <c r="AL502" s="15"/>
      <c r="AM502" s="15"/>
      <c r="AN502" s="9"/>
      <c r="AO502" s="9"/>
      <c r="AP502" s="9"/>
      <c r="AQ502" s="9"/>
      <c r="AR502" s="9" t="str">
        <f t="shared" si="38"/>
        <v/>
      </c>
      <c r="AS502" s="15"/>
      <c r="AT502" s="15"/>
      <c r="AU502" s="15"/>
    </row>
    <row r="503" ht="15.75" customHeight="1">
      <c r="A503" s="15" t="str">
        <f t="shared" si="1"/>
        <v/>
      </c>
      <c r="B503" s="15"/>
      <c r="C503" s="15"/>
      <c r="D503" s="15"/>
      <c r="E503" s="15"/>
      <c r="F503" s="43"/>
      <c r="G503" s="15"/>
      <c r="H503" s="43"/>
      <c r="I503" s="15"/>
      <c r="J503" s="15"/>
      <c r="K503" s="78"/>
      <c r="L503" s="78"/>
      <c r="M503" s="78"/>
      <c r="N503" s="78"/>
      <c r="O503" s="78"/>
      <c r="P503" s="80"/>
      <c r="Q503" s="81"/>
      <c r="R503" s="82"/>
      <c r="S503" s="15"/>
      <c r="T503" s="15"/>
      <c r="U503" s="83"/>
      <c r="V503" s="81"/>
      <c r="W503" s="83"/>
      <c r="X503" s="81"/>
      <c r="Y503" s="83"/>
      <c r="Z503" s="81"/>
      <c r="AA503" s="37"/>
      <c r="AB503" s="37"/>
      <c r="AC503" s="15"/>
      <c r="AD503" s="9"/>
      <c r="AE503" s="38"/>
      <c r="AF503" s="38" t="str">
        <f t="shared" si="36"/>
        <v/>
      </c>
      <c r="AG503" s="15" t="str">
        <f t="shared" si="37"/>
        <v/>
      </c>
      <c r="AH503" s="15"/>
      <c r="AI503" s="15"/>
      <c r="AJ503" s="15"/>
      <c r="AK503" s="15"/>
      <c r="AL503" s="15"/>
      <c r="AM503" s="15"/>
      <c r="AN503" s="9"/>
      <c r="AO503" s="9"/>
      <c r="AP503" s="9"/>
      <c r="AQ503" s="9"/>
      <c r="AR503" s="9" t="str">
        <f t="shared" si="38"/>
        <v/>
      </c>
      <c r="AS503" s="15"/>
      <c r="AT503" s="15"/>
      <c r="AU503" s="15"/>
    </row>
    <row r="504" ht="15.75" customHeight="1">
      <c r="A504" s="15" t="str">
        <f t="shared" si="1"/>
        <v/>
      </c>
      <c r="B504" s="15"/>
      <c r="C504" s="15"/>
      <c r="D504" s="15"/>
      <c r="E504" s="15"/>
      <c r="F504" s="43"/>
      <c r="G504" s="15"/>
      <c r="H504" s="43"/>
      <c r="I504" s="15"/>
      <c r="J504" s="15"/>
      <c r="K504" s="78"/>
      <c r="L504" s="78"/>
      <c r="M504" s="78"/>
      <c r="N504" s="78"/>
      <c r="O504" s="78"/>
      <c r="P504" s="80"/>
      <c r="Q504" s="81"/>
      <c r="R504" s="82"/>
      <c r="S504" s="15"/>
      <c r="T504" s="15"/>
      <c r="U504" s="83"/>
      <c r="V504" s="81"/>
      <c r="W504" s="83"/>
      <c r="X504" s="81"/>
      <c r="Y504" s="83"/>
      <c r="Z504" s="81"/>
      <c r="AA504" s="37"/>
      <c r="AB504" s="37"/>
      <c r="AC504" s="15"/>
      <c r="AD504" s="9"/>
      <c r="AE504" s="38"/>
      <c r="AF504" s="38" t="str">
        <f t="shared" si="36"/>
        <v/>
      </c>
      <c r="AG504" s="15" t="str">
        <f t="shared" si="37"/>
        <v/>
      </c>
      <c r="AH504" s="15"/>
      <c r="AI504" s="15"/>
      <c r="AJ504" s="15"/>
      <c r="AK504" s="15"/>
      <c r="AL504" s="15"/>
      <c r="AM504" s="15"/>
      <c r="AN504" s="9"/>
      <c r="AO504" s="9"/>
      <c r="AP504" s="9"/>
      <c r="AQ504" s="9"/>
      <c r="AR504" s="9" t="str">
        <f t="shared" si="38"/>
        <v/>
      </c>
      <c r="AS504" s="15"/>
      <c r="AT504" s="15"/>
      <c r="AU504" s="15"/>
    </row>
    <row r="505" ht="15.75" customHeight="1">
      <c r="A505" s="15" t="str">
        <f t="shared" si="1"/>
        <v/>
      </c>
      <c r="B505" s="15"/>
      <c r="C505" s="15"/>
      <c r="D505" s="15"/>
      <c r="E505" s="15"/>
      <c r="F505" s="43"/>
      <c r="G505" s="15"/>
      <c r="H505" s="43"/>
      <c r="I505" s="15"/>
      <c r="J505" s="15"/>
      <c r="K505" s="78"/>
      <c r="L505" s="78"/>
      <c r="M505" s="78"/>
      <c r="N505" s="78"/>
      <c r="O505" s="78"/>
      <c r="P505" s="80"/>
      <c r="Q505" s="81"/>
      <c r="R505" s="82"/>
      <c r="S505" s="15"/>
      <c r="T505" s="15"/>
      <c r="U505" s="83"/>
      <c r="V505" s="81"/>
      <c r="W505" s="83"/>
      <c r="X505" s="81"/>
      <c r="Y505" s="83"/>
      <c r="Z505" s="81"/>
      <c r="AA505" s="37"/>
      <c r="AB505" s="37"/>
      <c r="AC505" s="15"/>
      <c r="AD505" s="9"/>
      <c r="AE505" s="38"/>
      <c r="AF505" s="38" t="str">
        <f t="shared" si="36"/>
        <v/>
      </c>
      <c r="AG505" s="15" t="str">
        <f t="shared" si="37"/>
        <v/>
      </c>
      <c r="AH505" s="15"/>
      <c r="AI505" s="15"/>
      <c r="AJ505" s="15"/>
      <c r="AK505" s="15"/>
      <c r="AL505" s="15"/>
      <c r="AM505" s="15"/>
      <c r="AN505" s="9"/>
      <c r="AO505" s="9"/>
      <c r="AP505" s="9"/>
      <c r="AQ505" s="9"/>
      <c r="AR505" s="9" t="str">
        <f t="shared" si="38"/>
        <v/>
      </c>
      <c r="AS505" s="15"/>
      <c r="AT505" s="15"/>
      <c r="AU505" s="15"/>
    </row>
    <row r="506" ht="15.75" customHeight="1">
      <c r="A506" s="15" t="str">
        <f t="shared" si="1"/>
        <v/>
      </c>
      <c r="B506" s="15"/>
      <c r="C506" s="15"/>
      <c r="D506" s="15"/>
      <c r="E506" s="15"/>
      <c r="F506" s="43"/>
      <c r="G506" s="15"/>
      <c r="H506" s="43"/>
      <c r="I506" s="15"/>
      <c r="J506" s="15"/>
      <c r="K506" s="78"/>
      <c r="L506" s="78"/>
      <c r="M506" s="78"/>
      <c r="N506" s="78"/>
      <c r="O506" s="78"/>
      <c r="P506" s="80"/>
      <c r="Q506" s="81"/>
      <c r="R506" s="82"/>
      <c r="S506" s="15"/>
      <c r="T506" s="15"/>
      <c r="U506" s="83"/>
      <c r="V506" s="81"/>
      <c r="W506" s="83"/>
      <c r="X506" s="81"/>
      <c r="Y506" s="83"/>
      <c r="Z506" s="81"/>
      <c r="AA506" s="37"/>
      <c r="AB506" s="37"/>
      <c r="AC506" s="15"/>
      <c r="AD506" s="9"/>
      <c r="AE506" s="38"/>
      <c r="AF506" s="38" t="str">
        <f t="shared" si="36"/>
        <v/>
      </c>
      <c r="AG506" s="15" t="str">
        <f t="shared" si="37"/>
        <v/>
      </c>
      <c r="AH506" s="15"/>
      <c r="AI506" s="15"/>
      <c r="AJ506" s="15"/>
      <c r="AK506" s="15"/>
      <c r="AL506" s="15"/>
      <c r="AM506" s="15"/>
      <c r="AN506" s="9"/>
      <c r="AO506" s="9"/>
      <c r="AP506" s="9"/>
      <c r="AQ506" s="9"/>
      <c r="AR506" s="9" t="str">
        <f t="shared" si="38"/>
        <v/>
      </c>
      <c r="AS506" s="15"/>
      <c r="AT506" s="15"/>
      <c r="AU506" s="15"/>
    </row>
    <row r="507" ht="15.75" customHeight="1">
      <c r="A507" s="15" t="str">
        <f t="shared" si="1"/>
        <v/>
      </c>
      <c r="B507" s="15"/>
      <c r="C507" s="15"/>
      <c r="D507" s="15"/>
      <c r="E507" s="15"/>
      <c r="F507" s="43"/>
      <c r="G507" s="15"/>
      <c r="H507" s="43"/>
      <c r="I507" s="15"/>
      <c r="J507" s="15"/>
      <c r="K507" s="78"/>
      <c r="L507" s="78"/>
      <c r="M507" s="78"/>
      <c r="N507" s="78"/>
      <c r="O507" s="78"/>
      <c r="P507" s="80"/>
      <c r="Q507" s="81"/>
      <c r="R507" s="82"/>
      <c r="S507" s="15"/>
      <c r="T507" s="15"/>
      <c r="U507" s="83"/>
      <c r="V507" s="81"/>
      <c r="W507" s="83"/>
      <c r="X507" s="81"/>
      <c r="Y507" s="83"/>
      <c r="Z507" s="81"/>
      <c r="AA507" s="37"/>
      <c r="AB507" s="37"/>
      <c r="AC507" s="15"/>
      <c r="AD507" s="9"/>
      <c r="AE507" s="38"/>
      <c r="AF507" s="38" t="str">
        <f t="shared" si="36"/>
        <v/>
      </c>
      <c r="AG507" s="15" t="str">
        <f t="shared" si="37"/>
        <v/>
      </c>
      <c r="AH507" s="15"/>
      <c r="AI507" s="15"/>
      <c r="AJ507" s="15"/>
      <c r="AK507" s="15"/>
      <c r="AL507" s="15"/>
      <c r="AM507" s="15"/>
      <c r="AN507" s="9"/>
      <c r="AO507" s="9"/>
      <c r="AP507" s="9"/>
      <c r="AQ507" s="9"/>
      <c r="AR507" s="9" t="str">
        <f t="shared" si="38"/>
        <v/>
      </c>
      <c r="AS507" s="15"/>
      <c r="AT507" s="15"/>
      <c r="AU507" s="15"/>
    </row>
    <row r="508" ht="15.75" customHeight="1">
      <c r="A508" s="15" t="str">
        <f t="shared" si="1"/>
        <v/>
      </c>
      <c r="B508" s="15"/>
      <c r="C508" s="15"/>
      <c r="D508" s="15"/>
      <c r="E508" s="15"/>
      <c r="F508" s="43"/>
      <c r="G508" s="15"/>
      <c r="H508" s="43"/>
      <c r="I508" s="15"/>
      <c r="J508" s="15"/>
      <c r="K508" s="78"/>
      <c r="L508" s="78"/>
      <c r="M508" s="78"/>
      <c r="N508" s="78"/>
      <c r="O508" s="78"/>
      <c r="P508" s="80"/>
      <c r="Q508" s="81"/>
      <c r="R508" s="82"/>
      <c r="S508" s="15"/>
      <c r="T508" s="15"/>
      <c r="U508" s="83"/>
      <c r="V508" s="81"/>
      <c r="W508" s="83"/>
      <c r="X508" s="81"/>
      <c r="Y508" s="83"/>
      <c r="Z508" s="81"/>
      <c r="AA508" s="37"/>
      <c r="AB508" s="37"/>
      <c r="AC508" s="15"/>
      <c r="AD508" s="9"/>
      <c r="AE508" s="38"/>
      <c r="AF508" s="38" t="str">
        <f t="shared" si="36"/>
        <v/>
      </c>
      <c r="AG508" s="15" t="str">
        <f t="shared" si="37"/>
        <v/>
      </c>
      <c r="AH508" s="15"/>
      <c r="AI508" s="15"/>
      <c r="AJ508" s="15"/>
      <c r="AK508" s="15"/>
      <c r="AL508" s="15"/>
      <c r="AM508" s="15"/>
      <c r="AN508" s="9"/>
      <c r="AO508" s="9"/>
      <c r="AP508" s="9"/>
      <c r="AQ508" s="9"/>
      <c r="AR508" s="9" t="str">
        <f t="shared" si="38"/>
        <v/>
      </c>
      <c r="AS508" s="15"/>
      <c r="AT508" s="15"/>
      <c r="AU508" s="15"/>
    </row>
    <row r="509" ht="15.75" customHeight="1">
      <c r="A509" s="15" t="str">
        <f t="shared" si="1"/>
        <v/>
      </c>
      <c r="B509" s="15"/>
      <c r="C509" s="15"/>
      <c r="D509" s="15"/>
      <c r="E509" s="15"/>
      <c r="F509" s="43"/>
      <c r="G509" s="15"/>
      <c r="H509" s="43"/>
      <c r="I509" s="15"/>
      <c r="J509" s="15"/>
      <c r="K509" s="78"/>
      <c r="L509" s="78"/>
      <c r="M509" s="78"/>
      <c r="N509" s="78"/>
      <c r="O509" s="78"/>
      <c r="P509" s="80"/>
      <c r="Q509" s="81"/>
      <c r="R509" s="82"/>
      <c r="S509" s="15"/>
      <c r="T509" s="15"/>
      <c r="U509" s="83"/>
      <c r="V509" s="81"/>
      <c r="W509" s="83"/>
      <c r="X509" s="81"/>
      <c r="Y509" s="83"/>
      <c r="Z509" s="81"/>
      <c r="AA509" s="37"/>
      <c r="AB509" s="37"/>
      <c r="AC509" s="15"/>
      <c r="AD509" s="9"/>
      <c r="AE509" s="38"/>
      <c r="AF509" s="38" t="str">
        <f t="shared" si="36"/>
        <v/>
      </c>
      <c r="AG509" s="15" t="str">
        <f t="shared" si="37"/>
        <v/>
      </c>
      <c r="AH509" s="15"/>
      <c r="AI509" s="15"/>
      <c r="AJ509" s="15"/>
      <c r="AK509" s="15"/>
      <c r="AL509" s="15"/>
      <c r="AM509" s="15"/>
      <c r="AN509" s="9"/>
      <c r="AO509" s="9"/>
      <c r="AP509" s="9"/>
      <c r="AQ509" s="9"/>
      <c r="AR509" s="9" t="str">
        <f t="shared" si="38"/>
        <v/>
      </c>
      <c r="AS509" s="15"/>
      <c r="AT509" s="15"/>
      <c r="AU509" s="15"/>
    </row>
    <row r="510" ht="15.75" customHeight="1">
      <c r="A510" s="15" t="str">
        <f t="shared" si="1"/>
        <v/>
      </c>
      <c r="B510" s="15"/>
      <c r="C510" s="15"/>
      <c r="D510" s="15"/>
      <c r="E510" s="15"/>
      <c r="F510" s="43"/>
      <c r="G510" s="15"/>
      <c r="H510" s="43"/>
      <c r="I510" s="15"/>
      <c r="J510" s="15"/>
      <c r="K510" s="78"/>
      <c r="L510" s="78"/>
      <c r="M510" s="78"/>
      <c r="N510" s="78"/>
      <c r="O510" s="78"/>
      <c r="P510" s="80"/>
      <c r="Q510" s="81"/>
      <c r="R510" s="82"/>
      <c r="S510" s="15"/>
      <c r="T510" s="15"/>
      <c r="U510" s="83"/>
      <c r="V510" s="81"/>
      <c r="W510" s="83"/>
      <c r="X510" s="81"/>
      <c r="Y510" s="83"/>
      <c r="Z510" s="81"/>
      <c r="AA510" s="37"/>
      <c r="AB510" s="37"/>
      <c r="AC510" s="15"/>
      <c r="AD510" s="9"/>
      <c r="AE510" s="38"/>
      <c r="AF510" s="38" t="str">
        <f t="shared" si="36"/>
        <v/>
      </c>
      <c r="AG510" s="15" t="str">
        <f t="shared" si="37"/>
        <v/>
      </c>
      <c r="AH510" s="15"/>
      <c r="AI510" s="15"/>
      <c r="AJ510" s="15"/>
      <c r="AK510" s="15"/>
      <c r="AL510" s="15"/>
      <c r="AM510" s="15"/>
      <c r="AN510" s="9"/>
      <c r="AO510" s="9"/>
      <c r="AP510" s="9"/>
      <c r="AQ510" s="9"/>
      <c r="AR510" s="9" t="str">
        <f t="shared" si="38"/>
        <v/>
      </c>
      <c r="AS510" s="15"/>
      <c r="AT510" s="15"/>
      <c r="AU510" s="15"/>
    </row>
    <row r="511" ht="15.75" customHeight="1">
      <c r="A511" s="15" t="str">
        <f t="shared" si="1"/>
        <v/>
      </c>
      <c r="B511" s="15"/>
      <c r="C511" s="15"/>
      <c r="D511" s="15"/>
      <c r="E511" s="15"/>
      <c r="F511" s="43"/>
      <c r="G511" s="15"/>
      <c r="H511" s="43"/>
      <c r="I511" s="15"/>
      <c r="J511" s="15"/>
      <c r="K511" s="78"/>
      <c r="L511" s="78"/>
      <c r="M511" s="78"/>
      <c r="N511" s="78"/>
      <c r="O511" s="78"/>
      <c r="P511" s="80"/>
      <c r="Q511" s="81"/>
      <c r="R511" s="82"/>
      <c r="S511" s="15"/>
      <c r="T511" s="15"/>
      <c r="U511" s="83"/>
      <c r="V511" s="81"/>
      <c r="W511" s="83"/>
      <c r="X511" s="81"/>
      <c r="Y511" s="83"/>
      <c r="Z511" s="81"/>
      <c r="AA511" s="37"/>
      <c r="AB511" s="37"/>
      <c r="AC511" s="15"/>
      <c r="AD511" s="9"/>
      <c r="AE511" s="38"/>
      <c r="AF511" s="38" t="str">
        <f t="shared" si="36"/>
        <v/>
      </c>
      <c r="AG511" s="15" t="str">
        <f t="shared" si="37"/>
        <v/>
      </c>
      <c r="AH511" s="15"/>
      <c r="AI511" s="15"/>
      <c r="AJ511" s="15"/>
      <c r="AK511" s="15"/>
      <c r="AL511" s="15"/>
      <c r="AM511" s="15"/>
      <c r="AN511" s="9"/>
      <c r="AO511" s="9"/>
      <c r="AP511" s="9"/>
      <c r="AQ511" s="9"/>
      <c r="AR511" s="9" t="str">
        <f t="shared" si="38"/>
        <v/>
      </c>
      <c r="AS511" s="15"/>
      <c r="AT511" s="15"/>
      <c r="AU511" s="15"/>
    </row>
    <row r="512" ht="15.75" customHeight="1">
      <c r="A512" s="15" t="str">
        <f t="shared" si="1"/>
        <v/>
      </c>
      <c r="B512" s="15"/>
      <c r="C512" s="15"/>
      <c r="D512" s="15"/>
      <c r="E512" s="15"/>
      <c r="F512" s="43"/>
      <c r="G512" s="15"/>
      <c r="H512" s="43"/>
      <c r="I512" s="15"/>
      <c r="J512" s="15"/>
      <c r="K512" s="78"/>
      <c r="L512" s="78"/>
      <c r="M512" s="78"/>
      <c r="N512" s="78"/>
      <c r="O512" s="78"/>
      <c r="P512" s="80"/>
      <c r="Q512" s="81"/>
      <c r="R512" s="82"/>
      <c r="S512" s="15"/>
      <c r="T512" s="15"/>
      <c r="U512" s="83"/>
      <c r="V512" s="81"/>
      <c r="W512" s="83"/>
      <c r="X512" s="81"/>
      <c r="Y512" s="83"/>
      <c r="Z512" s="81"/>
      <c r="AA512" s="37"/>
      <c r="AB512" s="37"/>
      <c r="AC512" s="15"/>
      <c r="AD512" s="9"/>
      <c r="AE512" s="38"/>
      <c r="AF512" s="38" t="str">
        <f t="shared" si="36"/>
        <v/>
      </c>
      <c r="AG512" s="15" t="str">
        <f t="shared" si="37"/>
        <v/>
      </c>
      <c r="AH512" s="15"/>
      <c r="AI512" s="15"/>
      <c r="AJ512" s="15"/>
      <c r="AK512" s="15"/>
      <c r="AL512" s="15"/>
      <c r="AM512" s="15"/>
      <c r="AN512" s="9"/>
      <c r="AO512" s="9"/>
      <c r="AP512" s="9"/>
      <c r="AQ512" s="9"/>
      <c r="AR512" s="9" t="str">
        <f t="shared" si="38"/>
        <v/>
      </c>
      <c r="AS512" s="15"/>
      <c r="AT512" s="15"/>
      <c r="AU512" s="15"/>
    </row>
    <row r="513" ht="15.75" customHeight="1">
      <c r="A513" s="15" t="str">
        <f t="shared" si="1"/>
        <v/>
      </c>
      <c r="B513" s="15"/>
      <c r="C513" s="15"/>
      <c r="D513" s="15"/>
      <c r="E513" s="15"/>
      <c r="F513" s="43"/>
      <c r="G513" s="15"/>
      <c r="H513" s="43"/>
      <c r="I513" s="15"/>
      <c r="J513" s="15"/>
      <c r="K513" s="78"/>
      <c r="L513" s="78"/>
      <c r="M513" s="78"/>
      <c r="N513" s="78"/>
      <c r="O513" s="78"/>
      <c r="P513" s="80"/>
      <c r="Q513" s="81"/>
      <c r="R513" s="82"/>
      <c r="S513" s="15"/>
      <c r="T513" s="15"/>
      <c r="U513" s="83"/>
      <c r="V513" s="81"/>
      <c r="W513" s="83"/>
      <c r="X513" s="81"/>
      <c r="Y513" s="83"/>
      <c r="Z513" s="81"/>
      <c r="AA513" s="37"/>
      <c r="AB513" s="37"/>
      <c r="AC513" s="15"/>
      <c r="AD513" s="9"/>
      <c r="AE513" s="38"/>
      <c r="AF513" s="38" t="str">
        <f t="shared" si="36"/>
        <v/>
      </c>
      <c r="AG513" s="15" t="str">
        <f t="shared" si="37"/>
        <v/>
      </c>
      <c r="AH513" s="15"/>
      <c r="AI513" s="15"/>
      <c r="AJ513" s="15"/>
      <c r="AK513" s="15"/>
      <c r="AL513" s="15"/>
      <c r="AM513" s="15"/>
      <c r="AN513" s="9"/>
      <c r="AO513" s="9"/>
      <c r="AP513" s="9"/>
      <c r="AQ513" s="9"/>
      <c r="AR513" s="9" t="str">
        <f t="shared" si="38"/>
        <v/>
      </c>
      <c r="AS513" s="15"/>
      <c r="AT513" s="15"/>
      <c r="AU513" s="15"/>
    </row>
    <row r="514" ht="15.75" customHeight="1">
      <c r="A514" s="15" t="str">
        <f t="shared" si="1"/>
        <v/>
      </c>
      <c r="B514" s="15"/>
      <c r="C514" s="15"/>
      <c r="D514" s="15"/>
      <c r="E514" s="15"/>
      <c r="F514" s="43"/>
      <c r="G514" s="15"/>
      <c r="H514" s="43"/>
      <c r="I514" s="15"/>
      <c r="J514" s="15"/>
      <c r="K514" s="78"/>
      <c r="L514" s="78"/>
      <c r="M514" s="78"/>
      <c r="N514" s="78"/>
      <c r="O514" s="78"/>
      <c r="P514" s="80"/>
      <c r="Q514" s="81"/>
      <c r="R514" s="82"/>
      <c r="S514" s="15"/>
      <c r="T514" s="15"/>
      <c r="U514" s="83"/>
      <c r="V514" s="81"/>
      <c r="W514" s="83"/>
      <c r="X514" s="81"/>
      <c r="Y514" s="83"/>
      <c r="Z514" s="81"/>
      <c r="AA514" s="37"/>
      <c r="AB514" s="37"/>
      <c r="AC514" s="15"/>
      <c r="AD514" s="9"/>
      <c r="AE514" s="38"/>
      <c r="AF514" s="38" t="str">
        <f t="shared" si="36"/>
        <v/>
      </c>
      <c r="AG514" s="15" t="str">
        <f t="shared" si="37"/>
        <v/>
      </c>
      <c r="AH514" s="15"/>
      <c r="AI514" s="15"/>
      <c r="AJ514" s="15"/>
      <c r="AK514" s="15"/>
      <c r="AL514" s="15"/>
      <c r="AM514" s="15"/>
      <c r="AN514" s="9"/>
      <c r="AO514" s="9"/>
      <c r="AP514" s="9"/>
      <c r="AQ514" s="9"/>
      <c r="AR514" s="9" t="str">
        <f t="shared" si="38"/>
        <v/>
      </c>
      <c r="AS514" s="15"/>
      <c r="AT514" s="15"/>
      <c r="AU514" s="15"/>
    </row>
    <row r="515" ht="15.75" customHeight="1">
      <c r="A515" s="15" t="str">
        <f t="shared" si="1"/>
        <v/>
      </c>
      <c r="B515" s="15"/>
      <c r="C515" s="15"/>
      <c r="D515" s="15"/>
      <c r="E515" s="15"/>
      <c r="F515" s="43"/>
      <c r="G515" s="15"/>
      <c r="H515" s="43"/>
      <c r="I515" s="15"/>
      <c r="J515" s="15"/>
      <c r="K515" s="78"/>
      <c r="L515" s="78"/>
      <c r="M515" s="78"/>
      <c r="N515" s="78"/>
      <c r="O515" s="78"/>
      <c r="P515" s="80"/>
      <c r="Q515" s="81"/>
      <c r="R515" s="82"/>
      <c r="S515" s="15"/>
      <c r="T515" s="15"/>
      <c r="U515" s="83"/>
      <c r="V515" s="81"/>
      <c r="W515" s="83"/>
      <c r="X515" s="81"/>
      <c r="Y515" s="83"/>
      <c r="Z515" s="81"/>
      <c r="AA515" s="37"/>
      <c r="AB515" s="37"/>
      <c r="AC515" s="15"/>
      <c r="AD515" s="9"/>
      <c r="AE515" s="38"/>
      <c r="AF515" s="38" t="str">
        <f t="shared" si="36"/>
        <v/>
      </c>
      <c r="AG515" s="15" t="str">
        <f t="shared" si="37"/>
        <v/>
      </c>
      <c r="AH515" s="15"/>
      <c r="AI515" s="15"/>
      <c r="AJ515" s="15"/>
      <c r="AK515" s="15"/>
      <c r="AL515" s="15"/>
      <c r="AM515" s="15"/>
      <c r="AN515" s="9"/>
      <c r="AO515" s="9"/>
      <c r="AP515" s="9"/>
      <c r="AQ515" s="9"/>
      <c r="AR515" s="9" t="str">
        <f t="shared" si="38"/>
        <v/>
      </c>
      <c r="AS515" s="15"/>
      <c r="AT515" s="15"/>
      <c r="AU515" s="15"/>
    </row>
    <row r="516" ht="15.75" customHeight="1">
      <c r="A516" s="15" t="str">
        <f t="shared" si="1"/>
        <v/>
      </c>
      <c r="B516" s="15"/>
      <c r="C516" s="15"/>
      <c r="D516" s="15"/>
      <c r="E516" s="15"/>
      <c r="F516" s="43"/>
      <c r="G516" s="15"/>
      <c r="H516" s="43"/>
      <c r="I516" s="15"/>
      <c r="J516" s="15"/>
      <c r="K516" s="78"/>
      <c r="L516" s="78"/>
      <c r="M516" s="78"/>
      <c r="N516" s="78"/>
      <c r="O516" s="78"/>
      <c r="P516" s="80"/>
      <c r="Q516" s="81"/>
      <c r="R516" s="82"/>
      <c r="S516" s="15"/>
      <c r="T516" s="15"/>
      <c r="U516" s="83"/>
      <c r="V516" s="81"/>
      <c r="W516" s="83"/>
      <c r="X516" s="81"/>
      <c r="Y516" s="83"/>
      <c r="Z516" s="81"/>
      <c r="AA516" s="37"/>
      <c r="AB516" s="37"/>
      <c r="AC516" s="15"/>
      <c r="AD516" s="9"/>
      <c r="AE516" s="38"/>
      <c r="AF516" s="38" t="str">
        <f t="shared" si="36"/>
        <v/>
      </c>
      <c r="AG516" s="15" t="str">
        <f t="shared" si="37"/>
        <v/>
      </c>
      <c r="AH516" s="15"/>
      <c r="AI516" s="15"/>
      <c r="AJ516" s="15"/>
      <c r="AK516" s="15"/>
      <c r="AL516" s="15"/>
      <c r="AM516" s="15"/>
      <c r="AN516" s="9"/>
      <c r="AO516" s="9"/>
      <c r="AP516" s="9"/>
      <c r="AQ516" s="9"/>
      <c r="AR516" s="9" t="str">
        <f t="shared" si="38"/>
        <v/>
      </c>
      <c r="AS516" s="15"/>
      <c r="AT516" s="15"/>
      <c r="AU516" s="15"/>
    </row>
    <row r="517" ht="15.75" customHeight="1">
      <c r="A517" s="15" t="str">
        <f t="shared" si="1"/>
        <v/>
      </c>
      <c r="B517" s="15"/>
      <c r="C517" s="15"/>
      <c r="D517" s="15"/>
      <c r="E517" s="15"/>
      <c r="F517" s="43"/>
      <c r="G517" s="15"/>
      <c r="H517" s="43"/>
      <c r="I517" s="15"/>
      <c r="J517" s="15"/>
      <c r="K517" s="78"/>
      <c r="L517" s="78"/>
      <c r="M517" s="78"/>
      <c r="N517" s="78"/>
      <c r="O517" s="78"/>
      <c r="P517" s="80"/>
      <c r="Q517" s="81"/>
      <c r="R517" s="82"/>
      <c r="S517" s="15"/>
      <c r="T517" s="15"/>
      <c r="U517" s="83"/>
      <c r="V517" s="81"/>
      <c r="W517" s="83"/>
      <c r="X517" s="81"/>
      <c r="Y517" s="83"/>
      <c r="Z517" s="81"/>
      <c r="AA517" s="37"/>
      <c r="AB517" s="37"/>
      <c r="AC517" s="15"/>
      <c r="AD517" s="9"/>
      <c r="AE517" s="38"/>
      <c r="AF517" s="38" t="str">
        <f t="shared" si="36"/>
        <v/>
      </c>
      <c r="AG517" s="15" t="str">
        <f t="shared" si="37"/>
        <v/>
      </c>
      <c r="AH517" s="15"/>
      <c r="AI517" s="15"/>
      <c r="AJ517" s="15"/>
      <c r="AK517" s="15"/>
      <c r="AL517" s="15"/>
      <c r="AM517" s="15"/>
      <c r="AN517" s="9"/>
      <c r="AO517" s="9"/>
      <c r="AP517" s="9"/>
      <c r="AQ517" s="9"/>
      <c r="AR517" s="9" t="str">
        <f t="shared" si="38"/>
        <v/>
      </c>
      <c r="AS517" s="15"/>
      <c r="AT517" s="15"/>
      <c r="AU517" s="15"/>
    </row>
    <row r="518" ht="15.75" customHeight="1">
      <c r="A518" s="15" t="str">
        <f t="shared" si="1"/>
        <v/>
      </c>
      <c r="B518" s="15"/>
      <c r="C518" s="15"/>
      <c r="D518" s="15"/>
      <c r="E518" s="15"/>
      <c r="F518" s="43"/>
      <c r="G518" s="15"/>
      <c r="H518" s="43"/>
      <c r="I518" s="15"/>
      <c r="J518" s="15"/>
      <c r="K518" s="78"/>
      <c r="L518" s="78"/>
      <c r="M518" s="78"/>
      <c r="N518" s="78"/>
      <c r="O518" s="78"/>
      <c r="P518" s="80"/>
      <c r="Q518" s="81"/>
      <c r="R518" s="82"/>
      <c r="S518" s="15"/>
      <c r="T518" s="15"/>
      <c r="U518" s="83"/>
      <c r="V518" s="81"/>
      <c r="W518" s="83"/>
      <c r="X518" s="81"/>
      <c r="Y518" s="83"/>
      <c r="Z518" s="81"/>
      <c r="AA518" s="37"/>
      <c r="AB518" s="37"/>
      <c r="AC518" s="15"/>
      <c r="AD518" s="9"/>
      <c r="AE518" s="38"/>
      <c r="AF518" s="38" t="str">
        <f t="shared" si="36"/>
        <v/>
      </c>
      <c r="AG518" s="15" t="str">
        <f t="shared" si="37"/>
        <v/>
      </c>
      <c r="AH518" s="15"/>
      <c r="AI518" s="15"/>
      <c r="AJ518" s="15"/>
      <c r="AK518" s="15"/>
      <c r="AL518" s="15"/>
      <c r="AM518" s="15"/>
      <c r="AN518" s="9"/>
      <c r="AO518" s="9"/>
      <c r="AP518" s="9"/>
      <c r="AQ518" s="9"/>
      <c r="AR518" s="9" t="str">
        <f t="shared" si="38"/>
        <v/>
      </c>
      <c r="AS518" s="15"/>
      <c r="AT518" s="15"/>
      <c r="AU518" s="15"/>
    </row>
    <row r="519" ht="15.75" customHeight="1">
      <c r="A519" s="15" t="str">
        <f t="shared" si="1"/>
        <v/>
      </c>
      <c r="B519" s="15"/>
      <c r="C519" s="15"/>
      <c r="D519" s="15"/>
      <c r="E519" s="15"/>
      <c r="F519" s="43"/>
      <c r="G519" s="15"/>
      <c r="H519" s="43"/>
      <c r="I519" s="15"/>
      <c r="J519" s="15"/>
      <c r="K519" s="78"/>
      <c r="L519" s="78"/>
      <c r="M519" s="78"/>
      <c r="N519" s="78"/>
      <c r="O519" s="78"/>
      <c r="P519" s="80"/>
      <c r="Q519" s="81"/>
      <c r="R519" s="82"/>
      <c r="S519" s="15"/>
      <c r="T519" s="15"/>
      <c r="U519" s="83"/>
      <c r="V519" s="81"/>
      <c r="W519" s="83"/>
      <c r="X519" s="81"/>
      <c r="Y519" s="83"/>
      <c r="Z519" s="81"/>
      <c r="AA519" s="37"/>
      <c r="AB519" s="37"/>
      <c r="AC519" s="15"/>
      <c r="AD519" s="9"/>
      <c r="AE519" s="38"/>
      <c r="AF519" s="38" t="str">
        <f t="shared" si="36"/>
        <v/>
      </c>
      <c r="AG519" s="15" t="str">
        <f t="shared" si="37"/>
        <v/>
      </c>
      <c r="AH519" s="15"/>
      <c r="AI519" s="15"/>
      <c r="AJ519" s="15"/>
      <c r="AK519" s="15"/>
      <c r="AL519" s="15"/>
      <c r="AM519" s="15"/>
      <c r="AN519" s="9"/>
      <c r="AO519" s="9"/>
      <c r="AP519" s="9"/>
      <c r="AQ519" s="9"/>
      <c r="AR519" s="9" t="str">
        <f t="shared" si="38"/>
        <v/>
      </c>
      <c r="AS519" s="15"/>
      <c r="AT519" s="15"/>
      <c r="AU519" s="15"/>
    </row>
    <row r="520" ht="15.75" customHeight="1">
      <c r="A520" s="15" t="str">
        <f t="shared" si="1"/>
        <v/>
      </c>
      <c r="B520" s="15"/>
      <c r="C520" s="15"/>
      <c r="D520" s="15"/>
      <c r="E520" s="15"/>
      <c r="F520" s="43"/>
      <c r="G520" s="15"/>
      <c r="H520" s="43"/>
      <c r="I520" s="15"/>
      <c r="J520" s="15"/>
      <c r="K520" s="78"/>
      <c r="L520" s="78"/>
      <c r="M520" s="78"/>
      <c r="N520" s="78"/>
      <c r="O520" s="78"/>
      <c r="P520" s="80"/>
      <c r="Q520" s="81"/>
      <c r="R520" s="82"/>
      <c r="S520" s="15"/>
      <c r="T520" s="15"/>
      <c r="U520" s="83"/>
      <c r="V520" s="81"/>
      <c r="W520" s="83"/>
      <c r="X520" s="81"/>
      <c r="Y520" s="83"/>
      <c r="Z520" s="81"/>
      <c r="AA520" s="37"/>
      <c r="AB520" s="37"/>
      <c r="AC520" s="15"/>
      <c r="AD520" s="9"/>
      <c r="AE520" s="38"/>
      <c r="AF520" s="38" t="str">
        <f t="shared" si="36"/>
        <v/>
      </c>
      <c r="AG520" s="15" t="str">
        <f t="shared" si="37"/>
        <v/>
      </c>
      <c r="AH520" s="15"/>
      <c r="AI520" s="15"/>
      <c r="AJ520" s="15"/>
      <c r="AK520" s="15"/>
      <c r="AL520" s="15"/>
      <c r="AM520" s="15"/>
      <c r="AN520" s="9"/>
      <c r="AO520" s="9"/>
      <c r="AP520" s="9"/>
      <c r="AQ520" s="9"/>
      <c r="AR520" s="9" t="str">
        <f t="shared" si="38"/>
        <v/>
      </c>
      <c r="AS520" s="15"/>
      <c r="AT520" s="15"/>
      <c r="AU520" s="15"/>
    </row>
    <row r="521" ht="15.75" customHeight="1">
      <c r="A521" s="15" t="str">
        <f t="shared" si="1"/>
        <v/>
      </c>
      <c r="B521" s="15"/>
      <c r="C521" s="15"/>
      <c r="D521" s="15"/>
      <c r="E521" s="15"/>
      <c r="F521" s="43"/>
      <c r="G521" s="15"/>
      <c r="H521" s="43"/>
      <c r="I521" s="15"/>
      <c r="J521" s="15"/>
      <c r="K521" s="78"/>
      <c r="L521" s="78"/>
      <c r="M521" s="78"/>
      <c r="N521" s="78"/>
      <c r="O521" s="78"/>
      <c r="P521" s="80"/>
      <c r="Q521" s="81"/>
      <c r="R521" s="82"/>
      <c r="S521" s="15"/>
      <c r="T521" s="15"/>
      <c r="U521" s="83"/>
      <c r="V521" s="81"/>
      <c r="W521" s="83"/>
      <c r="X521" s="81"/>
      <c r="Y521" s="83"/>
      <c r="Z521" s="81"/>
      <c r="AA521" s="37"/>
      <c r="AB521" s="37"/>
      <c r="AC521" s="15"/>
      <c r="AD521" s="9"/>
      <c r="AE521" s="38"/>
      <c r="AF521" s="38" t="str">
        <f t="shared" si="36"/>
        <v/>
      </c>
      <c r="AG521" s="15" t="str">
        <f t="shared" si="37"/>
        <v/>
      </c>
      <c r="AH521" s="15"/>
      <c r="AI521" s="15"/>
      <c r="AJ521" s="15"/>
      <c r="AK521" s="15"/>
      <c r="AL521" s="15"/>
      <c r="AM521" s="15"/>
      <c r="AN521" s="9"/>
      <c r="AO521" s="9"/>
      <c r="AP521" s="9"/>
      <c r="AQ521" s="9"/>
      <c r="AR521" s="9" t="str">
        <f t="shared" si="38"/>
        <v/>
      </c>
      <c r="AS521" s="15"/>
      <c r="AT521" s="15"/>
      <c r="AU521" s="15"/>
    </row>
    <row r="522" ht="15.75" customHeight="1">
      <c r="A522" s="15" t="str">
        <f t="shared" si="1"/>
        <v/>
      </c>
      <c r="B522" s="15"/>
      <c r="C522" s="15"/>
      <c r="D522" s="15"/>
      <c r="E522" s="15"/>
      <c r="F522" s="43"/>
      <c r="G522" s="15"/>
      <c r="H522" s="43"/>
      <c r="I522" s="15"/>
      <c r="J522" s="15"/>
      <c r="K522" s="78"/>
      <c r="L522" s="78"/>
      <c r="M522" s="78"/>
      <c r="N522" s="78"/>
      <c r="O522" s="78"/>
      <c r="P522" s="80"/>
      <c r="Q522" s="81"/>
      <c r="R522" s="82"/>
      <c r="S522" s="15"/>
      <c r="T522" s="15"/>
      <c r="U522" s="83"/>
      <c r="V522" s="81"/>
      <c r="W522" s="83"/>
      <c r="X522" s="81"/>
      <c r="Y522" s="83"/>
      <c r="Z522" s="81"/>
      <c r="AA522" s="37"/>
      <c r="AB522" s="37"/>
      <c r="AC522" s="15"/>
      <c r="AD522" s="9"/>
      <c r="AE522" s="38"/>
      <c r="AF522" s="38" t="str">
        <f t="shared" si="36"/>
        <v/>
      </c>
      <c r="AG522" s="15" t="str">
        <f t="shared" si="37"/>
        <v/>
      </c>
      <c r="AH522" s="15"/>
      <c r="AI522" s="15"/>
      <c r="AJ522" s="15"/>
      <c r="AK522" s="15"/>
      <c r="AL522" s="15"/>
      <c r="AM522" s="15"/>
      <c r="AN522" s="9"/>
      <c r="AO522" s="9"/>
      <c r="AP522" s="9"/>
      <c r="AQ522" s="9"/>
      <c r="AR522" s="9" t="str">
        <f t="shared" si="38"/>
        <v/>
      </c>
      <c r="AS522" s="15"/>
      <c r="AT522" s="15"/>
      <c r="AU522" s="15"/>
    </row>
    <row r="523" ht="15.75" customHeight="1">
      <c r="A523" s="15" t="str">
        <f t="shared" si="1"/>
        <v/>
      </c>
      <c r="B523" s="15"/>
      <c r="C523" s="15"/>
      <c r="D523" s="15"/>
      <c r="E523" s="15"/>
      <c r="F523" s="43"/>
      <c r="G523" s="15"/>
      <c r="H523" s="43"/>
      <c r="I523" s="15"/>
      <c r="J523" s="15"/>
      <c r="K523" s="78"/>
      <c r="L523" s="78"/>
      <c r="M523" s="78"/>
      <c r="N523" s="78"/>
      <c r="O523" s="78"/>
      <c r="P523" s="80"/>
      <c r="Q523" s="81"/>
      <c r="R523" s="82"/>
      <c r="S523" s="15"/>
      <c r="T523" s="15"/>
      <c r="U523" s="83"/>
      <c r="V523" s="81"/>
      <c r="W523" s="83"/>
      <c r="X523" s="81"/>
      <c r="Y523" s="83"/>
      <c r="Z523" s="81"/>
      <c r="AA523" s="37"/>
      <c r="AB523" s="37"/>
      <c r="AC523" s="15"/>
      <c r="AD523" s="9"/>
      <c r="AE523" s="38"/>
      <c r="AF523" s="38" t="str">
        <f t="shared" si="36"/>
        <v/>
      </c>
      <c r="AG523" s="15" t="str">
        <f t="shared" si="37"/>
        <v/>
      </c>
      <c r="AH523" s="15"/>
      <c r="AI523" s="15"/>
      <c r="AJ523" s="15"/>
      <c r="AK523" s="15"/>
      <c r="AL523" s="15"/>
      <c r="AM523" s="15"/>
      <c r="AN523" s="9"/>
      <c r="AO523" s="9"/>
      <c r="AP523" s="9"/>
      <c r="AQ523" s="9"/>
      <c r="AR523" s="9" t="str">
        <f t="shared" si="38"/>
        <v/>
      </c>
      <c r="AS523" s="15"/>
      <c r="AT523" s="15"/>
      <c r="AU523" s="15"/>
    </row>
    <row r="524" ht="15.75" customHeight="1">
      <c r="A524" s="15" t="str">
        <f t="shared" si="1"/>
        <v/>
      </c>
      <c r="B524" s="15"/>
      <c r="C524" s="15"/>
      <c r="D524" s="15"/>
      <c r="E524" s="15"/>
      <c r="F524" s="43"/>
      <c r="G524" s="15"/>
      <c r="H524" s="43"/>
      <c r="I524" s="15"/>
      <c r="J524" s="15"/>
      <c r="K524" s="78"/>
      <c r="L524" s="78"/>
      <c r="M524" s="78"/>
      <c r="N524" s="78"/>
      <c r="O524" s="78"/>
      <c r="P524" s="80"/>
      <c r="Q524" s="81"/>
      <c r="R524" s="82"/>
      <c r="S524" s="15"/>
      <c r="T524" s="15"/>
      <c r="U524" s="83"/>
      <c r="V524" s="81"/>
      <c r="W524" s="83"/>
      <c r="X524" s="81"/>
      <c r="Y524" s="83"/>
      <c r="Z524" s="81"/>
      <c r="AA524" s="37"/>
      <c r="AB524" s="37"/>
      <c r="AC524" s="15"/>
      <c r="AD524" s="9"/>
      <c r="AE524" s="38"/>
      <c r="AF524" s="38" t="str">
        <f t="shared" si="36"/>
        <v/>
      </c>
      <c r="AG524" s="15" t="str">
        <f t="shared" si="37"/>
        <v/>
      </c>
      <c r="AH524" s="15"/>
      <c r="AI524" s="15"/>
      <c r="AJ524" s="15"/>
      <c r="AK524" s="15"/>
      <c r="AL524" s="15"/>
      <c r="AM524" s="15"/>
      <c r="AN524" s="9"/>
      <c r="AO524" s="9"/>
      <c r="AP524" s="9"/>
      <c r="AQ524" s="9"/>
      <c r="AR524" s="9" t="str">
        <f t="shared" si="38"/>
        <v/>
      </c>
      <c r="AS524" s="15"/>
      <c r="AT524" s="15"/>
      <c r="AU524" s="15"/>
    </row>
    <row r="525" ht="15.75" customHeight="1">
      <c r="A525" s="15" t="str">
        <f t="shared" si="1"/>
        <v/>
      </c>
      <c r="B525" s="15"/>
      <c r="C525" s="15"/>
      <c r="D525" s="15"/>
      <c r="E525" s="15"/>
      <c r="F525" s="43"/>
      <c r="G525" s="15"/>
      <c r="H525" s="43"/>
      <c r="I525" s="15"/>
      <c r="J525" s="15"/>
      <c r="K525" s="78"/>
      <c r="L525" s="78"/>
      <c r="M525" s="78"/>
      <c r="N525" s="78"/>
      <c r="O525" s="78"/>
      <c r="P525" s="80"/>
      <c r="Q525" s="81"/>
      <c r="R525" s="82"/>
      <c r="S525" s="15"/>
      <c r="T525" s="15"/>
      <c r="U525" s="83"/>
      <c r="V525" s="81"/>
      <c r="W525" s="83"/>
      <c r="X525" s="81"/>
      <c r="Y525" s="83"/>
      <c r="Z525" s="81"/>
      <c r="AA525" s="37"/>
      <c r="AB525" s="37"/>
      <c r="AC525" s="15"/>
      <c r="AD525" s="9"/>
      <c r="AE525" s="38"/>
      <c r="AF525" s="38" t="str">
        <f t="shared" si="36"/>
        <v/>
      </c>
      <c r="AG525" s="15" t="str">
        <f t="shared" si="37"/>
        <v/>
      </c>
      <c r="AH525" s="15"/>
      <c r="AI525" s="15"/>
      <c r="AJ525" s="15"/>
      <c r="AK525" s="15"/>
      <c r="AL525" s="15"/>
      <c r="AM525" s="15"/>
      <c r="AN525" s="9"/>
      <c r="AO525" s="9"/>
      <c r="AP525" s="9"/>
      <c r="AQ525" s="9"/>
      <c r="AR525" s="9" t="str">
        <f t="shared" si="38"/>
        <v/>
      </c>
      <c r="AS525" s="15"/>
      <c r="AT525" s="15"/>
      <c r="AU525" s="15"/>
    </row>
    <row r="526" ht="15.75" customHeight="1">
      <c r="A526" s="15" t="str">
        <f t="shared" si="1"/>
        <v/>
      </c>
      <c r="B526" s="15"/>
      <c r="C526" s="15"/>
      <c r="D526" s="15"/>
      <c r="E526" s="15"/>
      <c r="F526" s="43"/>
      <c r="G526" s="15"/>
      <c r="H526" s="43"/>
      <c r="I526" s="15"/>
      <c r="J526" s="15"/>
      <c r="K526" s="78"/>
      <c r="L526" s="78"/>
      <c r="M526" s="78"/>
      <c r="N526" s="78"/>
      <c r="O526" s="78"/>
      <c r="P526" s="80"/>
      <c r="Q526" s="81"/>
      <c r="R526" s="82"/>
      <c r="S526" s="15"/>
      <c r="T526" s="15"/>
      <c r="U526" s="83"/>
      <c r="V526" s="81"/>
      <c r="W526" s="83"/>
      <c r="X526" s="81"/>
      <c r="Y526" s="83"/>
      <c r="Z526" s="81"/>
      <c r="AA526" s="37"/>
      <c r="AB526" s="37"/>
      <c r="AC526" s="15"/>
      <c r="AD526" s="9"/>
      <c r="AE526" s="38"/>
      <c r="AF526" s="38" t="str">
        <f t="shared" si="36"/>
        <v/>
      </c>
      <c r="AG526" s="15" t="str">
        <f t="shared" si="37"/>
        <v/>
      </c>
      <c r="AH526" s="15"/>
      <c r="AI526" s="15"/>
      <c r="AJ526" s="15"/>
      <c r="AK526" s="15"/>
      <c r="AL526" s="15"/>
      <c r="AM526" s="15"/>
      <c r="AN526" s="9"/>
      <c r="AO526" s="9"/>
      <c r="AP526" s="9"/>
      <c r="AQ526" s="9"/>
      <c r="AR526" s="9" t="str">
        <f t="shared" si="38"/>
        <v/>
      </c>
      <c r="AS526" s="15"/>
      <c r="AT526" s="15"/>
      <c r="AU526" s="15"/>
    </row>
    <row r="527" ht="15.75" customHeight="1">
      <c r="A527" s="15" t="str">
        <f t="shared" si="1"/>
        <v/>
      </c>
      <c r="B527" s="15"/>
      <c r="C527" s="15"/>
      <c r="D527" s="15"/>
      <c r="E527" s="15"/>
      <c r="F527" s="43"/>
      <c r="G527" s="15"/>
      <c r="H527" s="43"/>
      <c r="I527" s="15"/>
      <c r="J527" s="15"/>
      <c r="K527" s="78"/>
      <c r="L527" s="78"/>
      <c r="M527" s="78"/>
      <c r="N527" s="78"/>
      <c r="O527" s="78"/>
      <c r="P527" s="80"/>
      <c r="Q527" s="81"/>
      <c r="R527" s="82"/>
      <c r="S527" s="15"/>
      <c r="T527" s="15"/>
      <c r="U527" s="83"/>
      <c r="V527" s="81"/>
      <c r="W527" s="83"/>
      <c r="X527" s="81"/>
      <c r="Y527" s="83"/>
      <c r="Z527" s="81"/>
      <c r="AA527" s="37"/>
      <c r="AB527" s="37"/>
      <c r="AC527" s="15"/>
      <c r="AD527" s="9"/>
      <c r="AE527" s="38"/>
      <c r="AF527" s="38" t="str">
        <f t="shared" si="36"/>
        <v/>
      </c>
      <c r="AG527" s="15" t="str">
        <f t="shared" si="37"/>
        <v/>
      </c>
      <c r="AH527" s="15"/>
      <c r="AI527" s="15"/>
      <c r="AJ527" s="15"/>
      <c r="AK527" s="15"/>
      <c r="AL527" s="15"/>
      <c r="AM527" s="15"/>
      <c r="AN527" s="9"/>
      <c r="AO527" s="9"/>
      <c r="AP527" s="9"/>
      <c r="AQ527" s="9"/>
      <c r="AR527" s="9" t="str">
        <f t="shared" si="38"/>
        <v/>
      </c>
      <c r="AS527" s="15"/>
      <c r="AT527" s="15"/>
      <c r="AU527" s="15"/>
    </row>
    <row r="528" ht="15.75" customHeight="1">
      <c r="A528" s="15" t="str">
        <f t="shared" si="1"/>
        <v/>
      </c>
      <c r="B528" s="15"/>
      <c r="C528" s="15"/>
      <c r="D528" s="15"/>
      <c r="E528" s="15"/>
      <c r="F528" s="43"/>
      <c r="G528" s="15"/>
      <c r="H528" s="43"/>
      <c r="I528" s="15"/>
      <c r="J528" s="15"/>
      <c r="K528" s="78"/>
      <c r="L528" s="78"/>
      <c r="M528" s="78"/>
      <c r="N528" s="78"/>
      <c r="O528" s="78"/>
      <c r="P528" s="80"/>
      <c r="Q528" s="81"/>
      <c r="R528" s="82"/>
      <c r="S528" s="15"/>
      <c r="T528" s="15"/>
      <c r="U528" s="83"/>
      <c r="V528" s="81"/>
      <c r="W528" s="83"/>
      <c r="X528" s="81"/>
      <c r="Y528" s="83"/>
      <c r="Z528" s="81"/>
      <c r="AA528" s="37"/>
      <c r="AB528" s="37"/>
      <c r="AC528" s="15"/>
      <c r="AD528" s="9"/>
      <c r="AE528" s="38"/>
      <c r="AF528" s="38" t="str">
        <f t="shared" si="36"/>
        <v/>
      </c>
      <c r="AG528" s="15" t="str">
        <f t="shared" si="37"/>
        <v/>
      </c>
      <c r="AH528" s="15"/>
      <c r="AI528" s="15"/>
      <c r="AJ528" s="15"/>
      <c r="AK528" s="15"/>
      <c r="AL528" s="15"/>
      <c r="AM528" s="15"/>
      <c r="AN528" s="9"/>
      <c r="AO528" s="9"/>
      <c r="AP528" s="9"/>
      <c r="AQ528" s="9"/>
      <c r="AR528" s="9" t="str">
        <f t="shared" si="38"/>
        <v/>
      </c>
      <c r="AS528" s="15"/>
      <c r="AT528" s="15"/>
      <c r="AU528" s="15"/>
    </row>
    <row r="529" ht="15.75" customHeight="1">
      <c r="A529" s="15" t="str">
        <f t="shared" si="1"/>
        <v/>
      </c>
      <c r="B529" s="15"/>
      <c r="C529" s="15"/>
      <c r="D529" s="15"/>
      <c r="E529" s="15"/>
      <c r="F529" s="43"/>
      <c r="G529" s="15"/>
      <c r="H529" s="43"/>
      <c r="I529" s="15"/>
      <c r="J529" s="15"/>
      <c r="K529" s="78"/>
      <c r="L529" s="78"/>
      <c r="M529" s="78"/>
      <c r="N529" s="78"/>
      <c r="O529" s="78"/>
      <c r="P529" s="80"/>
      <c r="Q529" s="81"/>
      <c r="R529" s="82"/>
      <c r="S529" s="15"/>
      <c r="T529" s="15"/>
      <c r="U529" s="83"/>
      <c r="V529" s="81"/>
      <c r="W529" s="83"/>
      <c r="X529" s="81"/>
      <c r="Y529" s="83"/>
      <c r="Z529" s="81"/>
      <c r="AA529" s="37"/>
      <c r="AB529" s="37"/>
      <c r="AC529" s="15"/>
      <c r="AD529" s="9"/>
      <c r="AE529" s="38"/>
      <c r="AF529" s="38" t="str">
        <f t="shared" si="36"/>
        <v/>
      </c>
      <c r="AG529" s="15" t="str">
        <f t="shared" si="37"/>
        <v/>
      </c>
      <c r="AH529" s="15"/>
      <c r="AI529" s="15"/>
      <c r="AJ529" s="15"/>
      <c r="AK529" s="15"/>
      <c r="AL529" s="15"/>
      <c r="AM529" s="15"/>
      <c r="AN529" s="9"/>
      <c r="AO529" s="9"/>
      <c r="AP529" s="9"/>
      <c r="AQ529" s="9"/>
      <c r="AR529" s="9" t="str">
        <f t="shared" si="38"/>
        <v/>
      </c>
      <c r="AS529" s="15"/>
      <c r="AT529" s="15"/>
      <c r="AU529" s="15"/>
    </row>
    <row r="530" ht="15.75" customHeight="1">
      <c r="A530" s="15" t="str">
        <f t="shared" si="1"/>
        <v/>
      </c>
      <c r="B530" s="15"/>
      <c r="C530" s="15"/>
      <c r="D530" s="15"/>
      <c r="E530" s="15"/>
      <c r="F530" s="43"/>
      <c r="G530" s="15"/>
      <c r="H530" s="43"/>
      <c r="I530" s="15"/>
      <c r="J530" s="15"/>
      <c r="K530" s="78"/>
      <c r="L530" s="78"/>
      <c r="M530" s="78"/>
      <c r="N530" s="78"/>
      <c r="O530" s="78"/>
      <c r="P530" s="80"/>
      <c r="Q530" s="81"/>
      <c r="R530" s="82"/>
      <c r="S530" s="15"/>
      <c r="T530" s="15"/>
      <c r="U530" s="83"/>
      <c r="V530" s="81"/>
      <c r="W530" s="83"/>
      <c r="X530" s="81"/>
      <c r="Y530" s="83"/>
      <c r="Z530" s="81"/>
      <c r="AA530" s="37"/>
      <c r="AB530" s="37"/>
      <c r="AC530" s="15"/>
      <c r="AD530" s="9"/>
      <c r="AE530" s="38"/>
      <c r="AF530" s="38" t="str">
        <f t="shared" si="36"/>
        <v/>
      </c>
      <c r="AG530" s="15" t="str">
        <f t="shared" si="37"/>
        <v/>
      </c>
      <c r="AH530" s="15"/>
      <c r="AI530" s="15"/>
      <c r="AJ530" s="15"/>
      <c r="AK530" s="15"/>
      <c r="AL530" s="15"/>
      <c r="AM530" s="15"/>
      <c r="AN530" s="9"/>
      <c r="AO530" s="9"/>
      <c r="AP530" s="9"/>
      <c r="AQ530" s="9"/>
      <c r="AR530" s="9" t="str">
        <f t="shared" si="38"/>
        <v/>
      </c>
      <c r="AS530" s="15"/>
      <c r="AT530" s="15"/>
      <c r="AU530" s="15"/>
    </row>
    <row r="531" ht="15.75" customHeight="1">
      <c r="A531" s="15" t="str">
        <f t="shared" si="1"/>
        <v/>
      </c>
      <c r="B531" s="15"/>
      <c r="C531" s="15"/>
      <c r="D531" s="15"/>
      <c r="E531" s="15"/>
      <c r="F531" s="43"/>
      <c r="G531" s="15"/>
      <c r="H531" s="43"/>
      <c r="I531" s="15"/>
      <c r="J531" s="15"/>
      <c r="K531" s="78"/>
      <c r="L531" s="78"/>
      <c r="M531" s="78"/>
      <c r="N531" s="78"/>
      <c r="O531" s="78"/>
      <c r="P531" s="80"/>
      <c r="Q531" s="81"/>
      <c r="R531" s="82"/>
      <c r="S531" s="15"/>
      <c r="T531" s="15"/>
      <c r="U531" s="83"/>
      <c r="V531" s="81"/>
      <c r="W531" s="83"/>
      <c r="X531" s="81"/>
      <c r="Y531" s="83"/>
      <c r="Z531" s="81"/>
      <c r="AA531" s="37"/>
      <c r="AB531" s="37"/>
      <c r="AC531" s="15"/>
      <c r="AD531" s="9"/>
      <c r="AE531" s="38"/>
      <c r="AF531" s="38" t="str">
        <f t="shared" si="36"/>
        <v/>
      </c>
      <c r="AG531" s="15" t="str">
        <f t="shared" si="37"/>
        <v/>
      </c>
      <c r="AH531" s="15"/>
      <c r="AI531" s="15"/>
      <c r="AJ531" s="15"/>
      <c r="AK531" s="15"/>
      <c r="AL531" s="15"/>
      <c r="AM531" s="15"/>
      <c r="AN531" s="9"/>
      <c r="AO531" s="9"/>
      <c r="AP531" s="9"/>
      <c r="AQ531" s="9"/>
      <c r="AR531" s="9" t="str">
        <f t="shared" si="38"/>
        <v/>
      </c>
      <c r="AS531" s="15"/>
      <c r="AT531" s="15"/>
      <c r="AU531" s="15"/>
    </row>
    <row r="532" ht="15.75" customHeight="1">
      <c r="A532" s="15" t="str">
        <f t="shared" si="1"/>
        <v/>
      </c>
      <c r="B532" s="15"/>
      <c r="C532" s="15"/>
      <c r="D532" s="15"/>
      <c r="E532" s="15"/>
      <c r="F532" s="43"/>
      <c r="G532" s="15"/>
      <c r="H532" s="43"/>
      <c r="I532" s="15"/>
      <c r="J532" s="15"/>
      <c r="K532" s="78"/>
      <c r="L532" s="78"/>
      <c r="M532" s="78"/>
      <c r="N532" s="78"/>
      <c r="O532" s="78"/>
      <c r="P532" s="80"/>
      <c r="Q532" s="81"/>
      <c r="R532" s="82"/>
      <c r="S532" s="15"/>
      <c r="T532" s="15"/>
      <c r="U532" s="83"/>
      <c r="V532" s="81"/>
      <c r="W532" s="83"/>
      <c r="X532" s="81"/>
      <c r="Y532" s="83"/>
      <c r="Z532" s="81"/>
      <c r="AA532" s="37"/>
      <c r="AB532" s="37"/>
      <c r="AC532" s="15"/>
      <c r="AD532" s="9"/>
      <c r="AE532" s="38"/>
      <c r="AF532" s="38" t="str">
        <f t="shared" si="36"/>
        <v/>
      </c>
      <c r="AG532" s="15" t="str">
        <f t="shared" si="37"/>
        <v/>
      </c>
      <c r="AH532" s="15"/>
      <c r="AI532" s="15"/>
      <c r="AJ532" s="15"/>
      <c r="AK532" s="15"/>
      <c r="AL532" s="15"/>
      <c r="AM532" s="15"/>
      <c r="AN532" s="9"/>
      <c r="AO532" s="9"/>
      <c r="AP532" s="9"/>
      <c r="AQ532" s="9"/>
      <c r="AR532" s="9" t="str">
        <f t="shared" si="38"/>
        <v/>
      </c>
      <c r="AS532" s="15"/>
      <c r="AT532" s="15"/>
      <c r="AU532" s="15"/>
    </row>
    <row r="533" ht="15.75" customHeight="1">
      <c r="A533" s="15" t="str">
        <f t="shared" si="1"/>
        <v/>
      </c>
      <c r="B533" s="15"/>
      <c r="C533" s="15"/>
      <c r="D533" s="15"/>
      <c r="E533" s="15"/>
      <c r="F533" s="43"/>
      <c r="G533" s="15"/>
      <c r="H533" s="43"/>
      <c r="I533" s="15"/>
      <c r="J533" s="15"/>
      <c r="K533" s="78"/>
      <c r="L533" s="78"/>
      <c r="M533" s="78"/>
      <c r="N533" s="78"/>
      <c r="O533" s="78"/>
      <c r="P533" s="80"/>
      <c r="Q533" s="81"/>
      <c r="R533" s="82"/>
      <c r="S533" s="15"/>
      <c r="T533" s="15"/>
      <c r="U533" s="83"/>
      <c r="V533" s="81"/>
      <c r="W533" s="83"/>
      <c r="X533" s="81"/>
      <c r="Y533" s="83"/>
      <c r="Z533" s="81"/>
      <c r="AA533" s="37"/>
      <c r="AB533" s="37"/>
      <c r="AC533" s="15"/>
      <c r="AD533" s="9"/>
      <c r="AE533" s="38"/>
      <c r="AF533" s="38" t="str">
        <f t="shared" si="36"/>
        <v/>
      </c>
      <c r="AG533" s="15" t="str">
        <f t="shared" si="37"/>
        <v/>
      </c>
      <c r="AH533" s="15"/>
      <c r="AI533" s="15"/>
      <c r="AJ533" s="15"/>
      <c r="AK533" s="15"/>
      <c r="AL533" s="15"/>
      <c r="AM533" s="15"/>
      <c r="AN533" s="9"/>
      <c r="AO533" s="9"/>
      <c r="AP533" s="9"/>
      <c r="AQ533" s="9"/>
      <c r="AR533" s="9" t="str">
        <f t="shared" si="38"/>
        <v/>
      </c>
      <c r="AS533" s="15"/>
      <c r="AT533" s="15"/>
      <c r="AU533" s="15"/>
    </row>
    <row r="534" ht="15.75" customHeight="1">
      <c r="A534" s="15" t="str">
        <f t="shared" si="1"/>
        <v/>
      </c>
      <c r="B534" s="15"/>
      <c r="C534" s="15"/>
      <c r="D534" s="15"/>
      <c r="E534" s="15"/>
      <c r="F534" s="43"/>
      <c r="G534" s="15"/>
      <c r="H534" s="43"/>
      <c r="I534" s="15"/>
      <c r="J534" s="15"/>
      <c r="K534" s="78"/>
      <c r="L534" s="78"/>
      <c r="M534" s="78"/>
      <c r="N534" s="78"/>
      <c r="O534" s="78"/>
      <c r="P534" s="80"/>
      <c r="Q534" s="81"/>
      <c r="R534" s="82"/>
      <c r="S534" s="15"/>
      <c r="T534" s="15"/>
      <c r="U534" s="83"/>
      <c r="V534" s="81"/>
      <c r="W534" s="83"/>
      <c r="X534" s="81"/>
      <c r="Y534" s="83"/>
      <c r="Z534" s="81"/>
      <c r="AA534" s="37"/>
      <c r="AB534" s="37"/>
      <c r="AC534" s="15"/>
      <c r="AD534" s="9"/>
      <c r="AE534" s="38"/>
      <c r="AF534" s="38" t="str">
        <f t="shared" si="36"/>
        <v/>
      </c>
      <c r="AG534" s="15" t="str">
        <f t="shared" si="37"/>
        <v/>
      </c>
      <c r="AH534" s="15"/>
      <c r="AI534" s="15"/>
      <c r="AJ534" s="15"/>
      <c r="AK534" s="15"/>
      <c r="AL534" s="15"/>
      <c r="AM534" s="15"/>
      <c r="AN534" s="9"/>
      <c r="AO534" s="9"/>
      <c r="AP534" s="9"/>
      <c r="AQ534" s="9"/>
      <c r="AR534" s="9" t="str">
        <f t="shared" si="38"/>
        <v/>
      </c>
      <c r="AS534" s="15"/>
      <c r="AT534" s="15"/>
      <c r="AU534" s="15"/>
    </row>
    <row r="535" ht="15.75" customHeight="1">
      <c r="A535" s="15" t="str">
        <f t="shared" si="1"/>
        <v/>
      </c>
      <c r="B535" s="15"/>
      <c r="C535" s="15"/>
      <c r="D535" s="15"/>
      <c r="E535" s="15"/>
      <c r="F535" s="43"/>
      <c r="G535" s="15"/>
      <c r="H535" s="43"/>
      <c r="I535" s="15"/>
      <c r="J535" s="15"/>
      <c r="K535" s="78"/>
      <c r="L535" s="78"/>
      <c r="M535" s="78"/>
      <c r="N535" s="78"/>
      <c r="O535" s="78"/>
      <c r="P535" s="80"/>
      <c r="Q535" s="81"/>
      <c r="R535" s="82"/>
      <c r="S535" s="15"/>
      <c r="T535" s="15"/>
      <c r="U535" s="83"/>
      <c r="V535" s="81"/>
      <c r="W535" s="83"/>
      <c r="X535" s="81"/>
      <c r="Y535" s="83"/>
      <c r="Z535" s="81"/>
      <c r="AA535" s="37"/>
      <c r="AB535" s="37"/>
      <c r="AC535" s="15"/>
      <c r="AD535" s="9"/>
      <c r="AE535" s="38"/>
      <c r="AF535" s="38" t="str">
        <f t="shared" si="36"/>
        <v/>
      </c>
      <c r="AG535" s="15" t="str">
        <f t="shared" si="37"/>
        <v/>
      </c>
      <c r="AH535" s="15"/>
      <c r="AI535" s="15"/>
      <c r="AJ535" s="15"/>
      <c r="AK535" s="15"/>
      <c r="AL535" s="15"/>
      <c r="AM535" s="15"/>
      <c r="AN535" s="9"/>
      <c r="AO535" s="9"/>
      <c r="AP535" s="9"/>
      <c r="AQ535" s="9"/>
      <c r="AR535" s="9" t="str">
        <f t="shared" si="38"/>
        <v/>
      </c>
      <c r="AS535" s="15"/>
      <c r="AT535" s="15"/>
      <c r="AU535" s="15"/>
    </row>
    <row r="536" ht="15.75" customHeight="1">
      <c r="A536" s="15" t="str">
        <f t="shared" si="1"/>
        <v/>
      </c>
      <c r="B536" s="15"/>
      <c r="C536" s="15"/>
      <c r="D536" s="15"/>
      <c r="E536" s="15"/>
      <c r="F536" s="43"/>
      <c r="G536" s="15"/>
      <c r="H536" s="43"/>
      <c r="I536" s="15"/>
      <c r="J536" s="15"/>
      <c r="K536" s="78"/>
      <c r="L536" s="78"/>
      <c r="M536" s="78"/>
      <c r="N536" s="78"/>
      <c r="O536" s="78"/>
      <c r="P536" s="80"/>
      <c r="Q536" s="81"/>
      <c r="R536" s="82"/>
      <c r="S536" s="15"/>
      <c r="T536" s="15"/>
      <c r="U536" s="83"/>
      <c r="V536" s="81"/>
      <c r="W536" s="83"/>
      <c r="X536" s="81"/>
      <c r="Y536" s="83"/>
      <c r="Z536" s="81"/>
      <c r="AA536" s="37"/>
      <c r="AB536" s="37"/>
      <c r="AC536" s="15"/>
      <c r="AD536" s="9"/>
      <c r="AE536" s="38"/>
      <c r="AF536" s="38" t="str">
        <f t="shared" si="36"/>
        <v/>
      </c>
      <c r="AG536" s="15" t="str">
        <f t="shared" si="37"/>
        <v/>
      </c>
      <c r="AH536" s="15"/>
      <c r="AI536" s="15"/>
      <c r="AJ536" s="15"/>
      <c r="AK536" s="15"/>
      <c r="AL536" s="15"/>
      <c r="AM536" s="15"/>
      <c r="AN536" s="9"/>
      <c r="AO536" s="9"/>
      <c r="AP536" s="9"/>
      <c r="AQ536" s="9"/>
      <c r="AR536" s="9" t="str">
        <f t="shared" si="38"/>
        <v/>
      </c>
      <c r="AS536" s="15"/>
      <c r="AT536" s="15"/>
      <c r="AU536" s="15"/>
    </row>
    <row r="537" ht="15.75" customHeight="1">
      <c r="A537" s="15" t="str">
        <f t="shared" si="1"/>
        <v/>
      </c>
      <c r="B537" s="15"/>
      <c r="C537" s="15"/>
      <c r="D537" s="15"/>
      <c r="E537" s="15"/>
      <c r="F537" s="43"/>
      <c r="G537" s="15"/>
      <c r="H537" s="43"/>
      <c r="I537" s="15"/>
      <c r="J537" s="15"/>
      <c r="K537" s="78"/>
      <c r="L537" s="78"/>
      <c r="M537" s="78"/>
      <c r="N537" s="78"/>
      <c r="O537" s="78"/>
      <c r="P537" s="80"/>
      <c r="Q537" s="81"/>
      <c r="R537" s="82"/>
      <c r="S537" s="15"/>
      <c r="T537" s="15"/>
      <c r="U537" s="83"/>
      <c r="V537" s="81"/>
      <c r="W537" s="83"/>
      <c r="X537" s="81"/>
      <c r="Y537" s="83"/>
      <c r="Z537" s="81"/>
      <c r="AA537" s="37"/>
      <c r="AB537" s="37"/>
      <c r="AC537" s="15"/>
      <c r="AD537" s="9"/>
      <c r="AE537" s="38"/>
      <c r="AF537" s="38" t="str">
        <f t="shared" si="36"/>
        <v/>
      </c>
      <c r="AG537" s="15" t="str">
        <f t="shared" si="37"/>
        <v/>
      </c>
      <c r="AH537" s="15"/>
      <c r="AI537" s="15"/>
      <c r="AJ537" s="15"/>
      <c r="AK537" s="15"/>
      <c r="AL537" s="15"/>
      <c r="AM537" s="15"/>
      <c r="AN537" s="9"/>
      <c r="AO537" s="9"/>
      <c r="AP537" s="9"/>
      <c r="AQ537" s="9"/>
      <c r="AR537" s="9" t="str">
        <f t="shared" si="38"/>
        <v/>
      </c>
      <c r="AS537" s="15"/>
      <c r="AT537" s="15"/>
      <c r="AU537" s="15"/>
    </row>
    <row r="538" ht="15.75" customHeight="1">
      <c r="A538" s="15" t="str">
        <f t="shared" si="1"/>
        <v/>
      </c>
      <c r="B538" s="15"/>
      <c r="C538" s="15"/>
      <c r="D538" s="15"/>
      <c r="E538" s="15"/>
      <c r="F538" s="43"/>
      <c r="G538" s="15"/>
      <c r="H538" s="43"/>
      <c r="I538" s="15"/>
      <c r="J538" s="15"/>
      <c r="K538" s="78"/>
      <c r="L538" s="78"/>
      <c r="M538" s="78"/>
      <c r="N538" s="78"/>
      <c r="O538" s="78"/>
      <c r="P538" s="80"/>
      <c r="Q538" s="81"/>
      <c r="R538" s="82"/>
      <c r="S538" s="15"/>
      <c r="T538" s="15"/>
      <c r="U538" s="83"/>
      <c r="V538" s="81"/>
      <c r="W538" s="83"/>
      <c r="X538" s="81"/>
      <c r="Y538" s="83"/>
      <c r="Z538" s="81"/>
      <c r="AA538" s="37"/>
      <c r="AB538" s="37"/>
      <c r="AC538" s="15"/>
      <c r="AD538" s="9"/>
      <c r="AE538" s="38"/>
      <c r="AF538" s="38" t="str">
        <f t="shared" si="36"/>
        <v/>
      </c>
      <c r="AG538" s="15" t="str">
        <f t="shared" si="37"/>
        <v/>
      </c>
      <c r="AH538" s="15"/>
      <c r="AI538" s="15"/>
      <c r="AJ538" s="15"/>
      <c r="AK538" s="15"/>
      <c r="AL538" s="15"/>
      <c r="AM538" s="15"/>
      <c r="AN538" s="9"/>
      <c r="AO538" s="9"/>
      <c r="AP538" s="9"/>
      <c r="AQ538" s="9"/>
      <c r="AR538" s="9" t="str">
        <f t="shared" si="38"/>
        <v/>
      </c>
      <c r="AS538" s="15"/>
      <c r="AT538" s="15"/>
      <c r="AU538" s="15"/>
    </row>
    <row r="539" ht="15.75" customHeight="1">
      <c r="A539" s="15" t="str">
        <f t="shared" si="1"/>
        <v/>
      </c>
      <c r="B539" s="15"/>
      <c r="C539" s="15"/>
      <c r="D539" s="15"/>
      <c r="E539" s="15"/>
      <c r="F539" s="43"/>
      <c r="G539" s="15"/>
      <c r="H539" s="43"/>
      <c r="I539" s="15"/>
      <c r="J539" s="15"/>
      <c r="K539" s="78"/>
      <c r="L539" s="78"/>
      <c r="M539" s="78"/>
      <c r="N539" s="78"/>
      <c r="O539" s="78"/>
      <c r="P539" s="80"/>
      <c r="Q539" s="81"/>
      <c r="R539" s="82"/>
      <c r="S539" s="15"/>
      <c r="T539" s="15"/>
      <c r="U539" s="83"/>
      <c r="V539" s="81"/>
      <c r="W539" s="83"/>
      <c r="X539" s="81"/>
      <c r="Y539" s="83"/>
      <c r="Z539" s="81"/>
      <c r="AA539" s="37"/>
      <c r="AB539" s="37"/>
      <c r="AC539" s="15"/>
      <c r="AD539" s="9"/>
      <c r="AE539" s="38"/>
      <c r="AF539" s="38" t="str">
        <f t="shared" si="36"/>
        <v/>
      </c>
      <c r="AG539" s="15" t="str">
        <f t="shared" si="37"/>
        <v/>
      </c>
      <c r="AH539" s="15"/>
      <c r="AI539" s="15"/>
      <c r="AJ539" s="15"/>
      <c r="AK539" s="15"/>
      <c r="AL539" s="15"/>
      <c r="AM539" s="15"/>
      <c r="AN539" s="9"/>
      <c r="AO539" s="9"/>
      <c r="AP539" s="9"/>
      <c r="AQ539" s="9"/>
      <c r="AR539" s="9" t="str">
        <f t="shared" si="38"/>
        <v/>
      </c>
      <c r="AS539" s="15"/>
      <c r="AT539" s="15"/>
      <c r="AU539" s="15"/>
    </row>
    <row r="540" ht="15.75" customHeight="1">
      <c r="A540" s="15" t="str">
        <f t="shared" si="1"/>
        <v/>
      </c>
      <c r="B540" s="15"/>
      <c r="C540" s="15"/>
      <c r="D540" s="15"/>
      <c r="E540" s="15"/>
      <c r="F540" s="43"/>
      <c r="G540" s="15"/>
      <c r="H540" s="43"/>
      <c r="I540" s="15"/>
      <c r="J540" s="15"/>
      <c r="K540" s="78"/>
      <c r="L540" s="78"/>
      <c r="M540" s="78"/>
      <c r="N540" s="78"/>
      <c r="O540" s="78"/>
      <c r="P540" s="80"/>
      <c r="Q540" s="81"/>
      <c r="R540" s="82"/>
      <c r="S540" s="15"/>
      <c r="T540" s="15"/>
      <c r="U540" s="83"/>
      <c r="V540" s="81"/>
      <c r="W540" s="83"/>
      <c r="X540" s="81"/>
      <c r="Y540" s="83"/>
      <c r="Z540" s="81"/>
      <c r="AA540" s="37"/>
      <c r="AB540" s="37"/>
      <c r="AC540" s="15"/>
      <c r="AD540" s="9"/>
      <c r="AE540" s="38"/>
      <c r="AF540" s="38" t="str">
        <f t="shared" si="36"/>
        <v/>
      </c>
      <c r="AG540" s="15" t="str">
        <f t="shared" si="37"/>
        <v/>
      </c>
      <c r="AH540" s="15"/>
      <c r="AI540" s="15"/>
      <c r="AJ540" s="15"/>
      <c r="AK540" s="15"/>
      <c r="AL540" s="15"/>
      <c r="AM540" s="15"/>
      <c r="AN540" s="9"/>
      <c r="AO540" s="9"/>
      <c r="AP540" s="9"/>
      <c r="AQ540" s="9"/>
      <c r="AR540" s="9" t="str">
        <f t="shared" si="38"/>
        <v/>
      </c>
      <c r="AS540" s="15"/>
      <c r="AT540" s="15"/>
      <c r="AU540" s="15"/>
    </row>
    <row r="541" ht="15.75" customHeight="1">
      <c r="A541" s="15" t="str">
        <f t="shared" si="1"/>
        <v/>
      </c>
      <c r="B541" s="15"/>
      <c r="C541" s="15"/>
      <c r="D541" s="15"/>
      <c r="E541" s="15"/>
      <c r="F541" s="43"/>
      <c r="G541" s="15"/>
      <c r="H541" s="43"/>
      <c r="I541" s="15"/>
      <c r="J541" s="15"/>
      <c r="K541" s="78"/>
      <c r="L541" s="78"/>
      <c r="M541" s="78"/>
      <c r="N541" s="78"/>
      <c r="O541" s="78"/>
      <c r="P541" s="80"/>
      <c r="Q541" s="81"/>
      <c r="R541" s="82"/>
      <c r="S541" s="15"/>
      <c r="T541" s="15"/>
      <c r="U541" s="83"/>
      <c r="V541" s="81"/>
      <c r="W541" s="83"/>
      <c r="X541" s="81"/>
      <c r="Y541" s="83"/>
      <c r="Z541" s="81"/>
      <c r="AA541" s="37"/>
      <c r="AB541" s="37"/>
      <c r="AC541" s="15"/>
      <c r="AD541" s="9"/>
      <c r="AE541" s="38"/>
      <c r="AF541" s="38" t="str">
        <f t="shared" si="36"/>
        <v/>
      </c>
      <c r="AG541" s="15" t="str">
        <f t="shared" si="37"/>
        <v/>
      </c>
      <c r="AH541" s="15"/>
      <c r="AI541" s="15"/>
      <c r="AJ541" s="15"/>
      <c r="AK541" s="15"/>
      <c r="AL541" s="15"/>
      <c r="AM541" s="15"/>
      <c r="AN541" s="9"/>
      <c r="AO541" s="9"/>
      <c r="AP541" s="9"/>
      <c r="AQ541" s="9"/>
      <c r="AR541" s="9" t="str">
        <f t="shared" si="38"/>
        <v/>
      </c>
      <c r="AS541" s="15"/>
      <c r="AT541" s="15"/>
      <c r="AU541" s="15"/>
    </row>
    <row r="542" ht="15.75" customHeight="1">
      <c r="A542" s="15" t="str">
        <f t="shared" si="1"/>
        <v/>
      </c>
      <c r="B542" s="15"/>
      <c r="C542" s="15"/>
      <c r="D542" s="15"/>
      <c r="E542" s="15"/>
      <c r="F542" s="43"/>
      <c r="G542" s="15"/>
      <c r="H542" s="43"/>
      <c r="I542" s="15"/>
      <c r="J542" s="15"/>
      <c r="K542" s="78"/>
      <c r="L542" s="78"/>
      <c r="M542" s="78"/>
      <c r="N542" s="78"/>
      <c r="O542" s="78"/>
      <c r="P542" s="80"/>
      <c r="Q542" s="81"/>
      <c r="R542" s="82"/>
      <c r="S542" s="15"/>
      <c r="T542" s="15"/>
      <c r="U542" s="83"/>
      <c r="V542" s="81"/>
      <c r="W542" s="83"/>
      <c r="X542" s="81"/>
      <c r="Y542" s="83"/>
      <c r="Z542" s="81"/>
      <c r="AA542" s="37"/>
      <c r="AB542" s="37"/>
      <c r="AC542" s="15"/>
      <c r="AD542" s="9"/>
      <c r="AE542" s="38"/>
      <c r="AF542" s="38" t="str">
        <f t="shared" si="36"/>
        <v/>
      </c>
      <c r="AG542" s="15" t="str">
        <f t="shared" si="37"/>
        <v/>
      </c>
      <c r="AH542" s="15"/>
      <c r="AI542" s="15"/>
      <c r="AJ542" s="15"/>
      <c r="AK542" s="15"/>
      <c r="AL542" s="15"/>
      <c r="AM542" s="15"/>
      <c r="AN542" s="9"/>
      <c r="AO542" s="9"/>
      <c r="AP542" s="9"/>
      <c r="AQ542" s="9"/>
      <c r="AR542" s="9" t="str">
        <f t="shared" si="38"/>
        <v/>
      </c>
      <c r="AS542" s="15"/>
      <c r="AT542" s="15"/>
      <c r="AU542" s="15"/>
    </row>
    <row r="543" ht="15.75" customHeight="1">
      <c r="A543" s="15" t="str">
        <f t="shared" si="1"/>
        <v/>
      </c>
      <c r="B543" s="15"/>
      <c r="C543" s="15"/>
      <c r="D543" s="15"/>
      <c r="E543" s="15"/>
      <c r="F543" s="43"/>
      <c r="G543" s="15"/>
      <c r="H543" s="43"/>
      <c r="I543" s="15"/>
      <c r="J543" s="15"/>
      <c r="K543" s="78"/>
      <c r="L543" s="78"/>
      <c r="M543" s="78"/>
      <c r="N543" s="78"/>
      <c r="O543" s="78"/>
      <c r="P543" s="80"/>
      <c r="Q543" s="81"/>
      <c r="R543" s="82"/>
      <c r="S543" s="15"/>
      <c r="T543" s="15"/>
      <c r="U543" s="83"/>
      <c r="V543" s="81"/>
      <c r="W543" s="83"/>
      <c r="X543" s="81"/>
      <c r="Y543" s="83"/>
      <c r="Z543" s="81"/>
      <c r="AA543" s="37"/>
      <c r="AB543" s="37"/>
      <c r="AC543" s="15"/>
      <c r="AD543" s="9"/>
      <c r="AE543" s="38"/>
      <c r="AF543" s="38" t="str">
        <f t="shared" si="36"/>
        <v/>
      </c>
      <c r="AG543" s="15" t="str">
        <f t="shared" si="37"/>
        <v/>
      </c>
      <c r="AH543" s="15"/>
      <c r="AI543" s="15"/>
      <c r="AJ543" s="15"/>
      <c r="AK543" s="15"/>
      <c r="AL543" s="15"/>
      <c r="AM543" s="15"/>
      <c r="AN543" s="9"/>
      <c r="AO543" s="9"/>
      <c r="AP543" s="9"/>
      <c r="AQ543" s="9"/>
      <c r="AR543" s="9" t="str">
        <f t="shared" si="38"/>
        <v/>
      </c>
      <c r="AS543" s="15"/>
      <c r="AT543" s="15"/>
      <c r="AU543" s="15"/>
    </row>
    <row r="544" ht="15.75" customHeight="1">
      <c r="A544" s="15" t="str">
        <f t="shared" si="1"/>
        <v/>
      </c>
      <c r="B544" s="15"/>
      <c r="C544" s="15"/>
      <c r="D544" s="15"/>
      <c r="E544" s="15"/>
      <c r="F544" s="43"/>
      <c r="G544" s="15"/>
      <c r="H544" s="43"/>
      <c r="I544" s="15"/>
      <c r="J544" s="15"/>
      <c r="K544" s="78"/>
      <c r="L544" s="78"/>
      <c r="M544" s="78"/>
      <c r="N544" s="78"/>
      <c r="O544" s="78"/>
      <c r="P544" s="80"/>
      <c r="Q544" s="81"/>
      <c r="R544" s="82"/>
      <c r="S544" s="15"/>
      <c r="T544" s="15"/>
      <c r="U544" s="83"/>
      <c r="V544" s="81"/>
      <c r="W544" s="83"/>
      <c r="X544" s="81"/>
      <c r="Y544" s="83"/>
      <c r="Z544" s="81"/>
      <c r="AA544" s="37"/>
      <c r="AB544" s="37"/>
      <c r="AC544" s="15"/>
      <c r="AD544" s="9"/>
      <c r="AE544" s="38"/>
      <c r="AF544" s="38" t="str">
        <f t="shared" si="36"/>
        <v/>
      </c>
      <c r="AG544" s="15" t="str">
        <f t="shared" si="37"/>
        <v/>
      </c>
      <c r="AH544" s="15"/>
      <c r="AI544" s="15"/>
      <c r="AJ544" s="15"/>
      <c r="AK544" s="15"/>
      <c r="AL544" s="15"/>
      <c r="AM544" s="15"/>
      <c r="AN544" s="9"/>
      <c r="AO544" s="9"/>
      <c r="AP544" s="9"/>
      <c r="AQ544" s="9"/>
      <c r="AR544" s="9" t="str">
        <f t="shared" si="38"/>
        <v/>
      </c>
      <c r="AS544" s="15"/>
      <c r="AT544" s="15"/>
      <c r="AU544" s="15"/>
    </row>
    <row r="545" ht="15.75" customHeight="1">
      <c r="A545" s="15" t="str">
        <f t="shared" si="1"/>
        <v/>
      </c>
      <c r="B545" s="15"/>
      <c r="C545" s="15"/>
      <c r="D545" s="15"/>
      <c r="E545" s="15"/>
      <c r="F545" s="43"/>
      <c r="G545" s="15"/>
      <c r="H545" s="43"/>
      <c r="I545" s="15"/>
      <c r="J545" s="15"/>
      <c r="K545" s="78"/>
      <c r="L545" s="78"/>
      <c r="M545" s="78"/>
      <c r="N545" s="78"/>
      <c r="O545" s="78"/>
      <c r="P545" s="80"/>
      <c r="Q545" s="81"/>
      <c r="R545" s="82"/>
      <c r="S545" s="15"/>
      <c r="T545" s="15"/>
      <c r="U545" s="83"/>
      <c r="V545" s="81"/>
      <c r="W545" s="83"/>
      <c r="X545" s="81"/>
      <c r="Y545" s="83"/>
      <c r="Z545" s="81"/>
      <c r="AA545" s="37"/>
      <c r="AB545" s="37"/>
      <c r="AC545" s="15"/>
      <c r="AD545" s="9"/>
      <c r="AE545" s="38"/>
      <c r="AF545" s="38" t="str">
        <f t="shared" si="36"/>
        <v/>
      </c>
      <c r="AG545" s="15" t="str">
        <f t="shared" si="37"/>
        <v/>
      </c>
      <c r="AH545" s="15"/>
      <c r="AI545" s="15"/>
      <c r="AJ545" s="15"/>
      <c r="AK545" s="15"/>
      <c r="AL545" s="15"/>
      <c r="AM545" s="15"/>
      <c r="AN545" s="9"/>
      <c r="AO545" s="9"/>
      <c r="AP545" s="9"/>
      <c r="AQ545" s="9"/>
      <c r="AR545" s="9" t="str">
        <f t="shared" si="38"/>
        <v/>
      </c>
      <c r="AS545" s="15"/>
      <c r="AT545" s="15"/>
      <c r="AU545" s="15"/>
    </row>
    <row r="546" ht="15.75" customHeight="1">
      <c r="A546" s="15" t="str">
        <f t="shared" si="1"/>
        <v/>
      </c>
      <c r="B546" s="15"/>
      <c r="C546" s="15"/>
      <c r="D546" s="15"/>
      <c r="E546" s="15"/>
      <c r="F546" s="43"/>
      <c r="G546" s="15"/>
      <c r="H546" s="43"/>
      <c r="I546" s="15"/>
      <c r="J546" s="15"/>
      <c r="K546" s="78"/>
      <c r="L546" s="78"/>
      <c r="M546" s="78"/>
      <c r="N546" s="78"/>
      <c r="O546" s="78"/>
      <c r="P546" s="80"/>
      <c r="Q546" s="81"/>
      <c r="R546" s="82"/>
      <c r="S546" s="15"/>
      <c r="T546" s="15"/>
      <c r="U546" s="83"/>
      <c r="V546" s="81"/>
      <c r="W546" s="83"/>
      <c r="X546" s="81"/>
      <c r="Y546" s="83"/>
      <c r="Z546" s="81"/>
      <c r="AA546" s="37"/>
      <c r="AB546" s="37"/>
      <c r="AC546" s="15"/>
      <c r="AD546" s="9"/>
      <c r="AE546" s="38"/>
      <c r="AF546" s="38" t="str">
        <f t="shared" si="36"/>
        <v/>
      </c>
      <c r="AG546" s="15" t="str">
        <f t="shared" si="37"/>
        <v/>
      </c>
      <c r="AH546" s="15"/>
      <c r="AI546" s="15"/>
      <c r="AJ546" s="15"/>
      <c r="AK546" s="15"/>
      <c r="AL546" s="15"/>
      <c r="AM546" s="15"/>
      <c r="AN546" s="9"/>
      <c r="AO546" s="9"/>
      <c r="AP546" s="9"/>
      <c r="AQ546" s="9"/>
      <c r="AR546" s="9" t="str">
        <f t="shared" si="38"/>
        <v/>
      </c>
      <c r="AS546" s="15"/>
      <c r="AT546" s="15"/>
      <c r="AU546" s="15"/>
    </row>
    <row r="547" ht="15.75" customHeight="1">
      <c r="A547" s="15" t="str">
        <f t="shared" si="1"/>
        <v/>
      </c>
      <c r="B547" s="15"/>
      <c r="C547" s="15"/>
      <c r="D547" s="15"/>
      <c r="E547" s="15"/>
      <c r="F547" s="43"/>
      <c r="G547" s="15"/>
      <c r="H547" s="43"/>
      <c r="I547" s="15"/>
      <c r="J547" s="15"/>
      <c r="K547" s="78"/>
      <c r="L547" s="78"/>
      <c r="M547" s="78"/>
      <c r="N547" s="78"/>
      <c r="O547" s="78"/>
      <c r="P547" s="80"/>
      <c r="Q547" s="81"/>
      <c r="R547" s="82"/>
      <c r="S547" s="15"/>
      <c r="T547" s="15"/>
      <c r="U547" s="83"/>
      <c r="V547" s="81"/>
      <c r="W547" s="83"/>
      <c r="X547" s="81"/>
      <c r="Y547" s="83"/>
      <c r="Z547" s="81"/>
      <c r="AA547" s="37"/>
      <c r="AB547" s="37"/>
      <c r="AC547" s="15"/>
      <c r="AD547" s="9"/>
      <c r="AE547" s="38"/>
      <c r="AF547" s="38" t="str">
        <f t="shared" si="36"/>
        <v/>
      </c>
      <c r="AG547" s="15" t="str">
        <f t="shared" si="37"/>
        <v/>
      </c>
      <c r="AH547" s="15"/>
      <c r="AI547" s="15"/>
      <c r="AJ547" s="15"/>
      <c r="AK547" s="15"/>
      <c r="AL547" s="15"/>
      <c r="AM547" s="15"/>
      <c r="AN547" s="9"/>
      <c r="AO547" s="9"/>
      <c r="AP547" s="9"/>
      <c r="AQ547" s="9"/>
      <c r="AR547" s="9" t="str">
        <f t="shared" si="38"/>
        <v/>
      </c>
      <c r="AS547" s="15"/>
      <c r="AT547" s="15"/>
      <c r="AU547" s="15"/>
    </row>
    <row r="548" ht="15.75" customHeight="1">
      <c r="A548" s="15" t="str">
        <f t="shared" si="1"/>
        <v/>
      </c>
      <c r="B548" s="15"/>
      <c r="C548" s="15"/>
      <c r="D548" s="15"/>
      <c r="E548" s="15"/>
      <c r="F548" s="43"/>
      <c r="G548" s="15"/>
      <c r="H548" s="43"/>
      <c r="I548" s="15"/>
      <c r="J548" s="15"/>
      <c r="K548" s="78"/>
      <c r="L548" s="78"/>
      <c r="M548" s="78"/>
      <c r="N548" s="78"/>
      <c r="O548" s="78"/>
      <c r="P548" s="80"/>
      <c r="Q548" s="81"/>
      <c r="R548" s="82"/>
      <c r="S548" s="15"/>
      <c r="T548" s="15"/>
      <c r="U548" s="83"/>
      <c r="V548" s="81"/>
      <c r="W548" s="83"/>
      <c r="X548" s="81"/>
      <c r="Y548" s="83"/>
      <c r="Z548" s="81"/>
      <c r="AA548" s="37"/>
      <c r="AB548" s="37"/>
      <c r="AC548" s="15"/>
      <c r="AD548" s="9"/>
      <c r="AE548" s="38"/>
      <c r="AF548" s="38" t="str">
        <f t="shared" si="36"/>
        <v/>
      </c>
      <c r="AG548" s="15" t="str">
        <f t="shared" si="37"/>
        <v/>
      </c>
      <c r="AH548" s="15"/>
      <c r="AI548" s="15"/>
      <c r="AJ548" s="15"/>
      <c r="AK548" s="15"/>
      <c r="AL548" s="15"/>
      <c r="AM548" s="15"/>
      <c r="AN548" s="9"/>
      <c r="AO548" s="9"/>
      <c r="AP548" s="9"/>
      <c r="AQ548" s="9"/>
      <c r="AR548" s="9" t="str">
        <f t="shared" si="38"/>
        <v/>
      </c>
      <c r="AS548" s="15"/>
      <c r="AT548" s="15"/>
      <c r="AU548" s="15"/>
    </row>
    <row r="549" ht="15.75" customHeight="1">
      <c r="A549" s="15" t="str">
        <f t="shared" si="1"/>
        <v/>
      </c>
      <c r="B549" s="15"/>
      <c r="C549" s="15"/>
      <c r="D549" s="15"/>
      <c r="E549" s="15"/>
      <c r="F549" s="43"/>
      <c r="G549" s="15"/>
      <c r="H549" s="43"/>
      <c r="I549" s="15"/>
      <c r="J549" s="15"/>
      <c r="K549" s="78"/>
      <c r="L549" s="78"/>
      <c r="M549" s="78"/>
      <c r="N549" s="78"/>
      <c r="O549" s="78"/>
      <c r="P549" s="80"/>
      <c r="Q549" s="81"/>
      <c r="R549" s="82"/>
      <c r="S549" s="15"/>
      <c r="T549" s="15"/>
      <c r="U549" s="83"/>
      <c r="V549" s="81"/>
      <c r="W549" s="83"/>
      <c r="X549" s="81"/>
      <c r="Y549" s="83"/>
      <c r="Z549" s="81"/>
      <c r="AA549" s="37"/>
      <c r="AB549" s="37"/>
      <c r="AC549" s="15"/>
      <c r="AD549" s="9"/>
      <c r="AE549" s="38"/>
      <c r="AF549" s="38" t="str">
        <f t="shared" si="36"/>
        <v/>
      </c>
      <c r="AG549" s="15" t="str">
        <f t="shared" si="37"/>
        <v/>
      </c>
      <c r="AH549" s="15"/>
      <c r="AI549" s="15"/>
      <c r="AJ549" s="15"/>
      <c r="AK549" s="15"/>
      <c r="AL549" s="15"/>
      <c r="AM549" s="15"/>
      <c r="AN549" s="9"/>
      <c r="AO549" s="9"/>
      <c r="AP549" s="9"/>
      <c r="AQ549" s="9"/>
      <c r="AR549" s="9" t="str">
        <f t="shared" si="38"/>
        <v/>
      </c>
      <c r="AS549" s="15"/>
      <c r="AT549" s="15"/>
      <c r="AU549" s="15"/>
    </row>
    <row r="550" ht="15.75" customHeight="1">
      <c r="A550" s="15" t="str">
        <f t="shared" si="1"/>
        <v/>
      </c>
      <c r="B550" s="15"/>
      <c r="C550" s="15"/>
      <c r="D550" s="15"/>
      <c r="E550" s="15"/>
      <c r="F550" s="43"/>
      <c r="G550" s="15"/>
      <c r="H550" s="43"/>
      <c r="I550" s="15"/>
      <c r="J550" s="15"/>
      <c r="K550" s="78"/>
      <c r="L550" s="78"/>
      <c r="M550" s="78"/>
      <c r="N550" s="78"/>
      <c r="O550" s="78"/>
      <c r="P550" s="80"/>
      <c r="Q550" s="81"/>
      <c r="R550" s="82"/>
      <c r="S550" s="15"/>
      <c r="T550" s="15"/>
      <c r="U550" s="83"/>
      <c r="V550" s="81"/>
      <c r="W550" s="83"/>
      <c r="X550" s="81"/>
      <c r="Y550" s="83"/>
      <c r="Z550" s="81"/>
      <c r="AA550" s="37"/>
      <c r="AB550" s="37"/>
      <c r="AC550" s="15"/>
      <c r="AD550" s="9"/>
      <c r="AE550" s="38"/>
      <c r="AF550" s="38" t="str">
        <f t="shared" si="36"/>
        <v/>
      </c>
      <c r="AG550" s="15" t="str">
        <f t="shared" si="37"/>
        <v/>
      </c>
      <c r="AH550" s="15"/>
      <c r="AI550" s="15"/>
      <c r="AJ550" s="15"/>
      <c r="AK550" s="15"/>
      <c r="AL550" s="15"/>
      <c r="AM550" s="15"/>
      <c r="AN550" s="9"/>
      <c r="AO550" s="9"/>
      <c r="AP550" s="9"/>
      <c r="AQ550" s="9"/>
      <c r="AR550" s="9" t="str">
        <f t="shared" si="38"/>
        <v/>
      </c>
      <c r="AS550" s="15"/>
      <c r="AT550" s="15"/>
      <c r="AU550" s="15"/>
    </row>
    <row r="551" ht="15.75" customHeight="1">
      <c r="A551" s="15" t="str">
        <f t="shared" si="1"/>
        <v/>
      </c>
      <c r="B551" s="15"/>
      <c r="C551" s="15"/>
      <c r="D551" s="15"/>
      <c r="E551" s="15"/>
      <c r="F551" s="43"/>
      <c r="G551" s="15"/>
      <c r="H551" s="43"/>
      <c r="I551" s="15"/>
      <c r="J551" s="15"/>
      <c r="K551" s="78"/>
      <c r="L551" s="78"/>
      <c r="M551" s="78"/>
      <c r="N551" s="78"/>
      <c r="O551" s="78"/>
      <c r="P551" s="80"/>
      <c r="Q551" s="81"/>
      <c r="R551" s="82"/>
      <c r="S551" s="15"/>
      <c r="T551" s="15"/>
      <c r="U551" s="83"/>
      <c r="V551" s="81"/>
      <c r="W551" s="83"/>
      <c r="X551" s="81"/>
      <c r="Y551" s="83"/>
      <c r="Z551" s="81"/>
      <c r="AA551" s="37"/>
      <c r="AB551" s="37"/>
      <c r="AC551" s="15"/>
      <c r="AD551" s="9"/>
      <c r="AE551" s="38"/>
      <c r="AF551" s="38" t="str">
        <f t="shared" si="36"/>
        <v/>
      </c>
      <c r="AG551" s="15" t="str">
        <f t="shared" si="37"/>
        <v/>
      </c>
      <c r="AH551" s="15"/>
      <c r="AI551" s="15"/>
      <c r="AJ551" s="15"/>
      <c r="AK551" s="15"/>
      <c r="AL551" s="15"/>
      <c r="AM551" s="15"/>
      <c r="AN551" s="9"/>
      <c r="AO551" s="9"/>
      <c r="AP551" s="9"/>
      <c r="AQ551" s="9"/>
      <c r="AR551" s="9" t="str">
        <f t="shared" si="38"/>
        <v/>
      </c>
      <c r="AS551" s="15"/>
      <c r="AT551" s="15"/>
      <c r="AU551" s="15"/>
    </row>
    <row r="552" ht="15.75" customHeight="1">
      <c r="A552" s="15" t="str">
        <f t="shared" si="1"/>
        <v/>
      </c>
      <c r="B552" s="15"/>
      <c r="C552" s="15"/>
      <c r="D552" s="15"/>
      <c r="E552" s="15"/>
      <c r="F552" s="43"/>
      <c r="G552" s="15"/>
      <c r="H552" s="43"/>
      <c r="I552" s="15"/>
      <c r="J552" s="15"/>
      <c r="K552" s="78"/>
      <c r="L552" s="78"/>
      <c r="M552" s="78"/>
      <c r="N552" s="78"/>
      <c r="O552" s="78"/>
      <c r="P552" s="80"/>
      <c r="Q552" s="81"/>
      <c r="R552" s="82"/>
      <c r="S552" s="15"/>
      <c r="T552" s="15"/>
      <c r="U552" s="83"/>
      <c r="V552" s="81"/>
      <c r="W552" s="83"/>
      <c r="X552" s="81"/>
      <c r="Y552" s="83"/>
      <c r="Z552" s="81"/>
      <c r="AA552" s="37"/>
      <c r="AB552" s="37"/>
      <c r="AC552" s="15"/>
      <c r="AD552" s="9"/>
      <c r="AE552" s="38"/>
      <c r="AF552" s="38" t="str">
        <f t="shared" si="36"/>
        <v/>
      </c>
      <c r="AG552" s="15" t="str">
        <f t="shared" si="37"/>
        <v/>
      </c>
      <c r="AH552" s="15"/>
      <c r="AI552" s="15"/>
      <c r="AJ552" s="15"/>
      <c r="AK552" s="15"/>
      <c r="AL552" s="15"/>
      <c r="AM552" s="15"/>
      <c r="AN552" s="9"/>
      <c r="AO552" s="9"/>
      <c r="AP552" s="9"/>
      <c r="AQ552" s="9"/>
      <c r="AR552" s="9" t="str">
        <f t="shared" si="38"/>
        <v/>
      </c>
      <c r="AS552" s="15"/>
      <c r="AT552" s="15"/>
      <c r="AU552" s="15"/>
    </row>
    <row r="553" ht="15.75" customHeight="1">
      <c r="A553" s="15" t="str">
        <f t="shared" si="1"/>
        <v/>
      </c>
      <c r="B553" s="15"/>
      <c r="C553" s="15"/>
      <c r="D553" s="15"/>
      <c r="E553" s="15"/>
      <c r="F553" s="43"/>
      <c r="G553" s="15"/>
      <c r="H553" s="43"/>
      <c r="I553" s="15"/>
      <c r="J553" s="15"/>
      <c r="K553" s="78"/>
      <c r="L553" s="78"/>
      <c r="M553" s="78"/>
      <c r="N553" s="78"/>
      <c r="O553" s="78"/>
      <c r="P553" s="80"/>
      <c r="Q553" s="81"/>
      <c r="R553" s="82"/>
      <c r="S553" s="15"/>
      <c r="T553" s="15"/>
      <c r="U553" s="83"/>
      <c r="V553" s="81"/>
      <c r="W553" s="83"/>
      <c r="X553" s="81"/>
      <c r="Y553" s="83"/>
      <c r="Z553" s="81"/>
      <c r="AA553" s="37"/>
      <c r="AB553" s="37"/>
      <c r="AC553" s="15"/>
      <c r="AD553" s="9"/>
      <c r="AE553" s="38"/>
      <c r="AF553" s="38" t="str">
        <f t="shared" si="36"/>
        <v/>
      </c>
      <c r="AG553" s="15" t="str">
        <f t="shared" si="37"/>
        <v/>
      </c>
      <c r="AH553" s="15"/>
      <c r="AI553" s="15"/>
      <c r="AJ553" s="15"/>
      <c r="AK553" s="15"/>
      <c r="AL553" s="15"/>
      <c r="AM553" s="15"/>
      <c r="AN553" s="9"/>
      <c r="AO553" s="9"/>
      <c r="AP553" s="9"/>
      <c r="AQ553" s="9"/>
      <c r="AR553" s="9" t="str">
        <f t="shared" si="38"/>
        <v/>
      </c>
      <c r="AS553" s="15"/>
      <c r="AT553" s="15"/>
      <c r="AU553" s="15"/>
    </row>
    <row r="554" ht="15.75" customHeight="1">
      <c r="A554" s="15" t="str">
        <f t="shared" si="1"/>
        <v/>
      </c>
      <c r="B554" s="15"/>
      <c r="C554" s="15"/>
      <c r="D554" s="15"/>
      <c r="E554" s="15"/>
      <c r="F554" s="43"/>
      <c r="G554" s="15"/>
      <c r="H554" s="43"/>
      <c r="I554" s="15"/>
      <c r="J554" s="15"/>
      <c r="K554" s="78"/>
      <c r="L554" s="78"/>
      <c r="M554" s="78"/>
      <c r="N554" s="78"/>
      <c r="O554" s="78"/>
      <c r="P554" s="80"/>
      <c r="Q554" s="81"/>
      <c r="R554" s="82"/>
      <c r="S554" s="15"/>
      <c r="T554" s="15"/>
      <c r="U554" s="83"/>
      <c r="V554" s="81"/>
      <c r="W554" s="83"/>
      <c r="X554" s="81"/>
      <c r="Y554" s="83"/>
      <c r="Z554" s="81"/>
      <c r="AA554" s="37"/>
      <c r="AB554" s="37"/>
      <c r="AC554" s="15"/>
      <c r="AD554" s="9"/>
      <c r="AE554" s="38"/>
      <c r="AF554" s="38" t="str">
        <f t="shared" si="36"/>
        <v/>
      </c>
      <c r="AG554" s="15" t="str">
        <f t="shared" si="37"/>
        <v/>
      </c>
      <c r="AH554" s="15"/>
      <c r="AI554" s="15"/>
      <c r="AJ554" s="15"/>
      <c r="AK554" s="15"/>
      <c r="AL554" s="15"/>
      <c r="AM554" s="15"/>
      <c r="AN554" s="9"/>
      <c r="AO554" s="9"/>
      <c r="AP554" s="9"/>
      <c r="AQ554" s="9"/>
      <c r="AR554" s="9" t="str">
        <f t="shared" si="38"/>
        <v/>
      </c>
      <c r="AS554" s="15"/>
      <c r="AT554" s="15"/>
      <c r="AU554" s="15"/>
    </row>
    <row r="555" ht="15.75" customHeight="1">
      <c r="A555" s="15" t="str">
        <f t="shared" si="1"/>
        <v/>
      </c>
      <c r="B555" s="15"/>
      <c r="C555" s="15"/>
      <c r="D555" s="15"/>
      <c r="E555" s="15"/>
      <c r="F555" s="43"/>
      <c r="G555" s="15"/>
      <c r="H555" s="43"/>
      <c r="I555" s="15"/>
      <c r="J555" s="15"/>
      <c r="K555" s="78"/>
      <c r="L555" s="78"/>
      <c r="M555" s="78"/>
      <c r="N555" s="78"/>
      <c r="O555" s="78"/>
      <c r="P555" s="80"/>
      <c r="Q555" s="81"/>
      <c r="R555" s="82"/>
      <c r="S555" s="15"/>
      <c r="T555" s="15"/>
      <c r="U555" s="83"/>
      <c r="V555" s="81"/>
      <c r="W555" s="83"/>
      <c r="X555" s="81"/>
      <c r="Y555" s="83"/>
      <c r="Z555" s="81"/>
      <c r="AA555" s="37"/>
      <c r="AB555" s="37"/>
      <c r="AC555" s="15"/>
      <c r="AD555" s="9"/>
      <c r="AE555" s="38"/>
      <c r="AF555" s="38" t="str">
        <f t="shared" si="36"/>
        <v/>
      </c>
      <c r="AG555" s="15" t="str">
        <f t="shared" si="37"/>
        <v/>
      </c>
      <c r="AH555" s="15"/>
      <c r="AI555" s="15"/>
      <c r="AJ555" s="15"/>
      <c r="AK555" s="15"/>
      <c r="AL555" s="15"/>
      <c r="AM555" s="15"/>
      <c r="AN555" s="9"/>
      <c r="AO555" s="9"/>
      <c r="AP555" s="9"/>
      <c r="AQ555" s="9"/>
      <c r="AR555" s="9" t="str">
        <f t="shared" si="38"/>
        <v/>
      </c>
      <c r="AS555" s="15"/>
      <c r="AT555" s="15"/>
      <c r="AU555" s="15"/>
    </row>
    <row r="556" ht="15.75" customHeight="1">
      <c r="A556" s="15" t="str">
        <f t="shared" si="1"/>
        <v/>
      </c>
      <c r="B556" s="15"/>
      <c r="C556" s="15"/>
      <c r="D556" s="15"/>
      <c r="E556" s="15"/>
      <c r="F556" s="43"/>
      <c r="G556" s="15"/>
      <c r="H556" s="43"/>
      <c r="I556" s="15"/>
      <c r="J556" s="15"/>
      <c r="K556" s="78"/>
      <c r="L556" s="78"/>
      <c r="M556" s="78"/>
      <c r="N556" s="78"/>
      <c r="O556" s="78"/>
      <c r="P556" s="80"/>
      <c r="Q556" s="81"/>
      <c r="R556" s="82"/>
      <c r="S556" s="15"/>
      <c r="T556" s="15"/>
      <c r="U556" s="83"/>
      <c r="V556" s="81"/>
      <c r="W556" s="83"/>
      <c r="X556" s="81"/>
      <c r="Y556" s="83"/>
      <c r="Z556" s="81"/>
      <c r="AA556" s="37"/>
      <c r="AB556" s="37"/>
      <c r="AC556" s="15"/>
      <c r="AD556" s="9"/>
      <c r="AE556" s="38"/>
      <c r="AF556" s="38" t="str">
        <f t="shared" si="36"/>
        <v/>
      </c>
      <c r="AG556" s="15" t="str">
        <f t="shared" si="37"/>
        <v/>
      </c>
      <c r="AH556" s="15"/>
      <c r="AI556" s="15"/>
      <c r="AJ556" s="15"/>
      <c r="AK556" s="15"/>
      <c r="AL556" s="15"/>
      <c r="AM556" s="15"/>
      <c r="AN556" s="9"/>
      <c r="AO556" s="9"/>
      <c r="AP556" s="9"/>
      <c r="AQ556" s="9"/>
      <c r="AR556" s="9" t="str">
        <f t="shared" si="38"/>
        <v/>
      </c>
      <c r="AS556" s="15"/>
      <c r="AT556" s="15"/>
      <c r="AU556" s="15"/>
    </row>
    <row r="557" ht="15.75" customHeight="1">
      <c r="A557" s="15" t="str">
        <f t="shared" si="1"/>
        <v/>
      </c>
      <c r="B557" s="15"/>
      <c r="C557" s="15"/>
      <c r="D557" s="15"/>
      <c r="E557" s="15"/>
      <c r="F557" s="43"/>
      <c r="G557" s="15"/>
      <c r="H557" s="43"/>
      <c r="I557" s="15"/>
      <c r="J557" s="15"/>
      <c r="K557" s="78"/>
      <c r="L557" s="78"/>
      <c r="M557" s="78"/>
      <c r="N557" s="78"/>
      <c r="O557" s="78"/>
      <c r="P557" s="80"/>
      <c r="Q557" s="81"/>
      <c r="R557" s="82"/>
      <c r="S557" s="15"/>
      <c r="T557" s="15"/>
      <c r="U557" s="83"/>
      <c r="V557" s="81"/>
      <c r="W557" s="83"/>
      <c r="X557" s="81"/>
      <c r="Y557" s="83"/>
      <c r="Z557" s="81"/>
      <c r="AA557" s="37"/>
      <c r="AB557" s="37"/>
      <c r="AC557" s="15"/>
      <c r="AD557" s="9"/>
      <c r="AE557" s="38"/>
      <c r="AF557" s="38" t="str">
        <f t="shared" si="36"/>
        <v/>
      </c>
      <c r="AG557" s="15" t="str">
        <f t="shared" si="37"/>
        <v/>
      </c>
      <c r="AH557" s="15"/>
      <c r="AI557" s="15"/>
      <c r="AJ557" s="15"/>
      <c r="AK557" s="15"/>
      <c r="AL557" s="15"/>
      <c r="AM557" s="15"/>
      <c r="AN557" s="9"/>
      <c r="AO557" s="9"/>
      <c r="AP557" s="9"/>
      <c r="AQ557" s="9"/>
      <c r="AR557" s="9" t="str">
        <f t="shared" si="38"/>
        <v/>
      </c>
      <c r="AS557" s="15"/>
      <c r="AT557" s="15"/>
      <c r="AU557" s="15"/>
    </row>
    <row r="558" ht="15.75" customHeight="1">
      <c r="A558" s="15" t="str">
        <f t="shared" si="1"/>
        <v/>
      </c>
      <c r="B558" s="15"/>
      <c r="C558" s="15"/>
      <c r="D558" s="15"/>
      <c r="E558" s="15"/>
      <c r="F558" s="43"/>
      <c r="G558" s="15"/>
      <c r="H558" s="43"/>
      <c r="I558" s="15"/>
      <c r="J558" s="15"/>
      <c r="K558" s="78"/>
      <c r="L558" s="78"/>
      <c r="M558" s="78"/>
      <c r="N558" s="78"/>
      <c r="O558" s="78"/>
      <c r="P558" s="80"/>
      <c r="Q558" s="81"/>
      <c r="R558" s="82"/>
      <c r="S558" s="15"/>
      <c r="T558" s="15"/>
      <c r="U558" s="83"/>
      <c r="V558" s="81"/>
      <c r="W558" s="83"/>
      <c r="X558" s="81"/>
      <c r="Y558" s="83"/>
      <c r="Z558" s="81"/>
      <c r="AA558" s="37"/>
      <c r="AB558" s="37"/>
      <c r="AC558" s="15"/>
      <c r="AD558" s="9"/>
      <c r="AE558" s="38"/>
      <c r="AF558" s="38" t="str">
        <f t="shared" si="36"/>
        <v/>
      </c>
      <c r="AG558" s="15" t="str">
        <f t="shared" si="37"/>
        <v/>
      </c>
      <c r="AH558" s="15"/>
      <c r="AI558" s="15"/>
      <c r="AJ558" s="15"/>
      <c r="AK558" s="15"/>
      <c r="AL558" s="15"/>
      <c r="AM558" s="15"/>
      <c r="AN558" s="9"/>
      <c r="AO558" s="9"/>
      <c r="AP558" s="9"/>
      <c r="AQ558" s="9"/>
      <c r="AR558" s="9" t="str">
        <f t="shared" si="38"/>
        <v/>
      </c>
      <c r="AS558" s="15"/>
      <c r="AT558" s="15"/>
      <c r="AU558" s="15"/>
    </row>
    <row r="559" ht="15.75" customHeight="1">
      <c r="A559" s="15" t="str">
        <f t="shared" si="1"/>
        <v/>
      </c>
      <c r="B559" s="15"/>
      <c r="C559" s="15"/>
      <c r="D559" s="15"/>
      <c r="E559" s="15"/>
      <c r="F559" s="43"/>
      <c r="G559" s="15"/>
      <c r="H559" s="43"/>
      <c r="I559" s="15"/>
      <c r="J559" s="15"/>
      <c r="K559" s="78"/>
      <c r="L559" s="78"/>
      <c r="M559" s="78"/>
      <c r="N559" s="78"/>
      <c r="O559" s="78"/>
      <c r="P559" s="80"/>
      <c r="Q559" s="81"/>
      <c r="R559" s="82"/>
      <c r="S559" s="15"/>
      <c r="T559" s="15"/>
      <c r="U559" s="83"/>
      <c r="V559" s="81"/>
      <c r="W559" s="83"/>
      <c r="X559" s="81"/>
      <c r="Y559" s="83"/>
      <c r="Z559" s="81"/>
      <c r="AA559" s="37"/>
      <c r="AB559" s="37"/>
      <c r="AC559" s="15"/>
      <c r="AD559" s="9"/>
      <c r="AE559" s="38"/>
      <c r="AF559" s="38" t="str">
        <f t="shared" si="36"/>
        <v/>
      </c>
      <c r="AG559" s="15" t="str">
        <f t="shared" si="37"/>
        <v/>
      </c>
      <c r="AH559" s="15"/>
      <c r="AI559" s="15"/>
      <c r="AJ559" s="15"/>
      <c r="AK559" s="15"/>
      <c r="AL559" s="15"/>
      <c r="AM559" s="15"/>
      <c r="AN559" s="9"/>
      <c r="AO559" s="9"/>
      <c r="AP559" s="9"/>
      <c r="AQ559" s="9"/>
      <c r="AR559" s="9" t="str">
        <f t="shared" si="38"/>
        <v/>
      </c>
      <c r="AS559" s="15"/>
      <c r="AT559" s="15"/>
      <c r="AU559" s="15"/>
    </row>
    <row r="560" ht="15.75" customHeight="1">
      <c r="A560" s="15" t="str">
        <f t="shared" si="1"/>
        <v/>
      </c>
      <c r="B560" s="15"/>
      <c r="C560" s="15"/>
      <c r="D560" s="15"/>
      <c r="E560" s="15"/>
      <c r="F560" s="43"/>
      <c r="G560" s="15"/>
      <c r="H560" s="43"/>
      <c r="I560" s="15"/>
      <c r="J560" s="15"/>
      <c r="K560" s="78"/>
      <c r="L560" s="78"/>
      <c r="M560" s="78"/>
      <c r="N560" s="78"/>
      <c r="O560" s="78"/>
      <c r="P560" s="80"/>
      <c r="Q560" s="81"/>
      <c r="R560" s="82"/>
      <c r="S560" s="15"/>
      <c r="T560" s="15"/>
      <c r="U560" s="83"/>
      <c r="V560" s="81"/>
      <c r="W560" s="83"/>
      <c r="X560" s="81"/>
      <c r="Y560" s="83"/>
      <c r="Z560" s="81"/>
      <c r="AA560" s="37"/>
      <c r="AB560" s="37"/>
      <c r="AC560" s="15"/>
      <c r="AD560" s="9"/>
      <c r="AE560" s="38"/>
      <c r="AF560" s="38" t="str">
        <f t="shared" si="36"/>
        <v/>
      </c>
      <c r="AG560" s="15" t="str">
        <f t="shared" si="37"/>
        <v/>
      </c>
      <c r="AH560" s="15"/>
      <c r="AI560" s="15"/>
      <c r="AJ560" s="15"/>
      <c r="AK560" s="15"/>
      <c r="AL560" s="15"/>
      <c r="AM560" s="15"/>
      <c r="AN560" s="9"/>
      <c r="AO560" s="9"/>
      <c r="AP560" s="9"/>
      <c r="AQ560" s="9"/>
      <c r="AR560" s="9" t="str">
        <f t="shared" si="38"/>
        <v/>
      </c>
      <c r="AS560" s="15"/>
      <c r="AT560" s="15"/>
      <c r="AU560" s="15"/>
    </row>
    <row r="561" ht="15.75" customHeight="1">
      <c r="A561" s="15" t="str">
        <f t="shared" si="1"/>
        <v/>
      </c>
      <c r="B561" s="15"/>
      <c r="C561" s="15"/>
      <c r="D561" s="15"/>
      <c r="E561" s="15"/>
      <c r="F561" s="43"/>
      <c r="G561" s="15"/>
      <c r="H561" s="43"/>
      <c r="I561" s="15"/>
      <c r="J561" s="15"/>
      <c r="K561" s="78"/>
      <c r="L561" s="78"/>
      <c r="M561" s="78"/>
      <c r="N561" s="78"/>
      <c r="O561" s="78"/>
      <c r="P561" s="80"/>
      <c r="Q561" s="81"/>
      <c r="R561" s="82"/>
      <c r="S561" s="15"/>
      <c r="T561" s="15"/>
      <c r="U561" s="83"/>
      <c r="V561" s="81"/>
      <c r="W561" s="83"/>
      <c r="X561" s="81"/>
      <c r="Y561" s="83"/>
      <c r="Z561" s="81"/>
      <c r="AA561" s="37"/>
      <c r="AB561" s="37"/>
      <c r="AC561" s="15"/>
      <c r="AD561" s="9"/>
      <c r="AE561" s="38"/>
      <c r="AF561" s="38" t="str">
        <f t="shared" si="36"/>
        <v/>
      </c>
      <c r="AG561" s="15" t="str">
        <f t="shared" si="37"/>
        <v/>
      </c>
      <c r="AH561" s="15"/>
      <c r="AI561" s="15"/>
      <c r="AJ561" s="15"/>
      <c r="AK561" s="15"/>
      <c r="AL561" s="15"/>
      <c r="AM561" s="15"/>
      <c r="AN561" s="9"/>
      <c r="AO561" s="9"/>
      <c r="AP561" s="9"/>
      <c r="AQ561" s="9"/>
      <c r="AR561" s="9" t="str">
        <f t="shared" si="38"/>
        <v/>
      </c>
      <c r="AS561" s="15"/>
      <c r="AT561" s="15"/>
      <c r="AU561" s="15"/>
    </row>
    <row r="562" ht="15.75" customHeight="1">
      <c r="A562" s="15" t="str">
        <f t="shared" si="1"/>
        <v/>
      </c>
      <c r="B562" s="15"/>
      <c r="C562" s="15"/>
      <c r="D562" s="15"/>
      <c r="E562" s="15"/>
      <c r="F562" s="43"/>
      <c r="G562" s="15"/>
      <c r="H562" s="43"/>
      <c r="I562" s="15"/>
      <c r="J562" s="15"/>
      <c r="K562" s="78"/>
      <c r="L562" s="78"/>
      <c r="M562" s="78"/>
      <c r="N562" s="78"/>
      <c r="O562" s="78"/>
      <c r="P562" s="80"/>
      <c r="Q562" s="81"/>
      <c r="R562" s="82"/>
      <c r="S562" s="15"/>
      <c r="T562" s="15"/>
      <c r="U562" s="83"/>
      <c r="V562" s="81"/>
      <c r="W562" s="83"/>
      <c r="X562" s="81"/>
      <c r="Y562" s="83"/>
      <c r="Z562" s="81"/>
      <c r="AA562" s="37"/>
      <c r="AB562" s="37"/>
      <c r="AC562" s="15"/>
      <c r="AD562" s="9"/>
      <c r="AE562" s="38"/>
      <c r="AF562" s="38" t="str">
        <f t="shared" si="36"/>
        <v/>
      </c>
      <c r="AG562" s="15" t="str">
        <f t="shared" si="37"/>
        <v/>
      </c>
      <c r="AH562" s="15"/>
      <c r="AI562" s="15"/>
      <c r="AJ562" s="15"/>
      <c r="AK562" s="15"/>
      <c r="AL562" s="15"/>
      <c r="AM562" s="15"/>
      <c r="AN562" s="9"/>
      <c r="AO562" s="9"/>
      <c r="AP562" s="9"/>
      <c r="AQ562" s="9"/>
      <c r="AR562" s="9" t="str">
        <f t="shared" si="38"/>
        <v/>
      </c>
      <c r="AS562" s="15"/>
      <c r="AT562" s="15"/>
      <c r="AU562" s="15"/>
    </row>
    <row r="563" ht="15.75" customHeight="1">
      <c r="A563" s="15" t="str">
        <f t="shared" si="1"/>
        <v/>
      </c>
      <c r="B563" s="15"/>
      <c r="C563" s="15"/>
      <c r="D563" s="15"/>
      <c r="E563" s="15"/>
      <c r="F563" s="43"/>
      <c r="G563" s="15"/>
      <c r="H563" s="43"/>
      <c r="I563" s="15"/>
      <c r="J563" s="15"/>
      <c r="K563" s="78"/>
      <c r="L563" s="78"/>
      <c r="M563" s="78"/>
      <c r="N563" s="78"/>
      <c r="O563" s="78"/>
      <c r="P563" s="80"/>
      <c r="Q563" s="81"/>
      <c r="R563" s="82"/>
      <c r="S563" s="15"/>
      <c r="T563" s="15"/>
      <c r="U563" s="83"/>
      <c r="V563" s="81"/>
      <c r="W563" s="83"/>
      <c r="X563" s="81"/>
      <c r="Y563" s="83"/>
      <c r="Z563" s="81"/>
      <c r="AA563" s="37"/>
      <c r="AB563" s="37"/>
      <c r="AC563" s="15"/>
      <c r="AD563" s="9"/>
      <c r="AE563" s="38"/>
      <c r="AF563" s="38" t="str">
        <f t="shared" si="36"/>
        <v/>
      </c>
      <c r="AG563" s="15" t="str">
        <f t="shared" si="37"/>
        <v/>
      </c>
      <c r="AH563" s="15"/>
      <c r="AI563" s="15"/>
      <c r="AJ563" s="15"/>
      <c r="AK563" s="15"/>
      <c r="AL563" s="15"/>
      <c r="AM563" s="15"/>
      <c r="AN563" s="9"/>
      <c r="AO563" s="9"/>
      <c r="AP563" s="9"/>
      <c r="AQ563" s="9"/>
      <c r="AR563" s="9" t="str">
        <f t="shared" si="38"/>
        <v/>
      </c>
      <c r="AS563" s="15"/>
      <c r="AT563" s="15"/>
      <c r="AU563" s="15"/>
    </row>
    <row r="564" ht="15.75" customHeight="1">
      <c r="A564" s="15" t="str">
        <f t="shared" si="1"/>
        <v/>
      </c>
      <c r="B564" s="15"/>
      <c r="C564" s="15"/>
      <c r="D564" s="15"/>
      <c r="E564" s="15"/>
      <c r="F564" s="43"/>
      <c r="G564" s="15"/>
      <c r="H564" s="43"/>
      <c r="I564" s="15"/>
      <c r="J564" s="15"/>
      <c r="K564" s="78"/>
      <c r="L564" s="78"/>
      <c r="M564" s="78"/>
      <c r="N564" s="78"/>
      <c r="O564" s="78"/>
      <c r="P564" s="80"/>
      <c r="Q564" s="81"/>
      <c r="R564" s="82"/>
      <c r="S564" s="15"/>
      <c r="T564" s="15"/>
      <c r="U564" s="83"/>
      <c r="V564" s="81"/>
      <c r="W564" s="83"/>
      <c r="X564" s="81"/>
      <c r="Y564" s="83"/>
      <c r="Z564" s="81"/>
      <c r="AA564" s="37"/>
      <c r="AB564" s="37"/>
      <c r="AC564" s="15"/>
      <c r="AD564" s="9"/>
      <c r="AE564" s="38"/>
      <c r="AF564" s="38" t="str">
        <f t="shared" si="36"/>
        <v/>
      </c>
      <c r="AG564" s="15" t="str">
        <f t="shared" si="37"/>
        <v/>
      </c>
      <c r="AH564" s="15"/>
      <c r="AI564" s="15"/>
      <c r="AJ564" s="15"/>
      <c r="AK564" s="15"/>
      <c r="AL564" s="15"/>
      <c r="AM564" s="15"/>
      <c r="AN564" s="9"/>
      <c r="AO564" s="9"/>
      <c r="AP564" s="9"/>
      <c r="AQ564" s="9"/>
      <c r="AR564" s="9" t="str">
        <f t="shared" si="38"/>
        <v/>
      </c>
      <c r="AS564" s="15"/>
      <c r="AT564" s="15"/>
      <c r="AU564" s="15"/>
    </row>
    <row r="565" ht="15.75" customHeight="1">
      <c r="A565" s="15" t="str">
        <f t="shared" si="1"/>
        <v/>
      </c>
      <c r="B565" s="15"/>
      <c r="C565" s="15"/>
      <c r="D565" s="15"/>
      <c r="E565" s="15"/>
      <c r="F565" s="43"/>
      <c r="G565" s="15"/>
      <c r="H565" s="43"/>
      <c r="I565" s="15"/>
      <c r="J565" s="15"/>
      <c r="K565" s="78"/>
      <c r="L565" s="78"/>
      <c r="M565" s="78"/>
      <c r="N565" s="78"/>
      <c r="O565" s="78"/>
      <c r="P565" s="80"/>
      <c r="Q565" s="81"/>
      <c r="R565" s="82"/>
      <c r="S565" s="15"/>
      <c r="T565" s="15"/>
      <c r="U565" s="83"/>
      <c r="V565" s="81"/>
      <c r="W565" s="83"/>
      <c r="X565" s="81"/>
      <c r="Y565" s="83"/>
      <c r="Z565" s="81"/>
      <c r="AA565" s="37"/>
      <c r="AB565" s="37"/>
      <c r="AC565" s="15"/>
      <c r="AD565" s="9"/>
      <c r="AE565" s="38"/>
      <c r="AF565" s="38" t="str">
        <f t="shared" si="36"/>
        <v/>
      </c>
      <c r="AG565" s="15" t="str">
        <f t="shared" si="37"/>
        <v/>
      </c>
      <c r="AH565" s="15"/>
      <c r="AI565" s="15"/>
      <c r="AJ565" s="15"/>
      <c r="AK565" s="15"/>
      <c r="AL565" s="15"/>
      <c r="AM565" s="15"/>
      <c r="AN565" s="9"/>
      <c r="AO565" s="9"/>
      <c r="AP565" s="9"/>
      <c r="AQ565" s="9"/>
      <c r="AR565" s="9" t="str">
        <f t="shared" si="38"/>
        <v/>
      </c>
      <c r="AS565" s="15"/>
      <c r="AT565" s="15"/>
      <c r="AU565" s="15"/>
    </row>
    <row r="566" ht="15.75" customHeight="1">
      <c r="A566" s="15" t="str">
        <f t="shared" si="1"/>
        <v/>
      </c>
      <c r="B566" s="15"/>
      <c r="C566" s="15"/>
      <c r="D566" s="15"/>
      <c r="E566" s="15"/>
      <c r="F566" s="43"/>
      <c r="G566" s="15"/>
      <c r="H566" s="43"/>
      <c r="I566" s="15"/>
      <c r="J566" s="15"/>
      <c r="K566" s="78"/>
      <c r="L566" s="78"/>
      <c r="M566" s="78"/>
      <c r="N566" s="78"/>
      <c r="O566" s="78"/>
      <c r="P566" s="80"/>
      <c r="Q566" s="81"/>
      <c r="R566" s="82"/>
      <c r="S566" s="15"/>
      <c r="T566" s="15"/>
      <c r="U566" s="83"/>
      <c r="V566" s="81"/>
      <c r="W566" s="83"/>
      <c r="X566" s="81"/>
      <c r="Y566" s="83"/>
      <c r="Z566" s="81"/>
      <c r="AA566" s="37"/>
      <c r="AB566" s="37"/>
      <c r="AC566" s="15"/>
      <c r="AD566" s="9"/>
      <c r="AE566" s="38"/>
      <c r="AF566" s="38" t="str">
        <f t="shared" si="36"/>
        <v/>
      </c>
      <c r="AG566" s="15" t="str">
        <f t="shared" si="37"/>
        <v/>
      </c>
      <c r="AH566" s="15"/>
      <c r="AI566" s="15"/>
      <c r="AJ566" s="15"/>
      <c r="AK566" s="15"/>
      <c r="AL566" s="15"/>
      <c r="AM566" s="15"/>
      <c r="AN566" s="9"/>
      <c r="AO566" s="9"/>
      <c r="AP566" s="9"/>
      <c r="AQ566" s="9"/>
      <c r="AR566" s="9" t="str">
        <f t="shared" si="38"/>
        <v/>
      </c>
      <c r="AS566" s="15"/>
      <c r="AT566" s="15"/>
      <c r="AU566" s="15"/>
    </row>
    <row r="567" ht="15.75" customHeight="1">
      <c r="A567" s="15" t="str">
        <f t="shared" si="1"/>
        <v/>
      </c>
      <c r="B567" s="15"/>
      <c r="C567" s="15"/>
      <c r="D567" s="15"/>
      <c r="E567" s="15"/>
      <c r="F567" s="43"/>
      <c r="G567" s="15"/>
      <c r="H567" s="43"/>
      <c r="I567" s="15"/>
      <c r="J567" s="15"/>
      <c r="K567" s="78"/>
      <c r="L567" s="78"/>
      <c r="M567" s="78"/>
      <c r="N567" s="78"/>
      <c r="O567" s="78"/>
      <c r="P567" s="80"/>
      <c r="Q567" s="81"/>
      <c r="R567" s="82"/>
      <c r="S567" s="15"/>
      <c r="T567" s="15"/>
      <c r="U567" s="83"/>
      <c r="V567" s="81"/>
      <c r="W567" s="83"/>
      <c r="X567" s="81"/>
      <c r="Y567" s="83"/>
      <c r="Z567" s="81"/>
      <c r="AA567" s="37"/>
      <c r="AB567" s="37"/>
      <c r="AC567" s="15"/>
      <c r="AD567" s="9"/>
      <c r="AE567" s="38"/>
      <c r="AF567" s="38" t="str">
        <f t="shared" si="36"/>
        <v/>
      </c>
      <c r="AG567" s="15" t="str">
        <f t="shared" si="37"/>
        <v/>
      </c>
      <c r="AH567" s="15"/>
      <c r="AI567" s="15"/>
      <c r="AJ567" s="15"/>
      <c r="AK567" s="15"/>
      <c r="AL567" s="15"/>
      <c r="AM567" s="15"/>
      <c r="AN567" s="9"/>
      <c r="AO567" s="9"/>
      <c r="AP567" s="9"/>
      <c r="AQ567" s="9"/>
      <c r="AR567" s="9" t="str">
        <f t="shared" si="38"/>
        <v/>
      </c>
      <c r="AS567" s="15"/>
      <c r="AT567" s="15"/>
      <c r="AU567" s="15"/>
    </row>
    <row r="568" ht="15.75" customHeight="1">
      <c r="A568" s="15" t="str">
        <f t="shared" si="1"/>
        <v/>
      </c>
      <c r="B568" s="15"/>
      <c r="C568" s="15"/>
      <c r="D568" s="15"/>
      <c r="E568" s="15"/>
      <c r="F568" s="43"/>
      <c r="G568" s="15"/>
      <c r="H568" s="43"/>
      <c r="I568" s="15"/>
      <c r="J568" s="15"/>
      <c r="K568" s="78"/>
      <c r="L568" s="78"/>
      <c r="M568" s="78"/>
      <c r="N568" s="78"/>
      <c r="O568" s="78"/>
      <c r="P568" s="80"/>
      <c r="Q568" s="81"/>
      <c r="R568" s="82"/>
      <c r="S568" s="15"/>
      <c r="T568" s="15"/>
      <c r="U568" s="83"/>
      <c r="V568" s="81"/>
      <c r="W568" s="83"/>
      <c r="X568" s="81"/>
      <c r="Y568" s="83"/>
      <c r="Z568" s="81"/>
      <c r="AA568" s="37"/>
      <c r="AB568" s="37"/>
      <c r="AC568" s="15"/>
      <c r="AD568" s="9"/>
      <c r="AE568" s="38"/>
      <c r="AF568" s="38" t="str">
        <f t="shared" si="36"/>
        <v/>
      </c>
      <c r="AG568" s="15" t="str">
        <f t="shared" si="37"/>
        <v/>
      </c>
      <c r="AH568" s="15"/>
      <c r="AI568" s="15"/>
      <c r="AJ568" s="15"/>
      <c r="AK568" s="15"/>
      <c r="AL568" s="15"/>
      <c r="AM568" s="15"/>
      <c r="AN568" s="9"/>
      <c r="AO568" s="9"/>
      <c r="AP568" s="9"/>
      <c r="AQ568" s="9"/>
      <c r="AR568" s="9" t="str">
        <f t="shared" si="38"/>
        <v/>
      </c>
      <c r="AS568" s="15"/>
      <c r="AT568" s="15"/>
      <c r="AU568" s="15"/>
    </row>
    <row r="569" ht="15.75" customHeight="1">
      <c r="A569" s="15" t="str">
        <f t="shared" si="1"/>
        <v/>
      </c>
      <c r="B569" s="15"/>
      <c r="C569" s="15"/>
      <c r="D569" s="15"/>
      <c r="E569" s="15"/>
      <c r="F569" s="43"/>
      <c r="G569" s="15"/>
      <c r="H569" s="43"/>
      <c r="I569" s="15"/>
      <c r="J569" s="15"/>
      <c r="K569" s="78"/>
      <c r="L569" s="78"/>
      <c r="M569" s="78"/>
      <c r="N569" s="78"/>
      <c r="O569" s="78"/>
      <c r="P569" s="80"/>
      <c r="Q569" s="81"/>
      <c r="R569" s="82"/>
      <c r="S569" s="15"/>
      <c r="T569" s="15"/>
      <c r="U569" s="83"/>
      <c r="V569" s="81"/>
      <c r="W569" s="83"/>
      <c r="X569" s="81"/>
      <c r="Y569" s="83"/>
      <c r="Z569" s="81"/>
      <c r="AA569" s="37"/>
      <c r="AB569" s="37"/>
      <c r="AC569" s="15"/>
      <c r="AD569" s="9"/>
      <c r="AE569" s="38"/>
      <c r="AF569" s="38" t="str">
        <f t="shared" si="36"/>
        <v/>
      </c>
      <c r="AG569" s="15" t="str">
        <f t="shared" si="37"/>
        <v/>
      </c>
      <c r="AH569" s="15"/>
      <c r="AI569" s="15"/>
      <c r="AJ569" s="15"/>
      <c r="AK569" s="15"/>
      <c r="AL569" s="15"/>
      <c r="AM569" s="15"/>
      <c r="AN569" s="9"/>
      <c r="AO569" s="9"/>
      <c r="AP569" s="9"/>
      <c r="AQ569" s="9"/>
      <c r="AR569" s="9" t="str">
        <f t="shared" si="38"/>
        <v/>
      </c>
      <c r="AS569" s="15"/>
      <c r="AT569" s="15"/>
      <c r="AU569" s="15"/>
    </row>
    <row r="570" ht="15.75" customHeight="1">
      <c r="A570" s="15" t="str">
        <f t="shared" si="1"/>
        <v/>
      </c>
      <c r="B570" s="15"/>
      <c r="C570" s="15"/>
      <c r="D570" s="15"/>
      <c r="E570" s="15"/>
      <c r="F570" s="43"/>
      <c r="G570" s="15"/>
      <c r="H570" s="43"/>
      <c r="I570" s="15"/>
      <c r="J570" s="15"/>
      <c r="K570" s="78"/>
      <c r="L570" s="78"/>
      <c r="M570" s="78"/>
      <c r="N570" s="78"/>
      <c r="O570" s="78"/>
      <c r="P570" s="80"/>
      <c r="Q570" s="81"/>
      <c r="R570" s="82"/>
      <c r="S570" s="15"/>
      <c r="T570" s="15"/>
      <c r="U570" s="83"/>
      <c r="V570" s="81"/>
      <c r="W570" s="83"/>
      <c r="X570" s="81"/>
      <c r="Y570" s="83"/>
      <c r="Z570" s="81"/>
      <c r="AA570" s="37"/>
      <c r="AB570" s="37"/>
      <c r="AC570" s="15"/>
      <c r="AD570" s="9"/>
      <c r="AE570" s="38"/>
      <c r="AF570" s="38" t="str">
        <f t="shared" si="36"/>
        <v/>
      </c>
      <c r="AG570" s="15" t="str">
        <f t="shared" si="37"/>
        <v/>
      </c>
      <c r="AH570" s="15"/>
      <c r="AI570" s="15"/>
      <c r="AJ570" s="15"/>
      <c r="AK570" s="15"/>
      <c r="AL570" s="15"/>
      <c r="AM570" s="15"/>
      <c r="AN570" s="9"/>
      <c r="AO570" s="9"/>
      <c r="AP570" s="9"/>
      <c r="AQ570" s="9"/>
      <c r="AR570" s="9" t="str">
        <f t="shared" si="38"/>
        <v/>
      </c>
      <c r="AS570" s="15"/>
      <c r="AT570" s="15"/>
      <c r="AU570" s="15"/>
    </row>
    <row r="571" ht="15.75" customHeight="1">
      <c r="A571" s="15" t="str">
        <f t="shared" si="1"/>
        <v/>
      </c>
      <c r="B571" s="15"/>
      <c r="C571" s="15"/>
      <c r="D571" s="15"/>
      <c r="E571" s="15"/>
      <c r="F571" s="43"/>
      <c r="G571" s="15"/>
      <c r="H571" s="43"/>
      <c r="I571" s="15"/>
      <c r="J571" s="15"/>
      <c r="K571" s="78"/>
      <c r="L571" s="78"/>
      <c r="M571" s="78"/>
      <c r="N571" s="78"/>
      <c r="O571" s="78"/>
      <c r="P571" s="80"/>
      <c r="Q571" s="81"/>
      <c r="R571" s="82"/>
      <c r="S571" s="15"/>
      <c r="T571" s="15"/>
      <c r="U571" s="83"/>
      <c r="V571" s="81"/>
      <c r="W571" s="83"/>
      <c r="X571" s="81"/>
      <c r="Y571" s="83"/>
      <c r="Z571" s="81"/>
      <c r="AA571" s="37"/>
      <c r="AB571" s="37"/>
      <c r="AC571" s="15"/>
      <c r="AD571" s="9"/>
      <c r="AE571" s="38"/>
      <c r="AF571" s="38" t="str">
        <f t="shared" si="36"/>
        <v/>
      </c>
      <c r="AG571" s="15" t="str">
        <f t="shared" si="37"/>
        <v/>
      </c>
      <c r="AH571" s="15"/>
      <c r="AI571" s="15"/>
      <c r="AJ571" s="15"/>
      <c r="AK571" s="15"/>
      <c r="AL571" s="15"/>
      <c r="AM571" s="15"/>
      <c r="AN571" s="9"/>
      <c r="AO571" s="9"/>
      <c r="AP571" s="9"/>
      <c r="AQ571" s="9"/>
      <c r="AR571" s="9" t="str">
        <f t="shared" si="38"/>
        <v/>
      </c>
      <c r="AS571" s="15"/>
      <c r="AT571" s="15"/>
      <c r="AU571" s="15"/>
    </row>
    <row r="572" ht="15.75" customHeight="1">
      <c r="A572" s="15" t="str">
        <f t="shared" si="1"/>
        <v/>
      </c>
      <c r="B572" s="15"/>
      <c r="C572" s="15"/>
      <c r="D572" s="15"/>
      <c r="E572" s="15"/>
      <c r="F572" s="43"/>
      <c r="G572" s="15"/>
      <c r="H572" s="43"/>
      <c r="I572" s="15"/>
      <c r="J572" s="15"/>
      <c r="K572" s="78"/>
      <c r="L572" s="78"/>
      <c r="M572" s="78"/>
      <c r="N572" s="78"/>
      <c r="O572" s="78"/>
      <c r="P572" s="80"/>
      <c r="Q572" s="81"/>
      <c r="R572" s="82"/>
      <c r="S572" s="15"/>
      <c r="T572" s="15"/>
      <c r="U572" s="83"/>
      <c r="V572" s="81"/>
      <c r="W572" s="83"/>
      <c r="X572" s="81"/>
      <c r="Y572" s="83"/>
      <c r="Z572" s="81"/>
      <c r="AA572" s="37"/>
      <c r="AB572" s="37"/>
      <c r="AC572" s="15"/>
      <c r="AD572" s="9"/>
      <c r="AE572" s="38"/>
      <c r="AF572" s="38" t="str">
        <f t="shared" si="36"/>
        <v/>
      </c>
      <c r="AG572" s="15" t="str">
        <f t="shared" si="37"/>
        <v/>
      </c>
      <c r="AH572" s="15"/>
      <c r="AI572" s="15"/>
      <c r="AJ572" s="15"/>
      <c r="AK572" s="15"/>
      <c r="AL572" s="15"/>
      <c r="AM572" s="15"/>
      <c r="AN572" s="9"/>
      <c r="AO572" s="9"/>
      <c r="AP572" s="9"/>
      <c r="AQ572" s="9"/>
      <c r="AR572" s="9" t="str">
        <f t="shared" si="38"/>
        <v/>
      </c>
      <c r="AS572" s="15"/>
      <c r="AT572" s="15"/>
      <c r="AU572" s="15"/>
    </row>
    <row r="573" ht="15.75" customHeight="1">
      <c r="A573" s="15" t="str">
        <f t="shared" si="1"/>
        <v/>
      </c>
      <c r="B573" s="15"/>
      <c r="C573" s="15"/>
      <c r="D573" s="15"/>
      <c r="E573" s="15"/>
      <c r="F573" s="43"/>
      <c r="G573" s="15"/>
      <c r="H573" s="43"/>
      <c r="I573" s="15"/>
      <c r="J573" s="15"/>
      <c r="K573" s="78"/>
      <c r="L573" s="78"/>
      <c r="M573" s="78"/>
      <c r="N573" s="78"/>
      <c r="O573" s="78"/>
      <c r="P573" s="80"/>
      <c r="Q573" s="81"/>
      <c r="R573" s="82"/>
      <c r="S573" s="15"/>
      <c r="T573" s="15"/>
      <c r="U573" s="83"/>
      <c r="V573" s="81"/>
      <c r="W573" s="83"/>
      <c r="X573" s="81"/>
      <c r="Y573" s="83"/>
      <c r="Z573" s="81"/>
      <c r="AA573" s="37"/>
      <c r="AB573" s="37"/>
      <c r="AC573" s="15"/>
      <c r="AD573" s="9"/>
      <c r="AE573" s="38"/>
      <c r="AF573" s="38" t="str">
        <f t="shared" si="36"/>
        <v/>
      </c>
      <c r="AG573" s="15" t="str">
        <f t="shared" si="37"/>
        <v/>
      </c>
      <c r="AH573" s="15"/>
      <c r="AI573" s="15"/>
      <c r="AJ573" s="15"/>
      <c r="AK573" s="15"/>
      <c r="AL573" s="15"/>
      <c r="AM573" s="15"/>
      <c r="AN573" s="9"/>
      <c r="AO573" s="9"/>
      <c r="AP573" s="9"/>
      <c r="AQ573" s="9"/>
      <c r="AR573" s="9" t="str">
        <f t="shared" si="38"/>
        <v/>
      </c>
      <c r="AS573" s="15"/>
      <c r="AT573" s="15"/>
      <c r="AU573" s="15"/>
    </row>
    <row r="574" ht="15.75" customHeight="1">
      <c r="A574" s="15" t="str">
        <f t="shared" si="1"/>
        <v/>
      </c>
      <c r="B574" s="15"/>
      <c r="C574" s="15"/>
      <c r="D574" s="15"/>
      <c r="E574" s="15"/>
      <c r="F574" s="43"/>
      <c r="G574" s="15"/>
      <c r="H574" s="43"/>
      <c r="I574" s="15"/>
      <c r="J574" s="15"/>
      <c r="K574" s="78"/>
      <c r="L574" s="78"/>
      <c r="M574" s="78"/>
      <c r="N574" s="78"/>
      <c r="O574" s="78"/>
      <c r="P574" s="80"/>
      <c r="Q574" s="81"/>
      <c r="R574" s="82"/>
      <c r="S574" s="15"/>
      <c r="T574" s="15"/>
      <c r="U574" s="83"/>
      <c r="V574" s="81"/>
      <c r="W574" s="83"/>
      <c r="X574" s="81"/>
      <c r="Y574" s="83"/>
      <c r="Z574" s="81"/>
      <c r="AA574" s="37"/>
      <c r="AB574" s="37"/>
      <c r="AC574" s="15"/>
      <c r="AD574" s="9"/>
      <c r="AE574" s="38"/>
      <c r="AF574" s="38" t="str">
        <f t="shared" si="36"/>
        <v/>
      </c>
      <c r="AG574" s="15" t="str">
        <f t="shared" si="37"/>
        <v/>
      </c>
      <c r="AH574" s="15"/>
      <c r="AI574" s="15"/>
      <c r="AJ574" s="15"/>
      <c r="AK574" s="15"/>
      <c r="AL574" s="15"/>
      <c r="AM574" s="15"/>
      <c r="AN574" s="9"/>
      <c r="AO574" s="9"/>
      <c r="AP574" s="9"/>
      <c r="AQ574" s="9"/>
      <c r="AR574" s="9" t="str">
        <f t="shared" si="38"/>
        <v/>
      </c>
      <c r="AS574" s="15"/>
      <c r="AT574" s="15"/>
      <c r="AU574" s="15"/>
    </row>
    <row r="575" ht="15.75" customHeight="1">
      <c r="A575" s="15" t="str">
        <f t="shared" si="1"/>
        <v/>
      </c>
      <c r="B575" s="15"/>
      <c r="C575" s="15"/>
      <c r="D575" s="15"/>
      <c r="E575" s="15"/>
      <c r="F575" s="43"/>
      <c r="G575" s="15"/>
      <c r="H575" s="43"/>
      <c r="I575" s="15"/>
      <c r="J575" s="15"/>
      <c r="K575" s="78"/>
      <c r="L575" s="78"/>
      <c r="M575" s="78"/>
      <c r="N575" s="78"/>
      <c r="O575" s="78"/>
      <c r="P575" s="80"/>
      <c r="Q575" s="81"/>
      <c r="R575" s="82"/>
      <c r="S575" s="15"/>
      <c r="T575" s="15"/>
      <c r="U575" s="83"/>
      <c r="V575" s="81"/>
      <c r="W575" s="83"/>
      <c r="X575" s="81"/>
      <c r="Y575" s="83"/>
      <c r="Z575" s="81"/>
      <c r="AA575" s="37"/>
      <c r="AB575" s="37"/>
      <c r="AC575" s="15"/>
      <c r="AD575" s="9"/>
      <c r="AE575" s="38"/>
      <c r="AF575" s="38" t="str">
        <f t="shared" si="36"/>
        <v/>
      </c>
      <c r="AG575" s="15" t="str">
        <f t="shared" si="37"/>
        <v/>
      </c>
      <c r="AH575" s="15"/>
      <c r="AI575" s="15"/>
      <c r="AJ575" s="15"/>
      <c r="AK575" s="15"/>
      <c r="AL575" s="15"/>
      <c r="AM575" s="15"/>
      <c r="AN575" s="9"/>
      <c r="AO575" s="9"/>
      <c r="AP575" s="9"/>
      <c r="AQ575" s="9"/>
      <c r="AR575" s="9" t="str">
        <f t="shared" si="38"/>
        <v/>
      </c>
      <c r="AS575" s="15"/>
      <c r="AT575" s="15"/>
      <c r="AU575" s="15"/>
    </row>
    <row r="576" ht="15.75" customHeight="1">
      <c r="A576" s="15" t="str">
        <f t="shared" si="1"/>
        <v/>
      </c>
      <c r="B576" s="15"/>
      <c r="C576" s="15"/>
      <c r="D576" s="15"/>
      <c r="E576" s="15"/>
      <c r="F576" s="43"/>
      <c r="G576" s="15"/>
      <c r="H576" s="43"/>
      <c r="I576" s="15"/>
      <c r="J576" s="15"/>
      <c r="K576" s="78"/>
      <c r="L576" s="78"/>
      <c r="M576" s="78"/>
      <c r="N576" s="78"/>
      <c r="O576" s="78"/>
      <c r="P576" s="80"/>
      <c r="Q576" s="81"/>
      <c r="R576" s="82"/>
      <c r="S576" s="15"/>
      <c r="T576" s="15"/>
      <c r="U576" s="83"/>
      <c r="V576" s="81"/>
      <c r="W576" s="83"/>
      <c r="X576" s="81"/>
      <c r="Y576" s="83"/>
      <c r="Z576" s="81"/>
      <c r="AA576" s="37"/>
      <c r="AB576" s="37"/>
      <c r="AC576" s="15"/>
      <c r="AD576" s="9"/>
      <c r="AE576" s="38"/>
      <c r="AF576" s="38" t="str">
        <f t="shared" si="36"/>
        <v/>
      </c>
      <c r="AG576" s="15" t="str">
        <f t="shared" si="37"/>
        <v/>
      </c>
      <c r="AH576" s="15"/>
      <c r="AI576" s="15"/>
      <c r="AJ576" s="15"/>
      <c r="AK576" s="15"/>
      <c r="AL576" s="15"/>
      <c r="AM576" s="15"/>
      <c r="AN576" s="9"/>
      <c r="AO576" s="9"/>
      <c r="AP576" s="9"/>
      <c r="AQ576" s="9"/>
      <c r="AR576" s="9" t="str">
        <f t="shared" si="38"/>
        <v/>
      </c>
      <c r="AS576" s="15"/>
      <c r="AT576" s="15"/>
      <c r="AU576" s="15"/>
    </row>
    <row r="577" ht="15.75" customHeight="1">
      <c r="A577" s="15" t="str">
        <f t="shared" si="1"/>
        <v/>
      </c>
      <c r="B577" s="15"/>
      <c r="C577" s="15"/>
      <c r="D577" s="15"/>
      <c r="E577" s="15"/>
      <c r="F577" s="43"/>
      <c r="G577" s="15"/>
      <c r="H577" s="43"/>
      <c r="I577" s="15"/>
      <c r="J577" s="15"/>
      <c r="K577" s="78"/>
      <c r="L577" s="78"/>
      <c r="M577" s="78"/>
      <c r="N577" s="78"/>
      <c r="O577" s="78"/>
      <c r="P577" s="80"/>
      <c r="Q577" s="81"/>
      <c r="R577" s="82"/>
      <c r="S577" s="15"/>
      <c r="T577" s="15"/>
      <c r="U577" s="83"/>
      <c r="V577" s="81"/>
      <c r="W577" s="83"/>
      <c r="X577" s="81"/>
      <c r="Y577" s="83"/>
      <c r="Z577" s="81"/>
      <c r="AA577" s="37"/>
      <c r="AB577" s="37"/>
      <c r="AC577" s="15"/>
      <c r="AD577" s="9"/>
      <c r="AE577" s="38"/>
      <c r="AF577" s="38" t="str">
        <f t="shared" si="36"/>
        <v/>
      </c>
      <c r="AG577" s="15" t="str">
        <f t="shared" si="37"/>
        <v/>
      </c>
      <c r="AH577" s="15"/>
      <c r="AI577" s="15"/>
      <c r="AJ577" s="15"/>
      <c r="AK577" s="15"/>
      <c r="AL577" s="15"/>
      <c r="AM577" s="15"/>
      <c r="AN577" s="9"/>
      <c r="AO577" s="9"/>
      <c r="AP577" s="9"/>
      <c r="AQ577" s="9"/>
      <c r="AR577" s="9" t="str">
        <f t="shared" si="38"/>
        <v/>
      </c>
      <c r="AS577" s="15"/>
      <c r="AT577" s="15"/>
      <c r="AU577" s="15"/>
    </row>
    <row r="578" ht="15.75" customHeight="1">
      <c r="A578" s="15" t="str">
        <f t="shared" si="1"/>
        <v/>
      </c>
      <c r="B578" s="15"/>
      <c r="C578" s="15"/>
      <c r="D578" s="15"/>
      <c r="E578" s="15"/>
      <c r="F578" s="43"/>
      <c r="G578" s="15"/>
      <c r="H578" s="43"/>
      <c r="I578" s="15"/>
      <c r="J578" s="15"/>
      <c r="K578" s="78"/>
      <c r="L578" s="78"/>
      <c r="M578" s="78"/>
      <c r="N578" s="78"/>
      <c r="O578" s="78"/>
      <c r="P578" s="80"/>
      <c r="Q578" s="81"/>
      <c r="R578" s="82"/>
      <c r="S578" s="15"/>
      <c r="T578" s="15"/>
      <c r="U578" s="83"/>
      <c r="V578" s="81"/>
      <c r="W578" s="83"/>
      <c r="X578" s="81"/>
      <c r="Y578" s="83"/>
      <c r="Z578" s="81"/>
      <c r="AA578" s="37"/>
      <c r="AB578" s="37"/>
      <c r="AC578" s="15"/>
      <c r="AD578" s="9"/>
      <c r="AE578" s="38"/>
      <c r="AF578" s="38" t="str">
        <f t="shared" si="36"/>
        <v/>
      </c>
      <c r="AG578" s="15" t="str">
        <f t="shared" si="37"/>
        <v/>
      </c>
      <c r="AH578" s="15"/>
      <c r="AI578" s="15"/>
      <c r="AJ578" s="15"/>
      <c r="AK578" s="15"/>
      <c r="AL578" s="15"/>
      <c r="AM578" s="15"/>
      <c r="AN578" s="9"/>
      <c r="AO578" s="9"/>
      <c r="AP578" s="9"/>
      <c r="AQ578" s="9"/>
      <c r="AR578" s="9" t="str">
        <f t="shared" si="38"/>
        <v/>
      </c>
      <c r="AS578" s="15"/>
      <c r="AT578" s="15"/>
      <c r="AU578" s="15"/>
    </row>
    <row r="579" ht="15.75" customHeight="1">
      <c r="A579" s="15" t="str">
        <f t="shared" si="1"/>
        <v/>
      </c>
      <c r="B579" s="15"/>
      <c r="C579" s="15"/>
      <c r="D579" s="15"/>
      <c r="E579" s="15"/>
      <c r="F579" s="43"/>
      <c r="G579" s="15"/>
      <c r="H579" s="43"/>
      <c r="I579" s="15"/>
      <c r="J579" s="15"/>
      <c r="K579" s="78"/>
      <c r="L579" s="78"/>
      <c r="M579" s="78"/>
      <c r="N579" s="78"/>
      <c r="O579" s="78"/>
      <c r="P579" s="80"/>
      <c r="Q579" s="81"/>
      <c r="R579" s="82"/>
      <c r="S579" s="15"/>
      <c r="T579" s="15"/>
      <c r="U579" s="83"/>
      <c r="V579" s="81"/>
      <c r="W579" s="83"/>
      <c r="X579" s="81"/>
      <c r="Y579" s="83"/>
      <c r="Z579" s="81"/>
      <c r="AA579" s="37"/>
      <c r="AB579" s="37"/>
      <c r="AC579" s="15"/>
      <c r="AD579" s="9"/>
      <c r="AE579" s="38"/>
      <c r="AF579" s="38" t="str">
        <f t="shared" si="36"/>
        <v/>
      </c>
      <c r="AG579" s="15" t="str">
        <f t="shared" si="37"/>
        <v/>
      </c>
      <c r="AH579" s="15"/>
      <c r="AI579" s="15"/>
      <c r="AJ579" s="15"/>
      <c r="AK579" s="15"/>
      <c r="AL579" s="15"/>
      <c r="AM579" s="15"/>
      <c r="AN579" s="9"/>
      <c r="AO579" s="9"/>
      <c r="AP579" s="9"/>
      <c r="AQ579" s="9"/>
      <c r="AR579" s="9" t="str">
        <f t="shared" si="38"/>
        <v/>
      </c>
      <c r="AS579" s="15"/>
      <c r="AT579" s="15"/>
      <c r="AU579" s="15"/>
    </row>
    <row r="580" ht="15.75" customHeight="1">
      <c r="A580" s="15" t="str">
        <f t="shared" si="1"/>
        <v/>
      </c>
      <c r="B580" s="15"/>
      <c r="C580" s="15"/>
      <c r="D580" s="15"/>
      <c r="E580" s="15"/>
      <c r="F580" s="43"/>
      <c r="G580" s="15"/>
      <c r="H580" s="43"/>
      <c r="I580" s="15"/>
      <c r="J580" s="15"/>
      <c r="K580" s="78"/>
      <c r="L580" s="78"/>
      <c r="M580" s="78"/>
      <c r="N580" s="78"/>
      <c r="O580" s="78"/>
      <c r="P580" s="80"/>
      <c r="Q580" s="81"/>
      <c r="R580" s="82"/>
      <c r="S580" s="15"/>
      <c r="T580" s="15"/>
      <c r="U580" s="83"/>
      <c r="V580" s="81"/>
      <c r="W580" s="83"/>
      <c r="X580" s="81"/>
      <c r="Y580" s="83"/>
      <c r="Z580" s="81"/>
      <c r="AA580" s="37"/>
      <c r="AB580" s="37"/>
      <c r="AC580" s="15"/>
      <c r="AD580" s="9"/>
      <c r="AE580" s="38"/>
      <c r="AF580" s="38" t="str">
        <f t="shared" si="36"/>
        <v/>
      </c>
      <c r="AG580" s="15" t="str">
        <f t="shared" si="37"/>
        <v/>
      </c>
      <c r="AH580" s="15"/>
      <c r="AI580" s="15"/>
      <c r="AJ580" s="15"/>
      <c r="AK580" s="15"/>
      <c r="AL580" s="15"/>
      <c r="AM580" s="15"/>
      <c r="AN580" s="9"/>
      <c r="AO580" s="9"/>
      <c r="AP580" s="9"/>
      <c r="AQ580" s="9"/>
      <c r="AR580" s="9" t="str">
        <f t="shared" si="38"/>
        <v/>
      </c>
      <c r="AS580" s="15"/>
      <c r="AT580" s="15"/>
      <c r="AU580" s="15"/>
    </row>
    <row r="581" ht="15.75" customHeight="1">
      <c r="A581" s="15" t="str">
        <f t="shared" si="1"/>
        <v/>
      </c>
      <c r="B581" s="15"/>
      <c r="C581" s="15"/>
      <c r="D581" s="15"/>
      <c r="E581" s="15"/>
      <c r="F581" s="43"/>
      <c r="G581" s="15"/>
      <c r="H581" s="43"/>
      <c r="I581" s="15"/>
      <c r="J581" s="15"/>
      <c r="K581" s="78"/>
      <c r="L581" s="78"/>
      <c r="M581" s="78"/>
      <c r="N581" s="78"/>
      <c r="O581" s="78"/>
      <c r="P581" s="80"/>
      <c r="Q581" s="81"/>
      <c r="R581" s="82"/>
      <c r="S581" s="15"/>
      <c r="T581" s="15"/>
      <c r="U581" s="83"/>
      <c r="V581" s="81"/>
      <c r="W581" s="83"/>
      <c r="X581" s="81"/>
      <c r="Y581" s="83"/>
      <c r="Z581" s="81"/>
      <c r="AA581" s="37"/>
      <c r="AB581" s="37"/>
      <c r="AC581" s="15"/>
      <c r="AD581" s="9"/>
      <c r="AE581" s="38"/>
      <c r="AF581" s="38" t="str">
        <f t="shared" si="36"/>
        <v/>
      </c>
      <c r="AG581" s="15" t="str">
        <f t="shared" si="37"/>
        <v/>
      </c>
      <c r="AH581" s="15"/>
      <c r="AI581" s="15"/>
      <c r="AJ581" s="15"/>
      <c r="AK581" s="15"/>
      <c r="AL581" s="15"/>
      <c r="AM581" s="15"/>
      <c r="AN581" s="9"/>
      <c r="AO581" s="9"/>
      <c r="AP581" s="9"/>
      <c r="AQ581" s="9"/>
      <c r="AR581" s="9" t="str">
        <f t="shared" si="38"/>
        <v/>
      </c>
      <c r="AS581" s="15"/>
      <c r="AT581" s="15"/>
      <c r="AU581" s="15"/>
    </row>
    <row r="582" ht="15.75" customHeight="1">
      <c r="A582" s="15" t="str">
        <f t="shared" si="1"/>
        <v/>
      </c>
      <c r="B582" s="15"/>
      <c r="C582" s="15"/>
      <c r="D582" s="15"/>
      <c r="E582" s="15"/>
      <c r="F582" s="43"/>
      <c r="G582" s="15"/>
      <c r="H582" s="43"/>
      <c r="I582" s="15"/>
      <c r="J582" s="15"/>
      <c r="K582" s="78"/>
      <c r="L582" s="78"/>
      <c r="M582" s="78"/>
      <c r="N582" s="78"/>
      <c r="O582" s="78"/>
      <c r="P582" s="80"/>
      <c r="Q582" s="81"/>
      <c r="R582" s="82"/>
      <c r="S582" s="15"/>
      <c r="T582" s="15"/>
      <c r="U582" s="83"/>
      <c r="V582" s="81"/>
      <c r="W582" s="83"/>
      <c r="X582" s="81"/>
      <c r="Y582" s="83"/>
      <c r="Z582" s="81"/>
      <c r="AA582" s="37"/>
      <c r="AB582" s="37"/>
      <c r="AC582" s="15"/>
      <c r="AD582" s="9"/>
      <c r="AE582" s="38"/>
      <c r="AF582" s="38" t="str">
        <f t="shared" si="36"/>
        <v/>
      </c>
      <c r="AG582" s="15" t="str">
        <f t="shared" si="37"/>
        <v/>
      </c>
      <c r="AH582" s="15"/>
      <c r="AI582" s="15"/>
      <c r="AJ582" s="15"/>
      <c r="AK582" s="15"/>
      <c r="AL582" s="15"/>
      <c r="AM582" s="15"/>
      <c r="AN582" s="9"/>
      <c r="AO582" s="9"/>
      <c r="AP582" s="9"/>
      <c r="AQ582" s="9"/>
      <c r="AR582" s="9" t="str">
        <f t="shared" si="38"/>
        <v/>
      </c>
      <c r="AS582" s="15"/>
      <c r="AT582" s="15"/>
      <c r="AU582" s="15"/>
    </row>
    <row r="583" ht="15.75" customHeight="1">
      <c r="A583" s="15" t="str">
        <f t="shared" si="1"/>
        <v/>
      </c>
      <c r="B583" s="15"/>
      <c r="C583" s="15"/>
      <c r="D583" s="15"/>
      <c r="E583" s="15"/>
      <c r="F583" s="43"/>
      <c r="G583" s="15"/>
      <c r="H583" s="43"/>
      <c r="I583" s="15"/>
      <c r="J583" s="15"/>
      <c r="K583" s="78"/>
      <c r="L583" s="78"/>
      <c r="M583" s="78"/>
      <c r="N583" s="78"/>
      <c r="O583" s="78"/>
      <c r="P583" s="80"/>
      <c r="Q583" s="81"/>
      <c r="R583" s="82"/>
      <c r="S583" s="15"/>
      <c r="T583" s="15"/>
      <c r="U583" s="83"/>
      <c r="V583" s="81"/>
      <c r="W583" s="83"/>
      <c r="X583" s="81"/>
      <c r="Y583" s="83"/>
      <c r="Z583" s="81"/>
      <c r="AA583" s="37"/>
      <c r="AB583" s="37"/>
      <c r="AC583" s="15"/>
      <c r="AD583" s="9"/>
      <c r="AE583" s="38"/>
      <c r="AF583" s="38" t="str">
        <f t="shared" si="36"/>
        <v/>
      </c>
      <c r="AG583" s="15" t="str">
        <f t="shared" si="37"/>
        <v/>
      </c>
      <c r="AH583" s="15"/>
      <c r="AI583" s="15"/>
      <c r="AJ583" s="15"/>
      <c r="AK583" s="15"/>
      <c r="AL583" s="15"/>
      <c r="AM583" s="15"/>
      <c r="AN583" s="9"/>
      <c r="AO583" s="9"/>
      <c r="AP583" s="9"/>
      <c r="AQ583" s="9"/>
      <c r="AR583" s="9" t="str">
        <f t="shared" si="38"/>
        <v/>
      </c>
      <c r="AS583" s="15"/>
      <c r="AT583" s="15"/>
      <c r="AU583" s="15"/>
    </row>
    <row r="584" ht="15.75" customHeight="1">
      <c r="A584" s="15" t="str">
        <f t="shared" si="1"/>
        <v/>
      </c>
      <c r="B584" s="15"/>
      <c r="C584" s="15"/>
      <c r="D584" s="15"/>
      <c r="E584" s="15"/>
      <c r="F584" s="43"/>
      <c r="G584" s="15"/>
      <c r="H584" s="43"/>
      <c r="I584" s="15"/>
      <c r="J584" s="15"/>
      <c r="K584" s="78"/>
      <c r="L584" s="78"/>
      <c r="M584" s="78"/>
      <c r="N584" s="78"/>
      <c r="O584" s="78"/>
      <c r="P584" s="80"/>
      <c r="Q584" s="81"/>
      <c r="R584" s="82"/>
      <c r="S584" s="15"/>
      <c r="T584" s="15"/>
      <c r="U584" s="83"/>
      <c r="V584" s="81"/>
      <c r="W584" s="83"/>
      <c r="X584" s="81"/>
      <c r="Y584" s="83"/>
      <c r="Z584" s="81"/>
      <c r="AA584" s="37"/>
      <c r="AB584" s="37"/>
      <c r="AC584" s="15"/>
      <c r="AD584" s="9"/>
      <c r="AE584" s="38"/>
      <c r="AF584" s="38" t="str">
        <f t="shared" si="36"/>
        <v/>
      </c>
      <c r="AG584" s="15" t="str">
        <f t="shared" si="37"/>
        <v/>
      </c>
      <c r="AH584" s="15"/>
      <c r="AI584" s="15"/>
      <c r="AJ584" s="15"/>
      <c r="AK584" s="15"/>
      <c r="AL584" s="15"/>
      <c r="AM584" s="15"/>
      <c r="AN584" s="9"/>
      <c r="AO584" s="9"/>
      <c r="AP584" s="9"/>
      <c r="AQ584" s="9"/>
      <c r="AR584" s="9" t="str">
        <f t="shared" si="38"/>
        <v/>
      </c>
      <c r="AS584" s="15"/>
      <c r="AT584" s="15"/>
      <c r="AU584" s="15"/>
    </row>
    <row r="585" ht="15.75" customHeight="1">
      <c r="A585" s="15" t="str">
        <f t="shared" si="1"/>
        <v/>
      </c>
      <c r="B585" s="15"/>
      <c r="C585" s="15"/>
      <c r="D585" s="15"/>
      <c r="E585" s="15"/>
      <c r="F585" s="43"/>
      <c r="G585" s="15"/>
      <c r="H585" s="43"/>
      <c r="I585" s="15"/>
      <c r="J585" s="15"/>
      <c r="K585" s="78"/>
      <c r="L585" s="78"/>
      <c r="M585" s="78"/>
      <c r="N585" s="78"/>
      <c r="O585" s="78"/>
      <c r="P585" s="80"/>
      <c r="Q585" s="81"/>
      <c r="R585" s="82"/>
      <c r="S585" s="15"/>
      <c r="T585" s="15"/>
      <c r="U585" s="83"/>
      <c r="V585" s="81"/>
      <c r="W585" s="83"/>
      <c r="X585" s="81"/>
      <c r="Y585" s="83"/>
      <c r="Z585" s="81"/>
      <c r="AA585" s="37"/>
      <c r="AB585" s="37"/>
      <c r="AC585" s="15"/>
      <c r="AD585" s="9"/>
      <c r="AE585" s="38"/>
      <c r="AF585" s="38" t="str">
        <f t="shared" si="36"/>
        <v/>
      </c>
      <c r="AG585" s="15" t="str">
        <f t="shared" si="37"/>
        <v/>
      </c>
      <c r="AH585" s="15"/>
      <c r="AI585" s="15"/>
      <c r="AJ585" s="15"/>
      <c r="AK585" s="15"/>
      <c r="AL585" s="15"/>
      <c r="AM585" s="15"/>
      <c r="AN585" s="9"/>
      <c r="AO585" s="9"/>
      <c r="AP585" s="9"/>
      <c r="AQ585" s="9"/>
      <c r="AR585" s="9" t="str">
        <f t="shared" si="38"/>
        <v/>
      </c>
      <c r="AS585" s="15"/>
      <c r="AT585" s="15"/>
      <c r="AU585" s="15"/>
    </row>
    <row r="586" ht="15.75" customHeight="1">
      <c r="A586" s="15" t="str">
        <f t="shared" si="1"/>
        <v/>
      </c>
      <c r="B586" s="15"/>
      <c r="C586" s="15"/>
      <c r="D586" s="15"/>
      <c r="E586" s="15"/>
      <c r="F586" s="43"/>
      <c r="G586" s="15"/>
      <c r="H586" s="43"/>
      <c r="I586" s="15"/>
      <c r="J586" s="15"/>
      <c r="K586" s="78"/>
      <c r="L586" s="78"/>
      <c r="M586" s="78"/>
      <c r="N586" s="78"/>
      <c r="O586" s="78"/>
      <c r="P586" s="80"/>
      <c r="Q586" s="81"/>
      <c r="R586" s="82"/>
      <c r="S586" s="15"/>
      <c r="T586" s="15"/>
      <c r="U586" s="83"/>
      <c r="V586" s="81"/>
      <c r="W586" s="83"/>
      <c r="X586" s="81"/>
      <c r="Y586" s="83"/>
      <c r="Z586" s="81"/>
      <c r="AA586" s="37"/>
      <c r="AB586" s="37"/>
      <c r="AC586" s="15"/>
      <c r="AD586" s="9"/>
      <c r="AE586" s="38"/>
      <c r="AF586" s="38" t="str">
        <f t="shared" si="36"/>
        <v/>
      </c>
      <c r="AG586" s="15" t="str">
        <f t="shared" si="37"/>
        <v/>
      </c>
      <c r="AH586" s="15"/>
      <c r="AI586" s="15"/>
      <c r="AJ586" s="15"/>
      <c r="AK586" s="15"/>
      <c r="AL586" s="15"/>
      <c r="AM586" s="15"/>
      <c r="AN586" s="9"/>
      <c r="AO586" s="9"/>
      <c r="AP586" s="9"/>
      <c r="AQ586" s="9"/>
      <c r="AR586" s="9" t="str">
        <f t="shared" si="38"/>
        <v/>
      </c>
      <c r="AS586" s="15"/>
      <c r="AT586" s="15"/>
      <c r="AU586" s="15"/>
    </row>
    <row r="587" ht="15.75" customHeight="1">
      <c r="A587" s="15" t="str">
        <f t="shared" si="1"/>
        <v/>
      </c>
      <c r="B587" s="15"/>
      <c r="C587" s="15"/>
      <c r="D587" s="15"/>
      <c r="E587" s="15"/>
      <c r="F587" s="43"/>
      <c r="G587" s="15"/>
      <c r="H587" s="43"/>
      <c r="I587" s="15"/>
      <c r="J587" s="15"/>
      <c r="K587" s="78"/>
      <c r="L587" s="78"/>
      <c r="M587" s="78"/>
      <c r="N587" s="78"/>
      <c r="O587" s="78"/>
      <c r="P587" s="80"/>
      <c r="Q587" s="81"/>
      <c r="R587" s="82"/>
      <c r="S587" s="15"/>
      <c r="T587" s="15"/>
      <c r="U587" s="83"/>
      <c r="V587" s="81"/>
      <c r="W587" s="83"/>
      <c r="X587" s="81"/>
      <c r="Y587" s="83"/>
      <c r="Z587" s="81"/>
      <c r="AA587" s="37"/>
      <c r="AB587" s="37"/>
      <c r="AC587" s="15"/>
      <c r="AD587" s="9"/>
      <c r="AE587" s="38"/>
      <c r="AF587" s="38" t="str">
        <f t="shared" si="36"/>
        <v/>
      </c>
      <c r="AG587" s="15" t="str">
        <f t="shared" si="37"/>
        <v/>
      </c>
      <c r="AH587" s="15"/>
      <c r="AI587" s="15"/>
      <c r="AJ587" s="15"/>
      <c r="AK587" s="15"/>
      <c r="AL587" s="15"/>
      <c r="AM587" s="15"/>
      <c r="AN587" s="9"/>
      <c r="AO587" s="9"/>
      <c r="AP587" s="9"/>
      <c r="AQ587" s="9"/>
      <c r="AR587" s="9" t="str">
        <f t="shared" si="38"/>
        <v/>
      </c>
      <c r="AS587" s="15"/>
      <c r="AT587" s="15"/>
      <c r="AU587" s="15"/>
    </row>
    <row r="588" ht="15.75" customHeight="1">
      <c r="A588" s="15" t="str">
        <f t="shared" si="1"/>
        <v/>
      </c>
      <c r="B588" s="15"/>
      <c r="C588" s="15"/>
      <c r="D588" s="15"/>
      <c r="E588" s="15"/>
      <c r="F588" s="43"/>
      <c r="G588" s="15"/>
      <c r="H588" s="43"/>
      <c r="I588" s="15"/>
      <c r="J588" s="15"/>
      <c r="K588" s="78"/>
      <c r="L588" s="78"/>
      <c r="M588" s="78"/>
      <c r="N588" s="78"/>
      <c r="O588" s="78"/>
      <c r="P588" s="80"/>
      <c r="Q588" s="81"/>
      <c r="R588" s="82"/>
      <c r="S588" s="15"/>
      <c r="T588" s="15"/>
      <c r="U588" s="83"/>
      <c r="V588" s="81"/>
      <c r="W588" s="83"/>
      <c r="X588" s="81"/>
      <c r="Y588" s="83"/>
      <c r="Z588" s="81"/>
      <c r="AA588" s="37"/>
      <c r="AB588" s="37"/>
      <c r="AC588" s="15"/>
      <c r="AD588" s="9"/>
      <c r="AE588" s="38"/>
      <c r="AF588" s="38" t="str">
        <f t="shared" si="36"/>
        <v/>
      </c>
      <c r="AG588" s="15" t="str">
        <f t="shared" si="37"/>
        <v/>
      </c>
      <c r="AH588" s="15"/>
      <c r="AI588" s="15"/>
      <c r="AJ588" s="15"/>
      <c r="AK588" s="15"/>
      <c r="AL588" s="15"/>
      <c r="AM588" s="15"/>
      <c r="AN588" s="9"/>
      <c r="AO588" s="9"/>
      <c r="AP588" s="9"/>
      <c r="AQ588" s="9"/>
      <c r="AR588" s="9" t="str">
        <f t="shared" si="38"/>
        <v/>
      </c>
      <c r="AS588" s="15"/>
      <c r="AT588" s="15"/>
      <c r="AU588" s="15"/>
    </row>
    <row r="589" ht="15.75" customHeight="1">
      <c r="A589" s="15" t="str">
        <f t="shared" si="1"/>
        <v/>
      </c>
      <c r="B589" s="15"/>
      <c r="C589" s="15"/>
      <c r="D589" s="15"/>
      <c r="E589" s="15"/>
      <c r="F589" s="43"/>
      <c r="G589" s="15"/>
      <c r="H589" s="43"/>
      <c r="I589" s="15"/>
      <c r="J589" s="15"/>
      <c r="K589" s="78"/>
      <c r="L589" s="78"/>
      <c r="M589" s="78"/>
      <c r="N589" s="78"/>
      <c r="O589" s="78"/>
      <c r="P589" s="80"/>
      <c r="Q589" s="81"/>
      <c r="R589" s="82"/>
      <c r="S589" s="15"/>
      <c r="T589" s="15"/>
      <c r="U589" s="83"/>
      <c r="V589" s="81"/>
      <c r="W589" s="83"/>
      <c r="X589" s="81"/>
      <c r="Y589" s="83"/>
      <c r="Z589" s="81"/>
      <c r="AA589" s="37"/>
      <c r="AB589" s="37"/>
      <c r="AC589" s="15"/>
      <c r="AD589" s="9"/>
      <c r="AE589" s="38"/>
      <c r="AF589" s="38" t="str">
        <f t="shared" si="36"/>
        <v/>
      </c>
      <c r="AG589" s="15" t="str">
        <f t="shared" si="37"/>
        <v/>
      </c>
      <c r="AH589" s="15"/>
      <c r="AI589" s="15"/>
      <c r="AJ589" s="15"/>
      <c r="AK589" s="15"/>
      <c r="AL589" s="15"/>
      <c r="AM589" s="15"/>
      <c r="AN589" s="9"/>
      <c r="AO589" s="9"/>
      <c r="AP589" s="9"/>
      <c r="AQ589" s="9"/>
      <c r="AR589" s="9" t="str">
        <f t="shared" si="38"/>
        <v/>
      </c>
      <c r="AS589" s="15"/>
      <c r="AT589" s="15"/>
      <c r="AU589" s="15"/>
    </row>
    <row r="590" ht="15.75" customHeight="1">
      <c r="A590" s="15" t="str">
        <f t="shared" si="1"/>
        <v/>
      </c>
      <c r="B590" s="15"/>
      <c r="C590" s="15"/>
      <c r="D590" s="15"/>
      <c r="E590" s="15"/>
      <c r="F590" s="43"/>
      <c r="G590" s="15"/>
      <c r="H590" s="43"/>
      <c r="I590" s="15"/>
      <c r="J590" s="15"/>
      <c r="K590" s="78"/>
      <c r="L590" s="78"/>
      <c r="M590" s="78"/>
      <c r="N590" s="78"/>
      <c r="O590" s="78"/>
      <c r="P590" s="80"/>
      <c r="Q590" s="81"/>
      <c r="R590" s="82"/>
      <c r="S590" s="15"/>
      <c r="T590" s="15"/>
      <c r="U590" s="83"/>
      <c r="V590" s="81"/>
      <c r="W590" s="83"/>
      <c r="X590" s="81"/>
      <c r="Y590" s="83"/>
      <c r="Z590" s="81"/>
      <c r="AA590" s="37"/>
      <c r="AB590" s="37"/>
      <c r="AC590" s="15"/>
      <c r="AD590" s="9"/>
      <c r="AE590" s="38"/>
      <c r="AF590" s="38" t="str">
        <f t="shared" si="36"/>
        <v/>
      </c>
      <c r="AG590" s="15" t="str">
        <f t="shared" si="37"/>
        <v/>
      </c>
      <c r="AH590" s="15"/>
      <c r="AI590" s="15"/>
      <c r="AJ590" s="15"/>
      <c r="AK590" s="15"/>
      <c r="AL590" s="15"/>
      <c r="AM590" s="15"/>
      <c r="AN590" s="9"/>
      <c r="AO590" s="9"/>
      <c r="AP590" s="9"/>
      <c r="AQ590" s="9"/>
      <c r="AR590" s="9" t="str">
        <f t="shared" si="38"/>
        <v/>
      </c>
      <c r="AS590" s="15"/>
      <c r="AT590" s="15"/>
      <c r="AU590" s="15"/>
    </row>
    <row r="591" ht="15.75" customHeight="1">
      <c r="A591" s="15" t="str">
        <f t="shared" si="1"/>
        <v/>
      </c>
      <c r="B591" s="15"/>
      <c r="C591" s="15"/>
      <c r="D591" s="15"/>
      <c r="E591" s="15"/>
      <c r="F591" s="43"/>
      <c r="G591" s="15"/>
      <c r="H591" s="43"/>
      <c r="I591" s="15"/>
      <c r="J591" s="15"/>
      <c r="K591" s="78"/>
      <c r="L591" s="78"/>
      <c r="M591" s="78"/>
      <c r="N591" s="78"/>
      <c r="O591" s="78"/>
      <c r="P591" s="80"/>
      <c r="Q591" s="81"/>
      <c r="R591" s="82"/>
      <c r="S591" s="15"/>
      <c r="T591" s="15"/>
      <c r="U591" s="83"/>
      <c r="V591" s="81"/>
      <c r="W591" s="83"/>
      <c r="X591" s="81"/>
      <c r="Y591" s="83"/>
      <c r="Z591" s="81"/>
      <c r="AA591" s="37"/>
      <c r="AB591" s="37"/>
      <c r="AC591" s="15"/>
      <c r="AD591" s="9"/>
      <c r="AE591" s="38"/>
      <c r="AF591" s="38" t="str">
        <f t="shared" si="36"/>
        <v/>
      </c>
      <c r="AG591" s="15" t="str">
        <f t="shared" si="37"/>
        <v/>
      </c>
      <c r="AH591" s="15"/>
      <c r="AI591" s="15"/>
      <c r="AJ591" s="15"/>
      <c r="AK591" s="15"/>
      <c r="AL591" s="15"/>
      <c r="AM591" s="15"/>
      <c r="AN591" s="9"/>
      <c r="AO591" s="9"/>
      <c r="AP591" s="9"/>
      <c r="AQ591" s="9"/>
      <c r="AR591" s="9" t="str">
        <f t="shared" si="38"/>
        <v/>
      </c>
      <c r="AS591" s="15"/>
      <c r="AT591" s="15"/>
      <c r="AU591" s="15"/>
    </row>
    <row r="592" ht="15.75" customHeight="1">
      <c r="A592" s="15" t="str">
        <f t="shared" si="1"/>
        <v/>
      </c>
      <c r="B592" s="15"/>
      <c r="C592" s="15"/>
      <c r="D592" s="15"/>
      <c r="E592" s="15"/>
      <c r="F592" s="43"/>
      <c r="G592" s="15"/>
      <c r="H592" s="43"/>
      <c r="I592" s="15"/>
      <c r="J592" s="15"/>
      <c r="K592" s="78"/>
      <c r="L592" s="78"/>
      <c r="M592" s="78"/>
      <c r="N592" s="78"/>
      <c r="O592" s="78"/>
      <c r="P592" s="80"/>
      <c r="Q592" s="81"/>
      <c r="R592" s="82"/>
      <c r="S592" s="15"/>
      <c r="T592" s="15"/>
      <c r="U592" s="83"/>
      <c r="V592" s="81"/>
      <c r="W592" s="83"/>
      <c r="X592" s="81"/>
      <c r="Y592" s="83"/>
      <c r="Z592" s="81"/>
      <c r="AA592" s="37"/>
      <c r="AB592" s="37"/>
      <c r="AC592" s="15"/>
      <c r="AD592" s="9"/>
      <c r="AE592" s="38"/>
      <c r="AF592" s="38" t="str">
        <f t="shared" si="36"/>
        <v/>
      </c>
      <c r="AG592" s="15" t="str">
        <f t="shared" si="37"/>
        <v/>
      </c>
      <c r="AH592" s="15"/>
      <c r="AI592" s="15"/>
      <c r="AJ592" s="15"/>
      <c r="AK592" s="15"/>
      <c r="AL592" s="15"/>
      <c r="AM592" s="15"/>
      <c r="AN592" s="9"/>
      <c r="AO592" s="9"/>
      <c r="AP592" s="9"/>
      <c r="AQ592" s="9"/>
      <c r="AR592" s="9" t="str">
        <f t="shared" si="38"/>
        <v/>
      </c>
      <c r="AS592" s="15"/>
      <c r="AT592" s="15"/>
      <c r="AU592" s="15"/>
    </row>
    <row r="593" ht="15.75" customHeight="1">
      <c r="A593" s="15" t="str">
        <f t="shared" si="1"/>
        <v/>
      </c>
      <c r="B593" s="15"/>
      <c r="C593" s="15"/>
      <c r="D593" s="15"/>
      <c r="E593" s="15"/>
      <c r="F593" s="43"/>
      <c r="G593" s="15"/>
      <c r="H593" s="43"/>
      <c r="I593" s="15"/>
      <c r="J593" s="15"/>
      <c r="K593" s="78"/>
      <c r="L593" s="78"/>
      <c r="M593" s="78"/>
      <c r="N593" s="78"/>
      <c r="O593" s="78"/>
      <c r="P593" s="80"/>
      <c r="Q593" s="81"/>
      <c r="R593" s="82"/>
      <c r="S593" s="15"/>
      <c r="T593" s="15"/>
      <c r="U593" s="83"/>
      <c r="V593" s="81"/>
      <c r="W593" s="83"/>
      <c r="X593" s="81"/>
      <c r="Y593" s="83"/>
      <c r="Z593" s="81"/>
      <c r="AA593" s="37"/>
      <c r="AB593" s="37"/>
      <c r="AC593" s="15"/>
      <c r="AD593" s="9"/>
      <c r="AE593" s="38"/>
      <c r="AF593" s="38" t="str">
        <f t="shared" si="36"/>
        <v/>
      </c>
      <c r="AG593" s="15" t="str">
        <f t="shared" si="37"/>
        <v/>
      </c>
      <c r="AH593" s="15"/>
      <c r="AI593" s="15"/>
      <c r="AJ593" s="15"/>
      <c r="AK593" s="15"/>
      <c r="AL593" s="15"/>
      <c r="AM593" s="15"/>
      <c r="AN593" s="9"/>
      <c r="AO593" s="9"/>
      <c r="AP593" s="9"/>
      <c r="AQ593" s="9"/>
      <c r="AR593" s="9" t="str">
        <f t="shared" si="38"/>
        <v/>
      </c>
      <c r="AS593" s="15"/>
      <c r="AT593" s="15"/>
      <c r="AU593" s="15"/>
    </row>
    <row r="594" ht="15.75" customHeight="1">
      <c r="A594" s="15" t="str">
        <f t="shared" si="1"/>
        <v/>
      </c>
      <c r="B594" s="15"/>
      <c r="C594" s="15"/>
      <c r="D594" s="15"/>
      <c r="E594" s="15"/>
      <c r="F594" s="43"/>
      <c r="G594" s="15"/>
      <c r="H594" s="43"/>
      <c r="I594" s="15"/>
      <c r="J594" s="15"/>
      <c r="K594" s="78"/>
      <c r="L594" s="78"/>
      <c r="M594" s="78"/>
      <c r="N594" s="78"/>
      <c r="O594" s="78"/>
      <c r="P594" s="80"/>
      <c r="Q594" s="81"/>
      <c r="R594" s="82"/>
      <c r="S594" s="15"/>
      <c r="T594" s="15"/>
      <c r="U594" s="83"/>
      <c r="V594" s="81"/>
      <c r="W594" s="83"/>
      <c r="X594" s="81"/>
      <c r="Y594" s="83"/>
      <c r="Z594" s="81"/>
      <c r="AA594" s="37"/>
      <c r="AB594" s="37"/>
      <c r="AC594" s="15"/>
      <c r="AD594" s="9"/>
      <c r="AE594" s="38"/>
      <c r="AF594" s="38" t="str">
        <f t="shared" si="36"/>
        <v/>
      </c>
      <c r="AG594" s="15" t="str">
        <f t="shared" si="37"/>
        <v/>
      </c>
      <c r="AH594" s="15"/>
      <c r="AI594" s="15"/>
      <c r="AJ594" s="15"/>
      <c r="AK594" s="15"/>
      <c r="AL594" s="15"/>
      <c r="AM594" s="15"/>
      <c r="AN594" s="9"/>
      <c r="AO594" s="9"/>
      <c r="AP594" s="9"/>
      <c r="AQ594" s="9"/>
      <c r="AR594" s="9" t="str">
        <f t="shared" si="38"/>
        <v/>
      </c>
      <c r="AS594" s="15"/>
      <c r="AT594" s="15"/>
      <c r="AU594" s="15"/>
    </row>
    <row r="595" ht="15.75" customHeight="1">
      <c r="A595" s="15" t="str">
        <f t="shared" si="1"/>
        <v/>
      </c>
      <c r="B595" s="15"/>
      <c r="C595" s="15"/>
      <c r="D595" s="15"/>
      <c r="E595" s="15"/>
      <c r="F595" s="43"/>
      <c r="G595" s="15"/>
      <c r="H595" s="43"/>
      <c r="I595" s="15"/>
      <c r="J595" s="15"/>
      <c r="K595" s="78"/>
      <c r="L595" s="78"/>
      <c r="M595" s="78"/>
      <c r="N595" s="78"/>
      <c r="O595" s="78"/>
      <c r="P595" s="80"/>
      <c r="Q595" s="81"/>
      <c r="R595" s="82"/>
      <c r="S595" s="15"/>
      <c r="T595" s="15"/>
      <c r="U595" s="83"/>
      <c r="V595" s="81"/>
      <c r="W595" s="83"/>
      <c r="X595" s="81"/>
      <c r="Y595" s="83"/>
      <c r="Z595" s="81"/>
      <c r="AA595" s="37"/>
      <c r="AB595" s="37"/>
      <c r="AC595" s="15"/>
      <c r="AD595" s="9"/>
      <c r="AE595" s="38"/>
      <c r="AF595" s="38" t="str">
        <f t="shared" si="36"/>
        <v/>
      </c>
      <c r="AG595" s="15" t="str">
        <f t="shared" si="37"/>
        <v/>
      </c>
      <c r="AH595" s="15"/>
      <c r="AI595" s="15"/>
      <c r="AJ595" s="15"/>
      <c r="AK595" s="15"/>
      <c r="AL595" s="15"/>
      <c r="AM595" s="15"/>
      <c r="AN595" s="9"/>
      <c r="AO595" s="9"/>
      <c r="AP595" s="9"/>
      <c r="AQ595" s="9"/>
      <c r="AR595" s="9" t="str">
        <f t="shared" si="38"/>
        <v/>
      </c>
      <c r="AS595" s="15"/>
      <c r="AT595" s="15"/>
      <c r="AU595" s="15"/>
    </row>
    <row r="596" ht="15.75" customHeight="1">
      <c r="A596" s="15" t="str">
        <f t="shared" si="1"/>
        <v/>
      </c>
      <c r="B596" s="15"/>
      <c r="C596" s="15"/>
      <c r="D596" s="15"/>
      <c r="E596" s="15"/>
      <c r="F596" s="43"/>
      <c r="G596" s="15"/>
      <c r="H596" s="43"/>
      <c r="I596" s="15"/>
      <c r="J596" s="15"/>
      <c r="K596" s="78"/>
      <c r="L596" s="78"/>
      <c r="M596" s="78"/>
      <c r="N596" s="78"/>
      <c r="O596" s="78"/>
      <c r="P596" s="80"/>
      <c r="Q596" s="81"/>
      <c r="R596" s="82"/>
      <c r="S596" s="15"/>
      <c r="T596" s="15"/>
      <c r="U596" s="83"/>
      <c r="V596" s="81"/>
      <c r="W596" s="83"/>
      <c r="X596" s="81"/>
      <c r="Y596" s="83"/>
      <c r="Z596" s="81"/>
      <c r="AA596" s="37"/>
      <c r="AB596" s="37"/>
      <c r="AC596" s="15"/>
      <c r="AD596" s="9"/>
      <c r="AE596" s="38"/>
      <c r="AF596" s="38" t="str">
        <f t="shared" si="36"/>
        <v/>
      </c>
      <c r="AG596" s="15" t="str">
        <f t="shared" si="37"/>
        <v/>
      </c>
      <c r="AH596" s="15"/>
      <c r="AI596" s="15"/>
      <c r="AJ596" s="15"/>
      <c r="AK596" s="15"/>
      <c r="AL596" s="15"/>
      <c r="AM596" s="15"/>
      <c r="AN596" s="9"/>
      <c r="AO596" s="9"/>
      <c r="AP596" s="9"/>
      <c r="AQ596" s="9"/>
      <c r="AR596" s="9" t="str">
        <f t="shared" si="38"/>
        <v/>
      </c>
      <c r="AS596" s="15"/>
      <c r="AT596" s="15"/>
      <c r="AU596" s="15"/>
    </row>
    <row r="597" ht="15.75" customHeight="1">
      <c r="A597" s="15" t="str">
        <f t="shared" si="1"/>
        <v/>
      </c>
      <c r="B597" s="15"/>
      <c r="C597" s="15"/>
      <c r="D597" s="15"/>
      <c r="E597" s="15"/>
      <c r="F597" s="43"/>
      <c r="G597" s="15"/>
      <c r="H597" s="43"/>
      <c r="I597" s="15"/>
      <c r="J597" s="15"/>
      <c r="K597" s="78"/>
      <c r="L597" s="78"/>
      <c r="M597" s="78"/>
      <c r="N597" s="78"/>
      <c r="O597" s="78"/>
      <c r="P597" s="80"/>
      <c r="Q597" s="81"/>
      <c r="R597" s="82"/>
      <c r="S597" s="15"/>
      <c r="T597" s="15"/>
      <c r="U597" s="83"/>
      <c r="V597" s="81"/>
      <c r="W597" s="83"/>
      <c r="X597" s="81"/>
      <c r="Y597" s="83"/>
      <c r="Z597" s="81"/>
      <c r="AA597" s="37"/>
      <c r="AB597" s="37"/>
      <c r="AC597" s="15"/>
      <c r="AD597" s="9"/>
      <c r="AE597" s="38"/>
      <c r="AF597" s="38" t="str">
        <f t="shared" si="36"/>
        <v/>
      </c>
      <c r="AG597" s="15" t="str">
        <f t="shared" si="37"/>
        <v/>
      </c>
      <c r="AH597" s="15"/>
      <c r="AI597" s="15"/>
      <c r="AJ597" s="15"/>
      <c r="AK597" s="15"/>
      <c r="AL597" s="15"/>
      <c r="AM597" s="15"/>
      <c r="AN597" s="9"/>
      <c r="AO597" s="9"/>
      <c r="AP597" s="9"/>
      <c r="AQ597" s="9"/>
      <c r="AR597" s="9" t="str">
        <f t="shared" si="38"/>
        <v/>
      </c>
      <c r="AS597" s="15"/>
      <c r="AT597" s="15"/>
      <c r="AU597" s="15"/>
    </row>
    <row r="598" ht="15.75" customHeight="1">
      <c r="A598" s="15" t="str">
        <f t="shared" si="1"/>
        <v/>
      </c>
      <c r="B598" s="15"/>
      <c r="C598" s="15"/>
      <c r="D598" s="15"/>
      <c r="E598" s="15"/>
      <c r="F598" s="43"/>
      <c r="G598" s="15"/>
      <c r="H598" s="43"/>
      <c r="I598" s="15"/>
      <c r="J598" s="15"/>
      <c r="K598" s="78"/>
      <c r="L598" s="78"/>
      <c r="M598" s="78"/>
      <c r="N598" s="78"/>
      <c r="O598" s="78"/>
      <c r="P598" s="80"/>
      <c r="Q598" s="81"/>
      <c r="R598" s="82"/>
      <c r="S598" s="15"/>
      <c r="T598" s="15"/>
      <c r="U598" s="83"/>
      <c r="V598" s="81"/>
      <c r="W598" s="83"/>
      <c r="X598" s="81"/>
      <c r="Y598" s="83"/>
      <c r="Z598" s="81"/>
      <c r="AA598" s="37"/>
      <c r="AB598" s="37"/>
      <c r="AC598" s="15"/>
      <c r="AD598" s="9"/>
      <c r="AE598" s="38"/>
      <c r="AF598" s="38" t="str">
        <f t="shared" si="36"/>
        <v/>
      </c>
      <c r="AG598" s="15" t="str">
        <f t="shared" si="37"/>
        <v/>
      </c>
      <c r="AH598" s="15"/>
      <c r="AI598" s="15"/>
      <c r="AJ598" s="15"/>
      <c r="AK598" s="15"/>
      <c r="AL598" s="15"/>
      <c r="AM598" s="15"/>
      <c r="AN598" s="9"/>
      <c r="AO598" s="9"/>
      <c r="AP598" s="9"/>
      <c r="AQ598" s="9"/>
      <c r="AR598" s="9" t="str">
        <f t="shared" si="38"/>
        <v/>
      </c>
      <c r="AS598" s="15"/>
      <c r="AT598" s="15"/>
      <c r="AU598" s="15"/>
    </row>
    <row r="599" ht="15.75" customHeight="1">
      <c r="F599" s="77"/>
      <c r="H599" s="77"/>
      <c r="P599" s="84"/>
      <c r="U599" s="85"/>
      <c r="W599" s="85"/>
      <c r="Y599" s="85"/>
      <c r="AA599" s="85"/>
      <c r="AB599" s="85"/>
      <c r="AE599" s="85"/>
      <c r="AF599" s="85"/>
    </row>
    <row r="600" ht="15.75" customHeight="1">
      <c r="F600" s="77"/>
      <c r="H600" s="77"/>
      <c r="P600" s="84"/>
      <c r="U600" s="85"/>
      <c r="W600" s="85"/>
      <c r="Y600" s="85"/>
      <c r="AA600" s="85"/>
      <c r="AB600" s="85"/>
      <c r="AE600" s="85"/>
      <c r="AF600" s="85"/>
    </row>
    <row r="601" ht="15.75" customHeight="1">
      <c r="F601" s="77"/>
      <c r="H601" s="77"/>
      <c r="P601" s="84"/>
      <c r="U601" s="85"/>
      <c r="W601" s="85"/>
      <c r="Y601" s="85"/>
      <c r="AA601" s="85"/>
      <c r="AB601" s="85"/>
      <c r="AE601" s="85"/>
      <c r="AF601" s="85"/>
    </row>
    <row r="602" ht="15.75" customHeight="1">
      <c r="F602" s="77"/>
      <c r="H602" s="77"/>
      <c r="P602" s="84"/>
      <c r="U602" s="85"/>
      <c r="W602" s="85"/>
      <c r="Y602" s="85"/>
      <c r="AA602" s="85"/>
      <c r="AB602" s="85"/>
      <c r="AE602" s="85"/>
      <c r="AF602" s="85"/>
    </row>
    <row r="603" ht="15.75" customHeight="1">
      <c r="F603" s="77"/>
      <c r="H603" s="77"/>
      <c r="P603" s="84"/>
      <c r="U603" s="85"/>
      <c r="W603" s="85"/>
      <c r="Y603" s="85"/>
      <c r="AA603" s="85"/>
      <c r="AB603" s="85"/>
      <c r="AE603" s="85"/>
      <c r="AF603" s="85"/>
    </row>
    <row r="604" ht="15.75" customHeight="1">
      <c r="F604" s="77"/>
      <c r="H604" s="77"/>
      <c r="P604" s="84"/>
      <c r="U604" s="85"/>
      <c r="W604" s="85"/>
      <c r="Y604" s="85"/>
      <c r="AA604" s="85"/>
      <c r="AB604" s="85"/>
      <c r="AE604" s="85"/>
      <c r="AF604" s="85"/>
    </row>
    <row r="605" ht="15.75" customHeight="1">
      <c r="F605" s="77"/>
      <c r="H605" s="77"/>
      <c r="P605" s="84"/>
      <c r="U605" s="85"/>
      <c r="W605" s="85"/>
      <c r="Y605" s="85"/>
      <c r="AA605" s="85"/>
      <c r="AB605" s="85"/>
      <c r="AE605" s="85"/>
      <c r="AF605" s="85"/>
    </row>
    <row r="606" ht="15.75" customHeight="1">
      <c r="F606" s="77"/>
      <c r="H606" s="77"/>
      <c r="P606" s="84"/>
      <c r="U606" s="85"/>
      <c r="W606" s="85"/>
      <c r="Y606" s="85"/>
      <c r="AA606" s="85"/>
      <c r="AB606" s="85"/>
      <c r="AE606" s="85"/>
      <c r="AF606" s="85"/>
    </row>
    <row r="607" ht="15.75" customHeight="1">
      <c r="F607" s="77"/>
      <c r="H607" s="77"/>
      <c r="P607" s="84"/>
      <c r="U607" s="85"/>
      <c r="W607" s="85"/>
      <c r="Y607" s="85"/>
      <c r="AA607" s="85"/>
      <c r="AB607" s="85"/>
      <c r="AE607" s="85"/>
      <c r="AF607" s="85"/>
    </row>
    <row r="608" ht="15.75" customHeight="1">
      <c r="F608" s="77"/>
      <c r="H608" s="77"/>
      <c r="P608" s="84"/>
      <c r="U608" s="85"/>
      <c r="W608" s="85"/>
      <c r="Y608" s="85"/>
      <c r="AA608" s="85"/>
      <c r="AB608" s="85"/>
      <c r="AE608" s="85"/>
      <c r="AF608" s="85"/>
    </row>
    <row r="609" ht="15.75" customHeight="1">
      <c r="F609" s="77"/>
      <c r="H609" s="77"/>
      <c r="P609" s="84"/>
      <c r="U609" s="85"/>
      <c r="W609" s="85"/>
      <c r="Y609" s="85"/>
      <c r="AA609" s="85"/>
      <c r="AB609" s="85"/>
      <c r="AE609" s="85"/>
      <c r="AF609" s="85"/>
    </row>
    <row r="610" ht="15.75" customHeight="1">
      <c r="F610" s="77"/>
      <c r="H610" s="77"/>
      <c r="P610" s="84"/>
      <c r="U610" s="85"/>
      <c r="W610" s="85"/>
      <c r="Y610" s="85"/>
      <c r="AA610" s="85"/>
      <c r="AB610" s="85"/>
      <c r="AE610" s="85"/>
      <c r="AF610" s="85"/>
    </row>
    <row r="611" ht="15.75" customHeight="1">
      <c r="F611" s="77"/>
      <c r="H611" s="77"/>
      <c r="P611" s="84"/>
      <c r="U611" s="85"/>
      <c r="W611" s="85"/>
      <c r="Y611" s="85"/>
      <c r="AA611" s="85"/>
      <c r="AB611" s="85"/>
      <c r="AE611" s="85"/>
      <c r="AF611" s="85"/>
    </row>
    <row r="612" ht="15.75" customHeight="1">
      <c r="F612" s="77"/>
      <c r="H612" s="77"/>
      <c r="P612" s="84"/>
      <c r="U612" s="85"/>
      <c r="W612" s="85"/>
      <c r="Y612" s="85"/>
      <c r="AA612" s="85"/>
      <c r="AB612" s="85"/>
      <c r="AE612" s="85"/>
      <c r="AF612" s="85"/>
    </row>
    <row r="613" ht="15.75" customHeight="1">
      <c r="F613" s="77"/>
      <c r="H613" s="77"/>
      <c r="P613" s="84"/>
      <c r="U613" s="85"/>
      <c r="W613" s="85"/>
      <c r="Y613" s="85"/>
      <c r="AA613" s="85"/>
      <c r="AB613" s="85"/>
      <c r="AE613" s="85"/>
      <c r="AF613" s="85"/>
    </row>
    <row r="614" ht="15.75" customHeight="1">
      <c r="F614" s="77"/>
      <c r="H614" s="77"/>
      <c r="P614" s="84"/>
      <c r="U614" s="85"/>
      <c r="W614" s="85"/>
      <c r="Y614" s="85"/>
      <c r="AA614" s="85"/>
      <c r="AB614" s="85"/>
      <c r="AE614" s="85"/>
      <c r="AF614" s="85"/>
    </row>
    <row r="615" ht="15.75" customHeight="1">
      <c r="F615" s="77"/>
      <c r="H615" s="77"/>
      <c r="P615" s="84"/>
      <c r="U615" s="85"/>
      <c r="W615" s="85"/>
      <c r="Y615" s="85"/>
      <c r="AA615" s="85"/>
      <c r="AB615" s="85"/>
      <c r="AE615" s="85"/>
      <c r="AF615" s="85"/>
    </row>
    <row r="616" ht="15.75" customHeight="1">
      <c r="F616" s="77"/>
      <c r="H616" s="77"/>
      <c r="P616" s="84"/>
      <c r="U616" s="85"/>
      <c r="W616" s="85"/>
      <c r="Y616" s="85"/>
      <c r="AA616" s="85"/>
      <c r="AB616" s="85"/>
      <c r="AE616" s="85"/>
      <c r="AF616" s="85"/>
    </row>
    <row r="617" ht="15.75" customHeight="1">
      <c r="F617" s="77"/>
      <c r="H617" s="77"/>
      <c r="P617" s="84"/>
      <c r="U617" s="85"/>
      <c r="W617" s="85"/>
      <c r="Y617" s="85"/>
      <c r="AA617" s="85"/>
      <c r="AB617" s="85"/>
      <c r="AE617" s="85"/>
      <c r="AF617" s="85"/>
    </row>
    <row r="618" ht="15.75" customHeight="1">
      <c r="F618" s="77"/>
      <c r="H618" s="77"/>
      <c r="P618" s="84"/>
      <c r="U618" s="85"/>
      <c r="W618" s="85"/>
      <c r="Y618" s="85"/>
      <c r="AA618" s="85"/>
      <c r="AB618" s="85"/>
      <c r="AE618" s="85"/>
      <c r="AF618" s="85"/>
    </row>
    <row r="619" ht="15.75" customHeight="1">
      <c r="F619" s="77"/>
      <c r="H619" s="77"/>
      <c r="P619" s="84"/>
      <c r="U619" s="85"/>
      <c r="W619" s="85"/>
      <c r="Y619" s="85"/>
      <c r="AA619" s="85"/>
      <c r="AB619" s="85"/>
      <c r="AE619" s="85"/>
      <c r="AF619" s="85"/>
    </row>
    <row r="620" ht="15.75" customHeight="1">
      <c r="F620" s="77"/>
      <c r="H620" s="77"/>
      <c r="P620" s="84"/>
      <c r="U620" s="85"/>
      <c r="W620" s="85"/>
      <c r="Y620" s="85"/>
      <c r="AA620" s="85"/>
      <c r="AB620" s="85"/>
      <c r="AE620" s="85"/>
      <c r="AF620" s="85"/>
    </row>
    <row r="621" ht="15.75" customHeight="1">
      <c r="F621" s="77"/>
      <c r="H621" s="77"/>
      <c r="P621" s="84"/>
      <c r="U621" s="85"/>
      <c r="W621" s="85"/>
      <c r="Y621" s="85"/>
      <c r="AA621" s="85"/>
      <c r="AB621" s="85"/>
      <c r="AE621" s="85"/>
      <c r="AF621" s="85"/>
    </row>
    <row r="622" ht="15.75" customHeight="1">
      <c r="F622" s="77"/>
      <c r="H622" s="77"/>
      <c r="P622" s="84"/>
      <c r="U622" s="85"/>
      <c r="W622" s="85"/>
      <c r="Y622" s="85"/>
      <c r="AA622" s="85"/>
      <c r="AB622" s="85"/>
      <c r="AE622" s="85"/>
      <c r="AF622" s="85"/>
    </row>
    <row r="623" ht="15.75" customHeight="1">
      <c r="F623" s="77"/>
      <c r="H623" s="77"/>
      <c r="P623" s="84"/>
      <c r="U623" s="85"/>
      <c r="W623" s="85"/>
      <c r="Y623" s="85"/>
      <c r="AA623" s="85"/>
      <c r="AB623" s="85"/>
      <c r="AE623" s="85"/>
      <c r="AF623" s="85"/>
    </row>
    <row r="624" ht="15.75" customHeight="1">
      <c r="F624" s="77"/>
      <c r="H624" s="77"/>
      <c r="P624" s="84"/>
      <c r="U624" s="85"/>
      <c r="W624" s="85"/>
      <c r="Y624" s="85"/>
      <c r="AA624" s="85"/>
      <c r="AB624" s="85"/>
      <c r="AE624" s="85"/>
      <c r="AF624" s="85"/>
    </row>
    <row r="625" ht="15.75" customHeight="1">
      <c r="F625" s="77"/>
      <c r="H625" s="77"/>
      <c r="P625" s="84"/>
      <c r="U625" s="85"/>
      <c r="W625" s="85"/>
      <c r="Y625" s="85"/>
      <c r="AA625" s="85"/>
      <c r="AB625" s="85"/>
      <c r="AE625" s="85"/>
      <c r="AF625" s="85"/>
    </row>
    <row r="626" ht="15.75" customHeight="1">
      <c r="F626" s="77"/>
      <c r="H626" s="77"/>
      <c r="P626" s="84"/>
      <c r="U626" s="85"/>
      <c r="W626" s="85"/>
      <c r="Y626" s="85"/>
      <c r="AA626" s="85"/>
      <c r="AB626" s="85"/>
      <c r="AE626" s="85"/>
      <c r="AF626" s="85"/>
    </row>
    <row r="627" ht="15.75" customHeight="1">
      <c r="F627" s="77"/>
      <c r="H627" s="77"/>
      <c r="P627" s="84"/>
      <c r="U627" s="85"/>
      <c r="W627" s="85"/>
      <c r="Y627" s="85"/>
      <c r="AA627" s="85"/>
      <c r="AB627" s="85"/>
      <c r="AE627" s="85"/>
      <c r="AF627" s="85"/>
    </row>
    <row r="628" ht="15.75" customHeight="1">
      <c r="F628" s="77"/>
      <c r="H628" s="77"/>
      <c r="P628" s="84"/>
      <c r="U628" s="85"/>
      <c r="W628" s="85"/>
      <c r="Y628" s="85"/>
      <c r="AA628" s="85"/>
      <c r="AB628" s="85"/>
      <c r="AE628" s="85"/>
      <c r="AF628" s="85"/>
    </row>
    <row r="629" ht="15.75" customHeight="1">
      <c r="F629" s="77"/>
      <c r="H629" s="77"/>
      <c r="P629" s="84"/>
      <c r="U629" s="85"/>
      <c r="W629" s="85"/>
      <c r="Y629" s="85"/>
      <c r="AA629" s="85"/>
      <c r="AB629" s="85"/>
      <c r="AE629" s="85"/>
      <c r="AF629" s="85"/>
    </row>
    <row r="630" ht="15.75" customHeight="1">
      <c r="F630" s="77"/>
      <c r="H630" s="77"/>
      <c r="P630" s="84"/>
      <c r="U630" s="85"/>
      <c r="W630" s="85"/>
      <c r="Y630" s="85"/>
      <c r="AA630" s="85"/>
      <c r="AB630" s="85"/>
      <c r="AE630" s="85"/>
      <c r="AF630" s="85"/>
    </row>
    <row r="631" ht="15.75" customHeight="1">
      <c r="F631" s="77"/>
      <c r="H631" s="77"/>
      <c r="P631" s="84"/>
      <c r="U631" s="85"/>
      <c r="W631" s="85"/>
      <c r="Y631" s="85"/>
      <c r="AA631" s="85"/>
      <c r="AB631" s="85"/>
      <c r="AE631" s="85"/>
      <c r="AF631" s="85"/>
    </row>
    <row r="632" ht="15.75" customHeight="1">
      <c r="F632" s="77"/>
      <c r="H632" s="77"/>
      <c r="P632" s="84"/>
      <c r="U632" s="85"/>
      <c r="W632" s="85"/>
      <c r="Y632" s="85"/>
      <c r="AA632" s="85"/>
      <c r="AB632" s="85"/>
      <c r="AE632" s="85"/>
      <c r="AF632" s="85"/>
    </row>
    <row r="633" ht="15.75" customHeight="1">
      <c r="F633" s="77"/>
      <c r="H633" s="77"/>
      <c r="P633" s="84"/>
      <c r="U633" s="85"/>
      <c r="W633" s="85"/>
      <c r="Y633" s="85"/>
      <c r="AA633" s="85"/>
      <c r="AB633" s="85"/>
      <c r="AE633" s="85"/>
      <c r="AF633" s="85"/>
    </row>
    <row r="634" ht="15.75" customHeight="1">
      <c r="F634" s="77"/>
      <c r="H634" s="77"/>
      <c r="P634" s="84"/>
      <c r="U634" s="85"/>
      <c r="W634" s="85"/>
      <c r="Y634" s="85"/>
      <c r="AA634" s="85"/>
      <c r="AB634" s="85"/>
      <c r="AE634" s="85"/>
      <c r="AF634" s="85"/>
    </row>
    <row r="635" ht="15.75" customHeight="1">
      <c r="F635" s="77"/>
      <c r="H635" s="77"/>
      <c r="P635" s="84"/>
      <c r="U635" s="85"/>
      <c r="W635" s="85"/>
      <c r="Y635" s="85"/>
      <c r="AA635" s="85"/>
      <c r="AB635" s="85"/>
      <c r="AE635" s="85"/>
      <c r="AF635" s="85"/>
    </row>
    <row r="636" ht="15.75" customHeight="1">
      <c r="F636" s="77"/>
      <c r="H636" s="77"/>
      <c r="P636" s="84"/>
      <c r="U636" s="85"/>
      <c r="W636" s="85"/>
      <c r="Y636" s="85"/>
      <c r="AA636" s="85"/>
      <c r="AB636" s="85"/>
      <c r="AE636" s="85"/>
      <c r="AF636" s="85"/>
    </row>
    <row r="637" ht="15.75" customHeight="1">
      <c r="F637" s="77"/>
      <c r="H637" s="77"/>
      <c r="P637" s="84"/>
      <c r="U637" s="85"/>
      <c r="W637" s="85"/>
      <c r="Y637" s="85"/>
      <c r="AA637" s="85"/>
      <c r="AB637" s="85"/>
      <c r="AE637" s="85"/>
      <c r="AF637" s="85"/>
    </row>
    <row r="638" ht="15.75" customHeight="1">
      <c r="F638" s="77"/>
      <c r="H638" s="77"/>
      <c r="P638" s="84"/>
      <c r="U638" s="85"/>
      <c r="W638" s="85"/>
      <c r="Y638" s="85"/>
      <c r="AA638" s="85"/>
      <c r="AB638" s="85"/>
      <c r="AE638" s="85"/>
      <c r="AF638" s="85"/>
    </row>
    <row r="639" ht="15.75" customHeight="1">
      <c r="F639" s="77"/>
      <c r="H639" s="77"/>
      <c r="P639" s="84"/>
      <c r="U639" s="85"/>
      <c r="W639" s="85"/>
      <c r="Y639" s="85"/>
      <c r="AA639" s="85"/>
      <c r="AB639" s="85"/>
      <c r="AE639" s="85"/>
      <c r="AF639" s="85"/>
    </row>
    <row r="640" ht="15.75" customHeight="1">
      <c r="F640" s="77"/>
      <c r="H640" s="77"/>
      <c r="P640" s="84"/>
      <c r="U640" s="85"/>
      <c r="W640" s="85"/>
      <c r="Y640" s="85"/>
      <c r="AA640" s="85"/>
      <c r="AB640" s="85"/>
      <c r="AE640" s="85"/>
      <c r="AF640" s="85"/>
    </row>
    <row r="641" ht="15.75" customHeight="1">
      <c r="F641" s="77"/>
      <c r="H641" s="77"/>
      <c r="P641" s="84"/>
      <c r="U641" s="85"/>
      <c r="W641" s="85"/>
      <c r="Y641" s="85"/>
      <c r="AA641" s="85"/>
      <c r="AB641" s="85"/>
      <c r="AE641" s="85"/>
      <c r="AF641" s="85"/>
    </row>
    <row r="642" ht="15.75" customHeight="1">
      <c r="F642" s="77"/>
      <c r="H642" s="77"/>
      <c r="P642" s="84"/>
      <c r="U642" s="85"/>
      <c r="W642" s="85"/>
      <c r="Y642" s="85"/>
      <c r="AA642" s="85"/>
      <c r="AB642" s="85"/>
      <c r="AE642" s="85"/>
      <c r="AF642" s="85"/>
    </row>
    <row r="643" ht="15.75" customHeight="1">
      <c r="F643" s="77"/>
      <c r="H643" s="77"/>
      <c r="P643" s="84"/>
      <c r="U643" s="85"/>
      <c r="W643" s="85"/>
      <c r="Y643" s="85"/>
      <c r="AA643" s="85"/>
      <c r="AB643" s="85"/>
      <c r="AE643" s="85"/>
      <c r="AF643" s="85"/>
    </row>
    <row r="644" ht="15.75" customHeight="1">
      <c r="F644" s="77"/>
      <c r="H644" s="77"/>
      <c r="P644" s="84"/>
      <c r="U644" s="85"/>
      <c r="W644" s="85"/>
      <c r="Y644" s="85"/>
      <c r="AA644" s="85"/>
      <c r="AB644" s="85"/>
      <c r="AE644" s="85"/>
      <c r="AF644" s="85"/>
    </row>
    <row r="645" ht="15.75" customHeight="1">
      <c r="F645" s="77"/>
      <c r="H645" s="77"/>
      <c r="P645" s="84"/>
      <c r="U645" s="85"/>
      <c r="W645" s="85"/>
      <c r="Y645" s="85"/>
      <c r="AA645" s="85"/>
      <c r="AB645" s="85"/>
      <c r="AE645" s="85"/>
      <c r="AF645" s="85"/>
    </row>
    <row r="646" ht="15.75" customHeight="1">
      <c r="F646" s="77"/>
      <c r="H646" s="77"/>
      <c r="P646" s="84"/>
      <c r="U646" s="85"/>
      <c r="W646" s="85"/>
      <c r="Y646" s="85"/>
      <c r="AA646" s="85"/>
      <c r="AB646" s="85"/>
      <c r="AE646" s="85"/>
      <c r="AF646" s="85"/>
    </row>
    <row r="647" ht="15.75" customHeight="1">
      <c r="F647" s="77"/>
      <c r="H647" s="77"/>
      <c r="P647" s="84"/>
      <c r="U647" s="85"/>
      <c r="W647" s="85"/>
      <c r="Y647" s="85"/>
      <c r="AA647" s="85"/>
      <c r="AB647" s="85"/>
      <c r="AE647" s="85"/>
      <c r="AF647" s="85"/>
    </row>
    <row r="648" ht="15.75" customHeight="1">
      <c r="F648" s="77"/>
      <c r="H648" s="77"/>
      <c r="P648" s="84"/>
      <c r="U648" s="85"/>
      <c r="W648" s="85"/>
      <c r="Y648" s="85"/>
      <c r="AA648" s="85"/>
      <c r="AB648" s="85"/>
      <c r="AE648" s="85"/>
      <c r="AF648" s="85"/>
    </row>
    <row r="649" ht="15.75" customHeight="1">
      <c r="F649" s="77"/>
      <c r="H649" s="77"/>
      <c r="P649" s="84"/>
      <c r="U649" s="85"/>
      <c r="W649" s="85"/>
      <c r="Y649" s="85"/>
      <c r="AA649" s="85"/>
      <c r="AB649" s="85"/>
      <c r="AE649" s="85"/>
      <c r="AF649" s="85"/>
    </row>
    <row r="650" ht="15.75" customHeight="1">
      <c r="F650" s="77"/>
      <c r="H650" s="77"/>
      <c r="P650" s="84"/>
      <c r="U650" s="85"/>
      <c r="W650" s="85"/>
      <c r="Y650" s="85"/>
      <c r="AA650" s="85"/>
      <c r="AB650" s="85"/>
      <c r="AE650" s="85"/>
      <c r="AF650" s="85"/>
    </row>
    <row r="651" ht="15.75" customHeight="1">
      <c r="F651" s="77"/>
      <c r="H651" s="77"/>
      <c r="P651" s="84"/>
      <c r="U651" s="85"/>
      <c r="W651" s="85"/>
      <c r="Y651" s="85"/>
      <c r="AA651" s="85"/>
      <c r="AB651" s="85"/>
      <c r="AE651" s="85"/>
      <c r="AF651" s="85"/>
    </row>
    <row r="652" ht="15.75" customHeight="1">
      <c r="F652" s="77"/>
      <c r="H652" s="77"/>
      <c r="P652" s="84"/>
      <c r="U652" s="85"/>
      <c r="W652" s="85"/>
      <c r="Y652" s="85"/>
      <c r="AA652" s="85"/>
      <c r="AB652" s="85"/>
      <c r="AE652" s="85"/>
      <c r="AF652" s="85"/>
    </row>
    <row r="653" ht="15.75" customHeight="1">
      <c r="F653" s="77"/>
      <c r="H653" s="77"/>
      <c r="P653" s="84"/>
      <c r="U653" s="85"/>
      <c r="W653" s="85"/>
      <c r="Y653" s="85"/>
      <c r="AA653" s="85"/>
      <c r="AB653" s="85"/>
      <c r="AE653" s="85"/>
      <c r="AF653" s="85"/>
    </row>
    <row r="654" ht="15.75" customHeight="1">
      <c r="F654" s="77"/>
      <c r="H654" s="77"/>
      <c r="P654" s="84"/>
      <c r="U654" s="85"/>
      <c r="W654" s="85"/>
      <c r="Y654" s="85"/>
      <c r="AA654" s="85"/>
      <c r="AB654" s="85"/>
      <c r="AE654" s="85"/>
      <c r="AF654" s="85"/>
    </row>
    <row r="655" ht="15.75" customHeight="1">
      <c r="F655" s="77"/>
      <c r="H655" s="77"/>
      <c r="P655" s="84"/>
      <c r="U655" s="85"/>
      <c r="W655" s="85"/>
      <c r="Y655" s="85"/>
      <c r="AA655" s="85"/>
      <c r="AB655" s="85"/>
      <c r="AE655" s="85"/>
      <c r="AF655" s="85"/>
    </row>
    <row r="656" ht="15.75" customHeight="1">
      <c r="F656" s="77"/>
      <c r="H656" s="77"/>
      <c r="P656" s="84"/>
      <c r="U656" s="85"/>
      <c r="W656" s="85"/>
      <c r="Y656" s="85"/>
      <c r="AA656" s="85"/>
      <c r="AB656" s="85"/>
      <c r="AE656" s="85"/>
      <c r="AF656" s="85"/>
    </row>
    <row r="657" ht="15.75" customHeight="1">
      <c r="F657" s="77"/>
      <c r="H657" s="77"/>
      <c r="P657" s="84"/>
      <c r="U657" s="85"/>
      <c r="W657" s="85"/>
      <c r="Y657" s="85"/>
      <c r="AA657" s="85"/>
      <c r="AB657" s="85"/>
      <c r="AE657" s="85"/>
      <c r="AF657" s="85"/>
    </row>
    <row r="658" ht="15.75" customHeight="1">
      <c r="F658" s="77"/>
      <c r="H658" s="77"/>
      <c r="P658" s="84"/>
      <c r="U658" s="85"/>
      <c r="W658" s="85"/>
      <c r="Y658" s="85"/>
      <c r="AA658" s="85"/>
      <c r="AB658" s="85"/>
      <c r="AE658" s="85"/>
      <c r="AF658" s="85"/>
    </row>
    <row r="659" ht="15.75" customHeight="1">
      <c r="F659" s="77"/>
      <c r="H659" s="77"/>
      <c r="P659" s="84"/>
      <c r="U659" s="85"/>
      <c r="W659" s="85"/>
      <c r="Y659" s="85"/>
      <c r="AA659" s="85"/>
      <c r="AB659" s="85"/>
      <c r="AE659" s="85"/>
      <c r="AF659" s="85"/>
    </row>
    <row r="660" ht="15.75" customHeight="1">
      <c r="F660" s="77"/>
      <c r="H660" s="77"/>
      <c r="P660" s="84"/>
      <c r="U660" s="85"/>
      <c r="W660" s="85"/>
      <c r="Y660" s="85"/>
      <c r="AA660" s="85"/>
      <c r="AB660" s="85"/>
      <c r="AE660" s="85"/>
      <c r="AF660" s="85"/>
    </row>
    <row r="661" ht="15.75" customHeight="1">
      <c r="F661" s="77"/>
      <c r="H661" s="77"/>
      <c r="P661" s="84"/>
      <c r="U661" s="85"/>
      <c r="W661" s="85"/>
      <c r="Y661" s="85"/>
      <c r="AA661" s="85"/>
      <c r="AB661" s="85"/>
      <c r="AE661" s="85"/>
      <c r="AF661" s="85"/>
    </row>
    <row r="662" ht="15.75" customHeight="1">
      <c r="F662" s="77"/>
      <c r="H662" s="77"/>
      <c r="P662" s="84"/>
      <c r="U662" s="85"/>
      <c r="W662" s="85"/>
      <c r="Y662" s="85"/>
      <c r="AA662" s="85"/>
      <c r="AB662" s="85"/>
      <c r="AE662" s="85"/>
      <c r="AF662" s="85"/>
    </row>
    <row r="663" ht="15.75" customHeight="1">
      <c r="F663" s="77"/>
      <c r="H663" s="77"/>
      <c r="P663" s="84"/>
      <c r="U663" s="85"/>
      <c r="W663" s="85"/>
      <c r="Y663" s="85"/>
      <c r="AA663" s="85"/>
      <c r="AB663" s="85"/>
      <c r="AE663" s="85"/>
      <c r="AF663" s="85"/>
    </row>
    <row r="664" ht="15.75" customHeight="1">
      <c r="F664" s="77"/>
      <c r="H664" s="77"/>
      <c r="P664" s="84"/>
      <c r="U664" s="85"/>
      <c r="W664" s="85"/>
      <c r="Y664" s="85"/>
      <c r="AA664" s="85"/>
      <c r="AB664" s="85"/>
      <c r="AE664" s="85"/>
      <c r="AF664" s="85"/>
    </row>
    <row r="665" ht="15.75" customHeight="1">
      <c r="F665" s="77"/>
      <c r="H665" s="77"/>
      <c r="P665" s="84"/>
      <c r="U665" s="85"/>
      <c r="W665" s="85"/>
      <c r="Y665" s="85"/>
      <c r="AA665" s="85"/>
      <c r="AB665" s="85"/>
      <c r="AE665" s="85"/>
      <c r="AF665" s="85"/>
    </row>
    <row r="666" ht="15.75" customHeight="1">
      <c r="F666" s="77"/>
      <c r="H666" s="77"/>
      <c r="P666" s="84"/>
      <c r="U666" s="85"/>
      <c r="W666" s="85"/>
      <c r="Y666" s="85"/>
      <c r="AA666" s="85"/>
      <c r="AB666" s="85"/>
      <c r="AE666" s="85"/>
      <c r="AF666" s="85"/>
    </row>
    <row r="667" ht="15.75" customHeight="1">
      <c r="F667" s="77"/>
      <c r="H667" s="77"/>
      <c r="P667" s="84"/>
      <c r="U667" s="85"/>
      <c r="W667" s="85"/>
      <c r="Y667" s="85"/>
      <c r="AA667" s="85"/>
      <c r="AB667" s="85"/>
      <c r="AE667" s="85"/>
      <c r="AF667" s="85"/>
    </row>
    <row r="668" ht="15.75" customHeight="1">
      <c r="F668" s="77"/>
      <c r="H668" s="77"/>
      <c r="P668" s="84"/>
      <c r="U668" s="85"/>
      <c r="W668" s="85"/>
      <c r="Y668" s="85"/>
      <c r="AA668" s="85"/>
      <c r="AB668" s="85"/>
      <c r="AE668" s="85"/>
      <c r="AF668" s="85"/>
    </row>
    <row r="669" ht="15.75" customHeight="1">
      <c r="F669" s="77"/>
      <c r="H669" s="77"/>
      <c r="P669" s="84"/>
      <c r="U669" s="85"/>
      <c r="W669" s="85"/>
      <c r="Y669" s="85"/>
      <c r="AA669" s="85"/>
      <c r="AB669" s="85"/>
      <c r="AE669" s="85"/>
      <c r="AF669" s="85"/>
    </row>
    <row r="670" ht="15.75" customHeight="1">
      <c r="F670" s="77"/>
      <c r="H670" s="77"/>
      <c r="P670" s="84"/>
      <c r="U670" s="85"/>
      <c r="W670" s="85"/>
      <c r="Y670" s="85"/>
      <c r="AA670" s="85"/>
      <c r="AB670" s="85"/>
      <c r="AE670" s="85"/>
      <c r="AF670" s="85"/>
    </row>
    <row r="671" ht="15.75" customHeight="1">
      <c r="F671" s="77"/>
      <c r="H671" s="77"/>
      <c r="P671" s="84"/>
      <c r="U671" s="85"/>
      <c r="W671" s="85"/>
      <c r="Y671" s="85"/>
      <c r="AA671" s="85"/>
      <c r="AB671" s="85"/>
      <c r="AE671" s="85"/>
      <c r="AF671" s="85"/>
    </row>
    <row r="672" ht="15.75" customHeight="1">
      <c r="F672" s="77"/>
      <c r="H672" s="77"/>
      <c r="P672" s="84"/>
      <c r="U672" s="85"/>
      <c r="W672" s="85"/>
      <c r="Y672" s="85"/>
      <c r="AA672" s="85"/>
      <c r="AB672" s="85"/>
      <c r="AE672" s="85"/>
      <c r="AF672" s="85"/>
    </row>
    <row r="673" ht="15.75" customHeight="1">
      <c r="F673" s="77"/>
      <c r="H673" s="77"/>
      <c r="P673" s="84"/>
      <c r="U673" s="85"/>
      <c r="W673" s="85"/>
      <c r="Y673" s="85"/>
      <c r="AA673" s="85"/>
      <c r="AB673" s="85"/>
      <c r="AE673" s="85"/>
      <c r="AF673" s="85"/>
    </row>
    <row r="674" ht="15.75" customHeight="1">
      <c r="F674" s="77"/>
      <c r="H674" s="77"/>
      <c r="P674" s="84"/>
      <c r="U674" s="85"/>
      <c r="W674" s="85"/>
      <c r="Y674" s="85"/>
      <c r="AA674" s="85"/>
      <c r="AB674" s="85"/>
      <c r="AE674" s="85"/>
      <c r="AF674" s="85"/>
    </row>
    <row r="675" ht="15.75" customHeight="1">
      <c r="F675" s="77"/>
      <c r="H675" s="77"/>
      <c r="P675" s="84"/>
      <c r="U675" s="85"/>
      <c r="W675" s="85"/>
      <c r="Y675" s="85"/>
      <c r="AA675" s="85"/>
      <c r="AB675" s="85"/>
      <c r="AE675" s="85"/>
      <c r="AF675" s="85"/>
    </row>
    <row r="676" ht="15.75" customHeight="1">
      <c r="F676" s="77"/>
      <c r="H676" s="77"/>
      <c r="P676" s="84"/>
      <c r="U676" s="85"/>
      <c r="W676" s="85"/>
      <c r="Y676" s="85"/>
      <c r="AA676" s="85"/>
      <c r="AB676" s="85"/>
      <c r="AE676" s="85"/>
      <c r="AF676" s="85"/>
    </row>
    <row r="677" ht="15.75" customHeight="1">
      <c r="F677" s="77"/>
      <c r="H677" s="77"/>
      <c r="P677" s="84"/>
      <c r="U677" s="85"/>
      <c r="W677" s="85"/>
      <c r="Y677" s="85"/>
      <c r="AA677" s="85"/>
      <c r="AB677" s="85"/>
      <c r="AE677" s="85"/>
      <c r="AF677" s="85"/>
    </row>
    <row r="678" ht="15.75" customHeight="1">
      <c r="F678" s="77"/>
      <c r="H678" s="77"/>
      <c r="P678" s="84"/>
      <c r="U678" s="85"/>
      <c r="W678" s="85"/>
      <c r="Y678" s="85"/>
      <c r="AA678" s="85"/>
      <c r="AB678" s="85"/>
      <c r="AE678" s="85"/>
      <c r="AF678" s="85"/>
    </row>
    <row r="679" ht="15.75" customHeight="1">
      <c r="F679" s="77"/>
      <c r="H679" s="77"/>
      <c r="P679" s="84"/>
      <c r="U679" s="85"/>
      <c r="W679" s="85"/>
      <c r="Y679" s="85"/>
      <c r="AA679" s="85"/>
      <c r="AB679" s="85"/>
      <c r="AE679" s="85"/>
      <c r="AF679" s="85"/>
    </row>
    <row r="680" ht="15.75" customHeight="1">
      <c r="F680" s="77"/>
      <c r="H680" s="77"/>
      <c r="P680" s="84"/>
      <c r="U680" s="85"/>
      <c r="W680" s="85"/>
      <c r="Y680" s="85"/>
      <c r="AA680" s="85"/>
      <c r="AB680" s="85"/>
      <c r="AE680" s="85"/>
      <c r="AF680" s="85"/>
    </row>
    <row r="681" ht="15.75" customHeight="1">
      <c r="F681" s="77"/>
      <c r="H681" s="77"/>
      <c r="P681" s="84"/>
      <c r="U681" s="85"/>
      <c r="W681" s="85"/>
      <c r="Y681" s="85"/>
      <c r="AA681" s="85"/>
      <c r="AB681" s="85"/>
      <c r="AE681" s="85"/>
      <c r="AF681" s="85"/>
    </row>
    <row r="682" ht="15.75" customHeight="1">
      <c r="F682" s="77"/>
      <c r="H682" s="77"/>
      <c r="P682" s="84"/>
      <c r="U682" s="85"/>
      <c r="W682" s="85"/>
      <c r="Y682" s="85"/>
      <c r="AA682" s="85"/>
      <c r="AB682" s="85"/>
      <c r="AE682" s="85"/>
      <c r="AF682" s="85"/>
    </row>
    <row r="683" ht="15.75" customHeight="1">
      <c r="F683" s="77"/>
      <c r="H683" s="77"/>
      <c r="P683" s="84"/>
      <c r="U683" s="85"/>
      <c r="W683" s="85"/>
      <c r="Y683" s="85"/>
      <c r="AA683" s="85"/>
      <c r="AB683" s="85"/>
      <c r="AE683" s="85"/>
      <c r="AF683" s="85"/>
    </row>
    <row r="684" ht="15.75" customHeight="1">
      <c r="F684" s="77"/>
      <c r="H684" s="77"/>
      <c r="P684" s="84"/>
      <c r="U684" s="85"/>
      <c r="W684" s="85"/>
      <c r="Y684" s="85"/>
      <c r="AA684" s="85"/>
      <c r="AB684" s="85"/>
      <c r="AE684" s="85"/>
      <c r="AF684" s="85"/>
    </row>
    <row r="685" ht="15.75" customHeight="1">
      <c r="F685" s="77"/>
      <c r="H685" s="77"/>
      <c r="P685" s="84"/>
      <c r="U685" s="85"/>
      <c r="W685" s="85"/>
      <c r="Y685" s="85"/>
      <c r="AA685" s="85"/>
      <c r="AB685" s="85"/>
      <c r="AE685" s="85"/>
      <c r="AF685" s="85"/>
    </row>
    <row r="686" ht="15.75" customHeight="1">
      <c r="F686" s="77"/>
      <c r="H686" s="77"/>
      <c r="P686" s="84"/>
      <c r="U686" s="85"/>
      <c r="W686" s="85"/>
      <c r="Y686" s="85"/>
      <c r="AA686" s="85"/>
      <c r="AB686" s="85"/>
      <c r="AE686" s="85"/>
      <c r="AF686" s="85"/>
    </row>
    <row r="687" ht="15.75" customHeight="1">
      <c r="F687" s="77"/>
      <c r="H687" s="77"/>
      <c r="P687" s="84"/>
      <c r="U687" s="85"/>
      <c r="W687" s="85"/>
      <c r="Y687" s="85"/>
      <c r="AA687" s="85"/>
      <c r="AB687" s="85"/>
      <c r="AE687" s="85"/>
      <c r="AF687" s="85"/>
    </row>
    <row r="688" ht="15.75" customHeight="1">
      <c r="F688" s="77"/>
      <c r="H688" s="77"/>
      <c r="P688" s="84"/>
      <c r="U688" s="85"/>
      <c r="W688" s="85"/>
      <c r="Y688" s="85"/>
      <c r="AA688" s="85"/>
      <c r="AB688" s="85"/>
      <c r="AE688" s="85"/>
      <c r="AF688" s="85"/>
    </row>
    <row r="689" ht="15.75" customHeight="1">
      <c r="F689" s="77"/>
      <c r="H689" s="77"/>
      <c r="P689" s="84"/>
      <c r="U689" s="85"/>
      <c r="W689" s="85"/>
      <c r="Y689" s="85"/>
      <c r="AA689" s="85"/>
      <c r="AB689" s="85"/>
      <c r="AE689" s="85"/>
      <c r="AF689" s="85"/>
    </row>
    <row r="690" ht="15.75" customHeight="1">
      <c r="F690" s="77"/>
      <c r="H690" s="77"/>
      <c r="P690" s="84"/>
      <c r="U690" s="85"/>
      <c r="W690" s="85"/>
      <c r="Y690" s="85"/>
      <c r="AA690" s="85"/>
      <c r="AB690" s="85"/>
      <c r="AE690" s="85"/>
      <c r="AF690" s="85"/>
    </row>
    <row r="691" ht="15.75" customHeight="1">
      <c r="F691" s="77"/>
      <c r="H691" s="77"/>
      <c r="P691" s="84"/>
      <c r="U691" s="85"/>
      <c r="W691" s="85"/>
      <c r="Y691" s="85"/>
      <c r="AA691" s="85"/>
      <c r="AB691" s="85"/>
      <c r="AE691" s="85"/>
      <c r="AF691" s="85"/>
    </row>
    <row r="692" ht="15.75" customHeight="1">
      <c r="F692" s="77"/>
      <c r="H692" s="77"/>
      <c r="P692" s="84"/>
      <c r="U692" s="85"/>
      <c r="W692" s="85"/>
      <c r="Y692" s="85"/>
      <c r="AA692" s="85"/>
      <c r="AB692" s="85"/>
      <c r="AE692" s="85"/>
      <c r="AF692" s="85"/>
    </row>
    <row r="693" ht="15.75" customHeight="1">
      <c r="F693" s="77"/>
      <c r="H693" s="77"/>
      <c r="P693" s="84"/>
      <c r="U693" s="85"/>
      <c r="W693" s="85"/>
      <c r="Y693" s="85"/>
      <c r="AA693" s="85"/>
      <c r="AB693" s="85"/>
      <c r="AE693" s="85"/>
      <c r="AF693" s="85"/>
    </row>
    <row r="694" ht="15.75" customHeight="1">
      <c r="F694" s="77"/>
      <c r="H694" s="77"/>
      <c r="P694" s="84"/>
      <c r="U694" s="85"/>
      <c r="W694" s="85"/>
      <c r="Y694" s="85"/>
      <c r="AA694" s="85"/>
      <c r="AB694" s="85"/>
      <c r="AE694" s="85"/>
      <c r="AF694" s="85"/>
    </row>
    <row r="695" ht="15.75" customHeight="1">
      <c r="F695" s="77"/>
      <c r="H695" s="77"/>
      <c r="P695" s="84"/>
      <c r="U695" s="85"/>
      <c r="W695" s="85"/>
      <c r="Y695" s="85"/>
      <c r="AA695" s="85"/>
      <c r="AB695" s="85"/>
      <c r="AE695" s="85"/>
      <c r="AF695" s="85"/>
    </row>
    <row r="696" ht="15.75" customHeight="1">
      <c r="F696" s="77"/>
      <c r="H696" s="77"/>
      <c r="P696" s="84"/>
      <c r="U696" s="85"/>
      <c r="W696" s="85"/>
      <c r="Y696" s="85"/>
      <c r="AA696" s="85"/>
      <c r="AB696" s="85"/>
      <c r="AE696" s="85"/>
      <c r="AF696" s="85"/>
    </row>
    <row r="697" ht="15.75" customHeight="1">
      <c r="F697" s="77"/>
      <c r="H697" s="77"/>
      <c r="P697" s="84"/>
      <c r="U697" s="85"/>
      <c r="W697" s="85"/>
      <c r="Y697" s="85"/>
      <c r="AA697" s="85"/>
      <c r="AB697" s="85"/>
      <c r="AE697" s="85"/>
      <c r="AF697" s="85"/>
    </row>
    <row r="698" ht="15.75" customHeight="1">
      <c r="F698" s="77"/>
      <c r="H698" s="77"/>
      <c r="P698" s="84"/>
      <c r="U698" s="85"/>
      <c r="W698" s="85"/>
      <c r="Y698" s="85"/>
      <c r="AA698" s="85"/>
      <c r="AB698" s="85"/>
      <c r="AE698" s="85"/>
      <c r="AF698" s="85"/>
    </row>
    <row r="699" ht="15.75" customHeight="1">
      <c r="F699" s="77"/>
      <c r="H699" s="77"/>
      <c r="P699" s="84"/>
      <c r="U699" s="85"/>
      <c r="W699" s="85"/>
      <c r="Y699" s="85"/>
      <c r="AA699" s="85"/>
      <c r="AB699" s="85"/>
      <c r="AE699" s="85"/>
      <c r="AF699" s="85"/>
    </row>
    <row r="700" ht="15.75" customHeight="1">
      <c r="F700" s="77"/>
      <c r="H700" s="77"/>
      <c r="P700" s="84"/>
      <c r="U700" s="85"/>
      <c r="W700" s="85"/>
      <c r="Y700" s="85"/>
      <c r="AA700" s="85"/>
      <c r="AB700" s="85"/>
      <c r="AE700" s="85"/>
      <c r="AF700" s="85"/>
    </row>
    <row r="701" ht="15.75" customHeight="1">
      <c r="F701" s="77"/>
      <c r="H701" s="77"/>
      <c r="P701" s="84"/>
      <c r="U701" s="85"/>
      <c r="W701" s="85"/>
      <c r="Y701" s="85"/>
      <c r="AA701" s="85"/>
      <c r="AB701" s="85"/>
      <c r="AE701" s="85"/>
      <c r="AF701" s="85"/>
    </row>
    <row r="702" ht="15.75" customHeight="1">
      <c r="F702" s="77"/>
      <c r="H702" s="77"/>
      <c r="P702" s="84"/>
      <c r="U702" s="85"/>
      <c r="W702" s="85"/>
      <c r="Y702" s="85"/>
      <c r="AA702" s="85"/>
      <c r="AB702" s="85"/>
      <c r="AE702" s="85"/>
      <c r="AF702" s="85"/>
    </row>
    <row r="703" ht="15.75" customHeight="1">
      <c r="F703" s="77"/>
      <c r="H703" s="77"/>
      <c r="P703" s="84"/>
      <c r="U703" s="85"/>
      <c r="W703" s="85"/>
      <c r="Y703" s="85"/>
      <c r="AA703" s="85"/>
      <c r="AB703" s="85"/>
      <c r="AE703" s="85"/>
      <c r="AF703" s="85"/>
    </row>
    <row r="704" ht="15.75" customHeight="1">
      <c r="F704" s="77"/>
      <c r="H704" s="77"/>
      <c r="P704" s="84"/>
      <c r="U704" s="85"/>
      <c r="W704" s="85"/>
      <c r="Y704" s="85"/>
      <c r="AA704" s="85"/>
      <c r="AB704" s="85"/>
      <c r="AE704" s="85"/>
      <c r="AF704" s="85"/>
    </row>
    <row r="705" ht="15.75" customHeight="1">
      <c r="F705" s="77"/>
      <c r="H705" s="77"/>
      <c r="P705" s="84"/>
      <c r="U705" s="85"/>
      <c r="W705" s="85"/>
      <c r="Y705" s="85"/>
      <c r="AA705" s="85"/>
      <c r="AB705" s="85"/>
      <c r="AE705" s="85"/>
      <c r="AF705" s="85"/>
    </row>
    <row r="706" ht="15.75" customHeight="1">
      <c r="F706" s="77"/>
      <c r="H706" s="77"/>
      <c r="P706" s="84"/>
      <c r="U706" s="85"/>
      <c r="W706" s="85"/>
      <c r="Y706" s="85"/>
      <c r="AA706" s="85"/>
      <c r="AB706" s="85"/>
      <c r="AE706" s="85"/>
      <c r="AF706" s="85"/>
    </row>
    <row r="707" ht="15.75" customHeight="1">
      <c r="F707" s="77"/>
      <c r="H707" s="77"/>
      <c r="P707" s="84"/>
      <c r="U707" s="85"/>
      <c r="W707" s="85"/>
      <c r="Y707" s="85"/>
      <c r="AA707" s="85"/>
      <c r="AB707" s="85"/>
      <c r="AE707" s="85"/>
      <c r="AF707" s="85"/>
    </row>
    <row r="708" ht="15.75" customHeight="1">
      <c r="F708" s="77"/>
      <c r="H708" s="77"/>
      <c r="P708" s="84"/>
      <c r="U708" s="85"/>
      <c r="W708" s="85"/>
      <c r="Y708" s="85"/>
      <c r="AA708" s="85"/>
      <c r="AB708" s="85"/>
      <c r="AE708" s="85"/>
      <c r="AF708" s="85"/>
    </row>
    <row r="709" ht="15.75" customHeight="1">
      <c r="F709" s="77"/>
      <c r="H709" s="77"/>
      <c r="P709" s="84"/>
      <c r="U709" s="85"/>
      <c r="W709" s="85"/>
      <c r="Y709" s="85"/>
      <c r="AA709" s="85"/>
      <c r="AB709" s="85"/>
      <c r="AE709" s="85"/>
      <c r="AF709" s="85"/>
    </row>
    <row r="710" ht="15.75" customHeight="1">
      <c r="F710" s="77"/>
      <c r="H710" s="77"/>
      <c r="P710" s="84"/>
      <c r="U710" s="85"/>
      <c r="W710" s="85"/>
      <c r="Y710" s="85"/>
      <c r="AA710" s="85"/>
      <c r="AB710" s="85"/>
      <c r="AE710" s="85"/>
      <c r="AF710" s="85"/>
    </row>
    <row r="711" ht="15.75" customHeight="1">
      <c r="F711" s="77"/>
      <c r="H711" s="77"/>
      <c r="P711" s="84"/>
      <c r="U711" s="85"/>
      <c r="W711" s="85"/>
      <c r="Y711" s="85"/>
      <c r="AA711" s="85"/>
      <c r="AB711" s="85"/>
      <c r="AE711" s="85"/>
      <c r="AF711" s="85"/>
    </row>
    <row r="712" ht="15.75" customHeight="1">
      <c r="F712" s="77"/>
      <c r="H712" s="77"/>
      <c r="P712" s="84"/>
      <c r="U712" s="85"/>
      <c r="W712" s="85"/>
      <c r="Y712" s="85"/>
      <c r="AA712" s="85"/>
      <c r="AB712" s="85"/>
      <c r="AE712" s="85"/>
      <c r="AF712" s="85"/>
    </row>
    <row r="713" ht="15.75" customHeight="1">
      <c r="F713" s="77"/>
      <c r="H713" s="77"/>
      <c r="P713" s="84"/>
      <c r="U713" s="85"/>
      <c r="W713" s="85"/>
      <c r="Y713" s="85"/>
      <c r="AA713" s="85"/>
      <c r="AB713" s="85"/>
      <c r="AE713" s="85"/>
      <c r="AF713" s="85"/>
    </row>
    <row r="714" ht="15.75" customHeight="1">
      <c r="F714" s="77"/>
      <c r="H714" s="77"/>
      <c r="P714" s="84"/>
      <c r="U714" s="85"/>
      <c r="W714" s="85"/>
      <c r="Y714" s="85"/>
      <c r="AA714" s="85"/>
      <c r="AB714" s="85"/>
      <c r="AE714" s="85"/>
      <c r="AF714" s="85"/>
    </row>
    <row r="715" ht="15.75" customHeight="1">
      <c r="F715" s="77"/>
      <c r="H715" s="77"/>
      <c r="P715" s="84"/>
      <c r="U715" s="85"/>
      <c r="W715" s="85"/>
      <c r="Y715" s="85"/>
      <c r="AA715" s="85"/>
      <c r="AB715" s="85"/>
      <c r="AE715" s="85"/>
      <c r="AF715" s="85"/>
    </row>
    <row r="716" ht="15.75" customHeight="1">
      <c r="F716" s="77"/>
      <c r="H716" s="77"/>
      <c r="P716" s="84"/>
      <c r="U716" s="85"/>
      <c r="W716" s="85"/>
      <c r="Y716" s="85"/>
      <c r="AA716" s="85"/>
      <c r="AB716" s="85"/>
      <c r="AE716" s="85"/>
      <c r="AF716" s="85"/>
    </row>
    <row r="717" ht="15.75" customHeight="1">
      <c r="F717" s="77"/>
      <c r="H717" s="77"/>
      <c r="P717" s="84"/>
      <c r="U717" s="85"/>
      <c r="W717" s="85"/>
      <c r="Y717" s="85"/>
      <c r="AA717" s="85"/>
      <c r="AB717" s="85"/>
      <c r="AE717" s="85"/>
      <c r="AF717" s="85"/>
    </row>
    <row r="718" ht="15.75" customHeight="1">
      <c r="F718" s="77"/>
      <c r="H718" s="77"/>
      <c r="P718" s="84"/>
      <c r="U718" s="85"/>
      <c r="W718" s="85"/>
      <c r="Y718" s="85"/>
      <c r="AA718" s="85"/>
      <c r="AB718" s="85"/>
      <c r="AE718" s="85"/>
      <c r="AF718" s="85"/>
    </row>
    <row r="719" ht="15.75" customHeight="1">
      <c r="F719" s="77"/>
      <c r="H719" s="77"/>
      <c r="P719" s="84"/>
      <c r="U719" s="85"/>
      <c r="W719" s="85"/>
      <c r="Y719" s="85"/>
      <c r="AA719" s="85"/>
      <c r="AB719" s="85"/>
      <c r="AE719" s="85"/>
      <c r="AF719" s="85"/>
    </row>
    <row r="720" ht="15.75" customHeight="1">
      <c r="F720" s="77"/>
      <c r="H720" s="77"/>
      <c r="P720" s="84"/>
      <c r="U720" s="85"/>
      <c r="W720" s="85"/>
      <c r="Y720" s="85"/>
      <c r="AA720" s="85"/>
      <c r="AB720" s="85"/>
      <c r="AE720" s="85"/>
      <c r="AF720" s="85"/>
    </row>
    <row r="721" ht="15.75" customHeight="1">
      <c r="F721" s="77"/>
      <c r="H721" s="77"/>
      <c r="P721" s="84"/>
      <c r="U721" s="85"/>
      <c r="W721" s="85"/>
      <c r="Y721" s="85"/>
      <c r="AA721" s="85"/>
      <c r="AB721" s="85"/>
      <c r="AE721" s="85"/>
      <c r="AF721" s="85"/>
    </row>
    <row r="722" ht="15.75" customHeight="1">
      <c r="F722" s="77"/>
      <c r="H722" s="77"/>
      <c r="P722" s="84"/>
      <c r="U722" s="85"/>
      <c r="W722" s="85"/>
      <c r="Y722" s="85"/>
      <c r="AA722" s="85"/>
      <c r="AB722" s="85"/>
      <c r="AE722" s="85"/>
      <c r="AF722" s="85"/>
    </row>
    <row r="723" ht="15.75" customHeight="1">
      <c r="F723" s="77"/>
      <c r="H723" s="77"/>
      <c r="P723" s="84"/>
      <c r="U723" s="85"/>
      <c r="W723" s="85"/>
      <c r="Y723" s="85"/>
      <c r="AA723" s="85"/>
      <c r="AB723" s="85"/>
      <c r="AE723" s="85"/>
      <c r="AF723" s="85"/>
    </row>
    <row r="724" ht="15.75" customHeight="1">
      <c r="F724" s="77"/>
      <c r="H724" s="77"/>
      <c r="P724" s="84"/>
      <c r="U724" s="85"/>
      <c r="W724" s="85"/>
      <c r="Y724" s="85"/>
      <c r="AA724" s="85"/>
      <c r="AB724" s="85"/>
      <c r="AE724" s="85"/>
      <c r="AF724" s="85"/>
    </row>
    <row r="725" ht="15.75" customHeight="1">
      <c r="F725" s="77"/>
      <c r="H725" s="77"/>
      <c r="P725" s="84"/>
      <c r="U725" s="85"/>
      <c r="W725" s="85"/>
      <c r="Y725" s="85"/>
      <c r="AA725" s="85"/>
      <c r="AB725" s="85"/>
      <c r="AE725" s="85"/>
      <c r="AF725" s="85"/>
    </row>
    <row r="726" ht="15.75" customHeight="1">
      <c r="F726" s="77"/>
      <c r="H726" s="77"/>
      <c r="P726" s="84"/>
      <c r="U726" s="85"/>
      <c r="W726" s="85"/>
      <c r="Y726" s="85"/>
      <c r="AA726" s="85"/>
      <c r="AB726" s="85"/>
      <c r="AE726" s="85"/>
      <c r="AF726" s="85"/>
    </row>
    <row r="727" ht="15.75" customHeight="1">
      <c r="F727" s="77"/>
      <c r="H727" s="77"/>
      <c r="P727" s="84"/>
      <c r="U727" s="85"/>
      <c r="W727" s="85"/>
      <c r="Y727" s="85"/>
      <c r="AA727" s="85"/>
      <c r="AB727" s="85"/>
      <c r="AE727" s="85"/>
      <c r="AF727" s="85"/>
    </row>
    <row r="728" ht="15.75" customHeight="1">
      <c r="F728" s="77"/>
      <c r="H728" s="77"/>
      <c r="P728" s="84"/>
      <c r="U728" s="85"/>
      <c r="W728" s="85"/>
      <c r="Y728" s="85"/>
      <c r="AA728" s="85"/>
      <c r="AB728" s="85"/>
      <c r="AE728" s="85"/>
      <c r="AF728" s="85"/>
    </row>
    <row r="729" ht="15.75" customHeight="1">
      <c r="F729" s="77"/>
      <c r="H729" s="77"/>
      <c r="P729" s="84"/>
      <c r="U729" s="85"/>
      <c r="W729" s="85"/>
      <c r="Y729" s="85"/>
      <c r="AA729" s="85"/>
      <c r="AB729" s="85"/>
      <c r="AE729" s="85"/>
      <c r="AF729" s="85"/>
    </row>
    <row r="730" ht="15.75" customHeight="1">
      <c r="F730" s="77"/>
      <c r="H730" s="77"/>
      <c r="P730" s="84"/>
      <c r="U730" s="85"/>
      <c r="W730" s="85"/>
      <c r="Y730" s="85"/>
      <c r="AA730" s="85"/>
      <c r="AB730" s="85"/>
      <c r="AE730" s="85"/>
      <c r="AF730" s="85"/>
    </row>
    <row r="731" ht="15.75" customHeight="1">
      <c r="F731" s="77"/>
      <c r="H731" s="77"/>
      <c r="P731" s="84"/>
      <c r="U731" s="85"/>
      <c r="W731" s="85"/>
      <c r="Y731" s="85"/>
      <c r="AA731" s="85"/>
      <c r="AB731" s="85"/>
      <c r="AE731" s="85"/>
      <c r="AF731" s="85"/>
    </row>
    <row r="732" ht="15.75" customHeight="1">
      <c r="F732" s="77"/>
      <c r="H732" s="77"/>
      <c r="P732" s="84"/>
      <c r="U732" s="85"/>
      <c r="W732" s="85"/>
      <c r="Y732" s="85"/>
      <c r="AA732" s="85"/>
      <c r="AB732" s="85"/>
      <c r="AE732" s="85"/>
      <c r="AF732" s="85"/>
    </row>
    <row r="733" ht="15.75" customHeight="1">
      <c r="F733" s="77"/>
      <c r="H733" s="77"/>
      <c r="P733" s="84"/>
      <c r="U733" s="85"/>
      <c r="W733" s="85"/>
      <c r="Y733" s="85"/>
      <c r="AA733" s="85"/>
      <c r="AB733" s="85"/>
      <c r="AE733" s="85"/>
      <c r="AF733" s="85"/>
    </row>
    <row r="734" ht="15.75" customHeight="1">
      <c r="F734" s="77"/>
      <c r="H734" s="77"/>
      <c r="P734" s="84"/>
      <c r="U734" s="85"/>
      <c r="W734" s="85"/>
      <c r="Y734" s="85"/>
      <c r="AA734" s="85"/>
      <c r="AB734" s="85"/>
      <c r="AE734" s="85"/>
      <c r="AF734" s="85"/>
    </row>
    <row r="735" ht="15.75" customHeight="1">
      <c r="F735" s="77"/>
      <c r="H735" s="77"/>
      <c r="P735" s="84"/>
      <c r="U735" s="85"/>
      <c r="W735" s="85"/>
      <c r="Y735" s="85"/>
      <c r="AA735" s="85"/>
      <c r="AB735" s="85"/>
      <c r="AE735" s="85"/>
      <c r="AF735" s="85"/>
    </row>
    <row r="736" ht="15.75" customHeight="1">
      <c r="F736" s="77"/>
      <c r="H736" s="77"/>
      <c r="P736" s="84"/>
      <c r="U736" s="85"/>
      <c r="W736" s="85"/>
      <c r="Y736" s="85"/>
      <c r="AA736" s="85"/>
      <c r="AB736" s="85"/>
      <c r="AE736" s="85"/>
      <c r="AF736" s="85"/>
    </row>
    <row r="737" ht="15.75" customHeight="1">
      <c r="F737" s="77"/>
      <c r="H737" s="77"/>
      <c r="P737" s="84"/>
      <c r="U737" s="85"/>
      <c r="W737" s="85"/>
      <c r="Y737" s="85"/>
      <c r="AA737" s="85"/>
      <c r="AB737" s="85"/>
      <c r="AE737" s="85"/>
      <c r="AF737" s="85"/>
    </row>
    <row r="738" ht="15.75" customHeight="1">
      <c r="F738" s="77"/>
      <c r="H738" s="77"/>
      <c r="P738" s="84"/>
      <c r="U738" s="85"/>
      <c r="W738" s="85"/>
      <c r="Y738" s="85"/>
      <c r="AA738" s="85"/>
      <c r="AB738" s="85"/>
      <c r="AE738" s="85"/>
      <c r="AF738" s="85"/>
    </row>
    <row r="739" ht="15.75" customHeight="1">
      <c r="F739" s="77"/>
      <c r="H739" s="77"/>
      <c r="P739" s="84"/>
      <c r="U739" s="85"/>
      <c r="W739" s="85"/>
      <c r="Y739" s="85"/>
      <c r="AA739" s="85"/>
      <c r="AB739" s="85"/>
      <c r="AE739" s="85"/>
      <c r="AF739" s="85"/>
    </row>
    <row r="740" ht="15.75" customHeight="1">
      <c r="F740" s="77"/>
      <c r="H740" s="77"/>
      <c r="P740" s="84"/>
      <c r="U740" s="85"/>
      <c r="W740" s="85"/>
      <c r="Y740" s="85"/>
      <c r="AA740" s="85"/>
      <c r="AB740" s="85"/>
      <c r="AE740" s="85"/>
      <c r="AF740" s="85"/>
    </row>
    <row r="741" ht="15.75" customHeight="1">
      <c r="F741" s="77"/>
      <c r="H741" s="77"/>
      <c r="P741" s="84"/>
      <c r="U741" s="85"/>
      <c r="W741" s="85"/>
      <c r="Y741" s="85"/>
      <c r="AA741" s="85"/>
      <c r="AB741" s="85"/>
      <c r="AE741" s="85"/>
      <c r="AF741" s="85"/>
    </row>
    <row r="742" ht="15.75" customHeight="1">
      <c r="F742" s="77"/>
      <c r="H742" s="77"/>
      <c r="P742" s="84"/>
      <c r="U742" s="85"/>
      <c r="W742" s="85"/>
      <c r="Y742" s="85"/>
      <c r="AA742" s="85"/>
      <c r="AB742" s="85"/>
      <c r="AE742" s="85"/>
      <c r="AF742" s="85"/>
    </row>
    <row r="743" ht="15.75" customHeight="1">
      <c r="F743" s="77"/>
      <c r="H743" s="77"/>
      <c r="P743" s="84"/>
      <c r="U743" s="85"/>
      <c r="W743" s="85"/>
      <c r="Y743" s="85"/>
      <c r="AA743" s="85"/>
      <c r="AB743" s="85"/>
      <c r="AE743" s="85"/>
      <c r="AF743" s="85"/>
    </row>
    <row r="744" ht="15.75" customHeight="1">
      <c r="F744" s="77"/>
      <c r="H744" s="77"/>
      <c r="P744" s="84"/>
      <c r="U744" s="85"/>
      <c r="W744" s="85"/>
      <c r="Y744" s="85"/>
      <c r="AA744" s="85"/>
      <c r="AB744" s="85"/>
      <c r="AE744" s="85"/>
      <c r="AF744" s="85"/>
    </row>
    <row r="745" ht="15.75" customHeight="1">
      <c r="F745" s="77"/>
      <c r="H745" s="77"/>
      <c r="P745" s="84"/>
      <c r="U745" s="85"/>
      <c r="W745" s="85"/>
      <c r="Y745" s="85"/>
      <c r="AA745" s="85"/>
      <c r="AB745" s="85"/>
      <c r="AE745" s="85"/>
      <c r="AF745" s="85"/>
    </row>
    <row r="746" ht="15.75" customHeight="1">
      <c r="F746" s="77"/>
      <c r="H746" s="77"/>
      <c r="P746" s="84"/>
      <c r="U746" s="85"/>
      <c r="W746" s="85"/>
      <c r="Y746" s="85"/>
      <c r="AA746" s="85"/>
      <c r="AB746" s="85"/>
      <c r="AE746" s="85"/>
      <c r="AF746" s="85"/>
    </row>
    <row r="747" ht="15.75" customHeight="1">
      <c r="F747" s="77"/>
      <c r="H747" s="77"/>
      <c r="P747" s="84"/>
      <c r="U747" s="85"/>
      <c r="W747" s="85"/>
      <c r="Y747" s="85"/>
      <c r="AA747" s="85"/>
      <c r="AB747" s="85"/>
      <c r="AE747" s="85"/>
      <c r="AF747" s="85"/>
    </row>
    <row r="748" ht="15.75" customHeight="1">
      <c r="F748" s="77"/>
      <c r="H748" s="77"/>
      <c r="P748" s="84"/>
      <c r="U748" s="85"/>
      <c r="W748" s="85"/>
      <c r="Y748" s="85"/>
      <c r="AA748" s="85"/>
      <c r="AB748" s="85"/>
      <c r="AE748" s="85"/>
      <c r="AF748" s="85"/>
    </row>
    <row r="749" ht="15.75" customHeight="1">
      <c r="F749" s="77"/>
      <c r="H749" s="77"/>
      <c r="P749" s="84"/>
      <c r="U749" s="85"/>
      <c r="W749" s="85"/>
      <c r="Y749" s="85"/>
      <c r="AA749" s="85"/>
      <c r="AB749" s="85"/>
      <c r="AE749" s="85"/>
      <c r="AF749" s="85"/>
    </row>
    <row r="750" ht="15.75" customHeight="1">
      <c r="F750" s="77"/>
      <c r="H750" s="77"/>
      <c r="P750" s="84"/>
      <c r="U750" s="85"/>
      <c r="W750" s="85"/>
      <c r="Y750" s="85"/>
      <c r="AA750" s="85"/>
      <c r="AB750" s="85"/>
      <c r="AE750" s="85"/>
      <c r="AF750" s="85"/>
    </row>
    <row r="751" ht="15.75" customHeight="1">
      <c r="F751" s="77"/>
      <c r="H751" s="77"/>
      <c r="P751" s="84"/>
      <c r="U751" s="85"/>
      <c r="W751" s="85"/>
      <c r="Y751" s="85"/>
      <c r="AA751" s="85"/>
      <c r="AB751" s="85"/>
      <c r="AE751" s="85"/>
      <c r="AF751" s="85"/>
    </row>
    <row r="752" ht="15.75" customHeight="1">
      <c r="F752" s="77"/>
      <c r="H752" s="77"/>
      <c r="P752" s="84"/>
      <c r="U752" s="85"/>
      <c r="W752" s="85"/>
      <c r="Y752" s="85"/>
      <c r="AA752" s="85"/>
      <c r="AB752" s="85"/>
      <c r="AE752" s="85"/>
      <c r="AF752" s="85"/>
    </row>
    <row r="753" ht="15.75" customHeight="1">
      <c r="F753" s="77"/>
      <c r="H753" s="77"/>
      <c r="P753" s="84"/>
      <c r="U753" s="85"/>
      <c r="W753" s="85"/>
      <c r="Y753" s="85"/>
      <c r="AA753" s="85"/>
      <c r="AB753" s="85"/>
      <c r="AE753" s="85"/>
      <c r="AF753" s="85"/>
    </row>
    <row r="754" ht="15.75" customHeight="1">
      <c r="F754" s="77"/>
      <c r="H754" s="77"/>
      <c r="P754" s="84"/>
      <c r="U754" s="85"/>
      <c r="W754" s="85"/>
      <c r="Y754" s="85"/>
      <c r="AA754" s="85"/>
      <c r="AB754" s="85"/>
      <c r="AE754" s="85"/>
      <c r="AF754" s="85"/>
    </row>
    <row r="755" ht="15.75" customHeight="1">
      <c r="F755" s="77"/>
      <c r="H755" s="77"/>
      <c r="P755" s="84"/>
      <c r="U755" s="85"/>
      <c r="W755" s="85"/>
      <c r="Y755" s="85"/>
      <c r="AA755" s="85"/>
      <c r="AB755" s="85"/>
      <c r="AE755" s="85"/>
      <c r="AF755" s="85"/>
    </row>
    <row r="756" ht="15.75" customHeight="1">
      <c r="F756" s="77"/>
      <c r="H756" s="77"/>
      <c r="P756" s="84"/>
      <c r="U756" s="85"/>
      <c r="W756" s="85"/>
      <c r="Y756" s="85"/>
      <c r="AA756" s="85"/>
      <c r="AB756" s="85"/>
      <c r="AE756" s="85"/>
      <c r="AF756" s="85"/>
    </row>
    <row r="757" ht="15.75" customHeight="1">
      <c r="F757" s="77"/>
      <c r="H757" s="77"/>
      <c r="P757" s="84"/>
      <c r="U757" s="85"/>
      <c r="W757" s="85"/>
      <c r="Y757" s="85"/>
      <c r="AA757" s="85"/>
      <c r="AB757" s="85"/>
      <c r="AE757" s="85"/>
      <c r="AF757" s="85"/>
    </row>
    <row r="758" ht="15.75" customHeight="1">
      <c r="F758" s="77"/>
      <c r="H758" s="77"/>
      <c r="P758" s="84"/>
      <c r="U758" s="85"/>
      <c r="W758" s="85"/>
      <c r="Y758" s="85"/>
      <c r="AA758" s="85"/>
      <c r="AB758" s="85"/>
      <c r="AE758" s="85"/>
      <c r="AF758" s="85"/>
    </row>
    <row r="759" ht="15.75" customHeight="1">
      <c r="F759" s="77"/>
      <c r="H759" s="77"/>
      <c r="P759" s="84"/>
      <c r="U759" s="85"/>
      <c r="W759" s="85"/>
      <c r="Y759" s="85"/>
      <c r="AA759" s="85"/>
      <c r="AB759" s="85"/>
      <c r="AE759" s="85"/>
      <c r="AF759" s="85"/>
    </row>
    <row r="760" ht="15.75" customHeight="1">
      <c r="F760" s="77"/>
      <c r="H760" s="77"/>
      <c r="P760" s="84"/>
      <c r="U760" s="85"/>
      <c r="W760" s="85"/>
      <c r="Y760" s="85"/>
      <c r="AA760" s="85"/>
      <c r="AB760" s="85"/>
      <c r="AE760" s="85"/>
      <c r="AF760" s="85"/>
    </row>
    <row r="761" ht="15.75" customHeight="1">
      <c r="F761" s="77"/>
      <c r="H761" s="77"/>
      <c r="P761" s="84"/>
      <c r="U761" s="85"/>
      <c r="W761" s="85"/>
      <c r="Y761" s="85"/>
      <c r="AA761" s="85"/>
      <c r="AB761" s="85"/>
      <c r="AE761" s="85"/>
      <c r="AF761" s="85"/>
    </row>
    <row r="762" ht="15.75" customHeight="1">
      <c r="F762" s="77"/>
      <c r="H762" s="77"/>
      <c r="P762" s="84"/>
      <c r="U762" s="85"/>
      <c r="W762" s="85"/>
      <c r="Y762" s="85"/>
      <c r="AA762" s="85"/>
      <c r="AB762" s="85"/>
      <c r="AE762" s="85"/>
      <c r="AF762" s="85"/>
    </row>
    <row r="763" ht="15.75" customHeight="1">
      <c r="F763" s="77"/>
      <c r="H763" s="77"/>
      <c r="P763" s="84"/>
      <c r="U763" s="85"/>
      <c r="W763" s="85"/>
      <c r="Y763" s="85"/>
      <c r="AA763" s="85"/>
      <c r="AB763" s="85"/>
      <c r="AE763" s="85"/>
      <c r="AF763" s="85"/>
    </row>
    <row r="764" ht="15.75" customHeight="1">
      <c r="F764" s="77"/>
      <c r="H764" s="77"/>
      <c r="P764" s="84"/>
      <c r="U764" s="85"/>
      <c r="W764" s="85"/>
      <c r="Y764" s="85"/>
      <c r="AA764" s="85"/>
      <c r="AB764" s="85"/>
      <c r="AE764" s="85"/>
      <c r="AF764" s="85"/>
    </row>
    <row r="765" ht="15.75" customHeight="1">
      <c r="F765" s="77"/>
      <c r="H765" s="77"/>
      <c r="P765" s="84"/>
      <c r="U765" s="85"/>
      <c r="W765" s="85"/>
      <c r="Y765" s="85"/>
      <c r="AA765" s="85"/>
      <c r="AB765" s="85"/>
      <c r="AE765" s="85"/>
      <c r="AF765" s="85"/>
    </row>
    <row r="766" ht="15.75" customHeight="1">
      <c r="F766" s="77"/>
      <c r="H766" s="77"/>
      <c r="P766" s="84"/>
      <c r="U766" s="85"/>
      <c r="W766" s="85"/>
      <c r="Y766" s="85"/>
      <c r="AA766" s="85"/>
      <c r="AB766" s="85"/>
      <c r="AE766" s="85"/>
      <c r="AF766" s="85"/>
    </row>
    <row r="767" ht="15.75" customHeight="1">
      <c r="F767" s="77"/>
      <c r="H767" s="77"/>
      <c r="P767" s="84"/>
      <c r="U767" s="85"/>
      <c r="W767" s="85"/>
      <c r="Y767" s="85"/>
      <c r="AA767" s="85"/>
      <c r="AB767" s="85"/>
      <c r="AE767" s="85"/>
      <c r="AF767" s="85"/>
    </row>
    <row r="768" ht="15.75" customHeight="1">
      <c r="F768" s="77"/>
      <c r="H768" s="77"/>
      <c r="P768" s="84"/>
      <c r="U768" s="85"/>
      <c r="W768" s="85"/>
      <c r="Y768" s="85"/>
      <c r="AA768" s="85"/>
      <c r="AB768" s="85"/>
      <c r="AE768" s="85"/>
      <c r="AF768" s="85"/>
    </row>
    <row r="769" ht="15.75" customHeight="1">
      <c r="F769" s="77"/>
      <c r="H769" s="77"/>
      <c r="P769" s="84"/>
      <c r="U769" s="85"/>
      <c r="W769" s="85"/>
      <c r="Y769" s="85"/>
      <c r="AA769" s="85"/>
      <c r="AB769" s="85"/>
      <c r="AE769" s="85"/>
      <c r="AF769" s="85"/>
    </row>
    <row r="770" ht="15.75" customHeight="1">
      <c r="F770" s="77"/>
      <c r="H770" s="77"/>
      <c r="P770" s="84"/>
      <c r="U770" s="85"/>
      <c r="W770" s="85"/>
      <c r="Y770" s="85"/>
      <c r="AA770" s="85"/>
      <c r="AB770" s="85"/>
      <c r="AE770" s="85"/>
      <c r="AF770" s="85"/>
    </row>
    <row r="771" ht="15.75" customHeight="1">
      <c r="F771" s="77"/>
      <c r="H771" s="77"/>
      <c r="P771" s="84"/>
      <c r="U771" s="85"/>
      <c r="W771" s="85"/>
      <c r="Y771" s="85"/>
      <c r="AA771" s="85"/>
      <c r="AB771" s="85"/>
      <c r="AE771" s="85"/>
      <c r="AF771" s="85"/>
    </row>
    <row r="772" ht="15.75" customHeight="1">
      <c r="F772" s="77"/>
      <c r="H772" s="77"/>
      <c r="P772" s="84"/>
      <c r="U772" s="85"/>
      <c r="W772" s="85"/>
      <c r="Y772" s="85"/>
      <c r="AA772" s="85"/>
      <c r="AB772" s="85"/>
      <c r="AE772" s="85"/>
      <c r="AF772" s="85"/>
    </row>
    <row r="773" ht="15.75" customHeight="1">
      <c r="F773" s="77"/>
      <c r="H773" s="77"/>
      <c r="P773" s="84"/>
      <c r="U773" s="85"/>
      <c r="W773" s="85"/>
      <c r="Y773" s="85"/>
      <c r="AA773" s="85"/>
      <c r="AB773" s="85"/>
      <c r="AE773" s="85"/>
      <c r="AF773" s="85"/>
    </row>
    <row r="774" ht="15.75" customHeight="1">
      <c r="F774" s="77"/>
      <c r="H774" s="77"/>
      <c r="P774" s="84"/>
      <c r="U774" s="85"/>
      <c r="W774" s="85"/>
      <c r="Y774" s="85"/>
      <c r="AA774" s="85"/>
      <c r="AB774" s="85"/>
      <c r="AE774" s="85"/>
      <c r="AF774" s="85"/>
    </row>
    <row r="775" ht="15.75" customHeight="1">
      <c r="F775" s="77"/>
      <c r="H775" s="77"/>
      <c r="P775" s="84"/>
      <c r="U775" s="85"/>
      <c r="W775" s="85"/>
      <c r="Y775" s="85"/>
      <c r="AA775" s="85"/>
      <c r="AB775" s="85"/>
      <c r="AE775" s="85"/>
      <c r="AF775" s="85"/>
    </row>
    <row r="776" ht="15.75" customHeight="1">
      <c r="F776" s="77"/>
      <c r="H776" s="77"/>
      <c r="P776" s="84"/>
      <c r="U776" s="85"/>
      <c r="W776" s="85"/>
      <c r="Y776" s="85"/>
      <c r="AA776" s="85"/>
      <c r="AB776" s="85"/>
      <c r="AE776" s="85"/>
      <c r="AF776" s="85"/>
    </row>
    <row r="777" ht="15.75" customHeight="1">
      <c r="F777" s="77"/>
      <c r="H777" s="77"/>
      <c r="P777" s="84"/>
      <c r="U777" s="85"/>
      <c r="W777" s="85"/>
      <c r="Y777" s="85"/>
      <c r="AA777" s="85"/>
      <c r="AB777" s="85"/>
      <c r="AE777" s="85"/>
      <c r="AF777" s="85"/>
    </row>
    <row r="778" ht="15.75" customHeight="1">
      <c r="F778" s="77"/>
      <c r="H778" s="77"/>
      <c r="P778" s="84"/>
      <c r="U778" s="85"/>
      <c r="W778" s="85"/>
      <c r="Y778" s="85"/>
      <c r="AA778" s="85"/>
      <c r="AB778" s="85"/>
      <c r="AE778" s="85"/>
      <c r="AF778" s="85"/>
    </row>
    <row r="779" ht="15.75" customHeight="1">
      <c r="F779" s="77"/>
      <c r="H779" s="77"/>
      <c r="P779" s="84"/>
      <c r="U779" s="85"/>
      <c r="W779" s="85"/>
      <c r="Y779" s="85"/>
      <c r="AA779" s="85"/>
      <c r="AB779" s="85"/>
      <c r="AE779" s="85"/>
      <c r="AF779" s="85"/>
    </row>
    <row r="780" ht="15.75" customHeight="1">
      <c r="F780" s="77"/>
      <c r="H780" s="77"/>
      <c r="P780" s="84"/>
      <c r="U780" s="85"/>
      <c r="W780" s="85"/>
      <c r="Y780" s="85"/>
      <c r="AA780" s="85"/>
      <c r="AB780" s="85"/>
      <c r="AE780" s="85"/>
      <c r="AF780" s="85"/>
    </row>
    <row r="781" ht="15.75" customHeight="1">
      <c r="F781" s="77"/>
      <c r="H781" s="77"/>
      <c r="P781" s="84"/>
      <c r="U781" s="85"/>
      <c r="W781" s="85"/>
      <c r="Y781" s="85"/>
      <c r="AA781" s="85"/>
      <c r="AB781" s="85"/>
      <c r="AE781" s="85"/>
      <c r="AF781" s="85"/>
    </row>
    <row r="782" ht="15.75" customHeight="1">
      <c r="F782" s="77"/>
      <c r="H782" s="77"/>
      <c r="P782" s="84"/>
      <c r="U782" s="85"/>
      <c r="W782" s="85"/>
      <c r="Y782" s="85"/>
      <c r="AA782" s="85"/>
      <c r="AB782" s="85"/>
      <c r="AE782" s="85"/>
      <c r="AF782" s="85"/>
    </row>
    <row r="783" ht="15.75" customHeight="1">
      <c r="F783" s="77"/>
      <c r="H783" s="77"/>
      <c r="P783" s="84"/>
      <c r="U783" s="85"/>
      <c r="W783" s="85"/>
      <c r="Y783" s="85"/>
      <c r="AA783" s="85"/>
      <c r="AB783" s="85"/>
      <c r="AE783" s="85"/>
      <c r="AF783" s="85"/>
    </row>
    <row r="784" ht="15.75" customHeight="1">
      <c r="F784" s="77"/>
      <c r="H784" s="77"/>
      <c r="P784" s="84"/>
      <c r="U784" s="85"/>
      <c r="W784" s="85"/>
      <c r="Y784" s="85"/>
      <c r="AA784" s="85"/>
      <c r="AB784" s="85"/>
      <c r="AE784" s="85"/>
      <c r="AF784" s="85"/>
    </row>
    <row r="785" ht="15.75" customHeight="1">
      <c r="F785" s="77"/>
      <c r="H785" s="77"/>
      <c r="P785" s="84"/>
      <c r="U785" s="85"/>
      <c r="W785" s="85"/>
      <c r="Y785" s="85"/>
      <c r="AA785" s="85"/>
      <c r="AB785" s="85"/>
      <c r="AE785" s="85"/>
      <c r="AF785" s="85"/>
    </row>
    <row r="786" ht="15.75" customHeight="1">
      <c r="F786" s="77"/>
      <c r="H786" s="77"/>
      <c r="P786" s="84"/>
      <c r="U786" s="85"/>
      <c r="W786" s="85"/>
      <c r="Y786" s="85"/>
      <c r="AA786" s="85"/>
      <c r="AB786" s="85"/>
      <c r="AE786" s="85"/>
      <c r="AF786" s="85"/>
    </row>
    <row r="787" ht="15.75" customHeight="1">
      <c r="F787" s="77"/>
      <c r="H787" s="77"/>
      <c r="P787" s="84"/>
      <c r="U787" s="85"/>
      <c r="W787" s="85"/>
      <c r="Y787" s="85"/>
      <c r="AA787" s="85"/>
      <c r="AB787" s="85"/>
      <c r="AE787" s="85"/>
      <c r="AF787" s="85"/>
    </row>
    <row r="788" ht="15.75" customHeight="1">
      <c r="F788" s="77"/>
      <c r="H788" s="77"/>
      <c r="P788" s="84"/>
      <c r="U788" s="85"/>
      <c r="W788" s="85"/>
      <c r="Y788" s="85"/>
      <c r="AA788" s="85"/>
      <c r="AB788" s="85"/>
      <c r="AE788" s="85"/>
      <c r="AF788" s="85"/>
    </row>
    <row r="789" ht="15.75" customHeight="1">
      <c r="F789" s="77"/>
      <c r="H789" s="77"/>
      <c r="P789" s="84"/>
      <c r="U789" s="85"/>
      <c r="W789" s="85"/>
      <c r="Y789" s="85"/>
      <c r="AA789" s="85"/>
      <c r="AB789" s="85"/>
      <c r="AE789" s="85"/>
      <c r="AF789" s="85"/>
    </row>
    <row r="790" ht="15.75" customHeight="1">
      <c r="F790" s="77"/>
      <c r="H790" s="77"/>
      <c r="P790" s="84"/>
      <c r="U790" s="85"/>
      <c r="W790" s="85"/>
      <c r="Y790" s="85"/>
      <c r="AA790" s="85"/>
      <c r="AB790" s="85"/>
      <c r="AE790" s="85"/>
      <c r="AF790" s="85"/>
    </row>
    <row r="791" ht="15.75" customHeight="1">
      <c r="F791" s="77"/>
      <c r="H791" s="77"/>
      <c r="P791" s="84"/>
      <c r="U791" s="85"/>
      <c r="W791" s="85"/>
      <c r="Y791" s="85"/>
      <c r="AA791" s="85"/>
      <c r="AB791" s="85"/>
      <c r="AE791" s="85"/>
      <c r="AF791" s="85"/>
    </row>
    <row r="792" ht="15.75" customHeight="1">
      <c r="F792" s="77"/>
      <c r="H792" s="77"/>
      <c r="P792" s="84"/>
      <c r="U792" s="85"/>
      <c r="W792" s="85"/>
      <c r="Y792" s="85"/>
      <c r="AA792" s="85"/>
      <c r="AB792" s="85"/>
      <c r="AE792" s="85"/>
      <c r="AF792" s="85"/>
    </row>
    <row r="793" ht="15.75" customHeight="1">
      <c r="F793" s="77"/>
      <c r="H793" s="77"/>
      <c r="P793" s="84"/>
      <c r="U793" s="85"/>
      <c r="W793" s="85"/>
      <c r="Y793" s="85"/>
      <c r="AA793" s="85"/>
      <c r="AB793" s="85"/>
      <c r="AE793" s="85"/>
      <c r="AF793" s="85"/>
    </row>
    <row r="794" ht="15.75" customHeight="1">
      <c r="F794" s="77"/>
      <c r="H794" s="77"/>
      <c r="P794" s="84"/>
      <c r="U794" s="85"/>
      <c r="W794" s="85"/>
      <c r="Y794" s="85"/>
      <c r="AA794" s="85"/>
      <c r="AB794" s="85"/>
      <c r="AE794" s="85"/>
      <c r="AF794" s="85"/>
    </row>
    <row r="795" ht="15.75" customHeight="1">
      <c r="F795" s="77"/>
      <c r="H795" s="77"/>
      <c r="P795" s="84"/>
      <c r="U795" s="85"/>
      <c r="W795" s="85"/>
      <c r="Y795" s="85"/>
      <c r="AA795" s="85"/>
      <c r="AB795" s="85"/>
      <c r="AE795" s="85"/>
      <c r="AF795" s="85"/>
    </row>
    <row r="796" ht="15.75" customHeight="1">
      <c r="F796" s="77"/>
      <c r="H796" s="77"/>
      <c r="P796" s="84"/>
      <c r="U796" s="85"/>
      <c r="W796" s="85"/>
      <c r="Y796" s="85"/>
      <c r="AA796" s="85"/>
      <c r="AB796" s="85"/>
      <c r="AE796" s="85"/>
      <c r="AF796" s="85"/>
    </row>
    <row r="797" ht="15.75" customHeight="1">
      <c r="F797" s="77"/>
      <c r="H797" s="77"/>
      <c r="P797" s="84"/>
      <c r="U797" s="85"/>
      <c r="W797" s="85"/>
      <c r="Y797" s="85"/>
      <c r="AA797" s="85"/>
      <c r="AB797" s="85"/>
      <c r="AE797" s="85"/>
      <c r="AF797" s="85"/>
    </row>
    <row r="798" ht="15.75" customHeight="1">
      <c r="F798" s="77"/>
      <c r="H798" s="77"/>
      <c r="P798" s="84"/>
      <c r="U798" s="85"/>
      <c r="W798" s="85"/>
      <c r="Y798" s="85"/>
      <c r="AA798" s="85"/>
      <c r="AB798" s="85"/>
      <c r="AE798" s="85"/>
      <c r="AF798" s="85"/>
    </row>
    <row r="799" ht="15.75" customHeight="1">
      <c r="F799" s="77"/>
      <c r="H799" s="77"/>
      <c r="P799" s="84"/>
      <c r="U799" s="85"/>
      <c r="W799" s="85"/>
      <c r="Y799" s="85"/>
      <c r="AA799" s="85"/>
      <c r="AB799" s="85"/>
      <c r="AE799" s="85"/>
      <c r="AF799" s="85"/>
    </row>
    <row r="800" ht="15.75" customHeight="1">
      <c r="F800" s="77"/>
      <c r="H800" s="77"/>
      <c r="P800" s="84"/>
      <c r="U800" s="85"/>
      <c r="W800" s="85"/>
      <c r="Y800" s="85"/>
      <c r="AA800" s="85"/>
      <c r="AB800" s="85"/>
      <c r="AE800" s="85"/>
      <c r="AF800" s="85"/>
    </row>
    <row r="801" ht="15.75" customHeight="1">
      <c r="F801" s="77"/>
      <c r="H801" s="77"/>
      <c r="P801" s="84"/>
      <c r="U801" s="85"/>
      <c r="W801" s="85"/>
      <c r="Y801" s="85"/>
      <c r="AA801" s="85"/>
      <c r="AB801" s="85"/>
      <c r="AE801" s="85"/>
      <c r="AF801" s="85"/>
    </row>
    <row r="802" ht="15.75" customHeight="1">
      <c r="F802" s="77"/>
      <c r="H802" s="77"/>
      <c r="P802" s="84"/>
      <c r="U802" s="85"/>
      <c r="W802" s="85"/>
      <c r="Y802" s="85"/>
      <c r="AA802" s="85"/>
      <c r="AB802" s="85"/>
      <c r="AE802" s="85"/>
      <c r="AF802" s="85"/>
    </row>
    <row r="803" ht="15.75" customHeight="1">
      <c r="F803" s="77"/>
      <c r="H803" s="77"/>
      <c r="P803" s="84"/>
      <c r="U803" s="85"/>
      <c r="W803" s="85"/>
      <c r="Y803" s="85"/>
      <c r="AA803" s="85"/>
      <c r="AB803" s="85"/>
      <c r="AE803" s="85"/>
      <c r="AF803" s="85"/>
    </row>
    <row r="804" ht="15.75" customHeight="1">
      <c r="F804" s="77"/>
      <c r="H804" s="77"/>
      <c r="P804" s="84"/>
      <c r="U804" s="85"/>
      <c r="W804" s="85"/>
      <c r="Y804" s="85"/>
      <c r="AA804" s="85"/>
      <c r="AB804" s="85"/>
      <c r="AE804" s="85"/>
      <c r="AF804" s="85"/>
    </row>
    <row r="805" ht="15.75" customHeight="1">
      <c r="F805" s="77"/>
      <c r="H805" s="77"/>
      <c r="P805" s="84"/>
      <c r="U805" s="85"/>
      <c r="W805" s="85"/>
      <c r="Y805" s="85"/>
      <c r="AA805" s="85"/>
      <c r="AB805" s="85"/>
      <c r="AE805" s="85"/>
      <c r="AF805" s="85"/>
    </row>
    <row r="806" ht="15.75" customHeight="1">
      <c r="F806" s="77"/>
      <c r="H806" s="77"/>
      <c r="P806" s="84"/>
      <c r="U806" s="85"/>
      <c r="W806" s="85"/>
      <c r="Y806" s="85"/>
      <c r="AA806" s="85"/>
      <c r="AB806" s="85"/>
      <c r="AE806" s="85"/>
      <c r="AF806" s="85"/>
    </row>
    <row r="807" ht="15.75" customHeight="1">
      <c r="F807" s="77"/>
      <c r="H807" s="77"/>
      <c r="P807" s="84"/>
      <c r="U807" s="85"/>
      <c r="W807" s="85"/>
      <c r="Y807" s="85"/>
      <c r="AA807" s="85"/>
      <c r="AB807" s="85"/>
      <c r="AE807" s="85"/>
      <c r="AF807" s="85"/>
    </row>
    <row r="808" ht="15.75" customHeight="1">
      <c r="F808" s="77"/>
      <c r="H808" s="77"/>
      <c r="P808" s="84"/>
      <c r="U808" s="85"/>
      <c r="W808" s="85"/>
      <c r="Y808" s="85"/>
      <c r="AA808" s="85"/>
      <c r="AB808" s="85"/>
      <c r="AE808" s="85"/>
      <c r="AF808" s="85"/>
    </row>
    <row r="809" ht="15.75" customHeight="1">
      <c r="F809" s="77"/>
      <c r="H809" s="77"/>
      <c r="P809" s="84"/>
      <c r="U809" s="85"/>
      <c r="W809" s="85"/>
      <c r="Y809" s="85"/>
      <c r="AA809" s="85"/>
      <c r="AB809" s="85"/>
      <c r="AE809" s="85"/>
      <c r="AF809" s="85"/>
    </row>
    <row r="810" ht="15.75" customHeight="1">
      <c r="F810" s="77"/>
      <c r="H810" s="77"/>
      <c r="P810" s="84"/>
      <c r="U810" s="85"/>
      <c r="W810" s="85"/>
      <c r="Y810" s="85"/>
      <c r="AA810" s="85"/>
      <c r="AB810" s="85"/>
      <c r="AE810" s="85"/>
      <c r="AF810" s="85"/>
    </row>
    <row r="811" ht="15.75" customHeight="1">
      <c r="F811" s="77"/>
      <c r="H811" s="77"/>
      <c r="P811" s="84"/>
      <c r="U811" s="85"/>
      <c r="W811" s="85"/>
      <c r="Y811" s="85"/>
      <c r="AA811" s="85"/>
      <c r="AB811" s="85"/>
      <c r="AE811" s="85"/>
      <c r="AF811" s="85"/>
    </row>
    <row r="812" ht="15.75" customHeight="1">
      <c r="F812" s="77"/>
      <c r="H812" s="77"/>
      <c r="P812" s="84"/>
      <c r="U812" s="85"/>
      <c r="W812" s="85"/>
      <c r="Y812" s="85"/>
      <c r="AA812" s="85"/>
      <c r="AB812" s="85"/>
      <c r="AE812" s="85"/>
      <c r="AF812" s="85"/>
    </row>
    <row r="813" ht="15.75" customHeight="1">
      <c r="F813" s="77"/>
      <c r="H813" s="77"/>
      <c r="P813" s="84"/>
      <c r="U813" s="85"/>
      <c r="W813" s="85"/>
      <c r="Y813" s="85"/>
      <c r="AA813" s="85"/>
      <c r="AB813" s="85"/>
      <c r="AE813" s="85"/>
      <c r="AF813" s="85"/>
    </row>
    <row r="814" ht="15.75" customHeight="1">
      <c r="F814" s="77"/>
      <c r="H814" s="77"/>
      <c r="P814" s="84"/>
      <c r="U814" s="85"/>
      <c r="W814" s="85"/>
      <c r="Y814" s="85"/>
      <c r="AA814" s="85"/>
      <c r="AB814" s="85"/>
      <c r="AE814" s="85"/>
      <c r="AF814" s="85"/>
    </row>
    <row r="815" ht="15.75" customHeight="1">
      <c r="F815" s="77"/>
      <c r="H815" s="77"/>
      <c r="P815" s="84"/>
      <c r="U815" s="85"/>
      <c r="W815" s="85"/>
      <c r="Y815" s="85"/>
      <c r="AA815" s="85"/>
      <c r="AB815" s="85"/>
      <c r="AE815" s="85"/>
      <c r="AF815" s="85"/>
    </row>
    <row r="816" ht="15.75" customHeight="1">
      <c r="F816" s="77"/>
      <c r="H816" s="77"/>
      <c r="P816" s="84"/>
      <c r="U816" s="85"/>
      <c r="W816" s="85"/>
      <c r="Y816" s="85"/>
      <c r="AA816" s="85"/>
      <c r="AB816" s="85"/>
      <c r="AE816" s="85"/>
      <c r="AF816" s="85"/>
    </row>
    <row r="817" ht="15.75" customHeight="1">
      <c r="F817" s="77"/>
      <c r="H817" s="77"/>
      <c r="P817" s="84"/>
      <c r="U817" s="85"/>
      <c r="W817" s="85"/>
      <c r="Y817" s="85"/>
      <c r="AA817" s="85"/>
      <c r="AB817" s="85"/>
      <c r="AE817" s="85"/>
      <c r="AF817" s="85"/>
    </row>
    <row r="818" ht="15.75" customHeight="1">
      <c r="F818" s="77"/>
      <c r="H818" s="77"/>
      <c r="P818" s="84"/>
      <c r="U818" s="85"/>
      <c r="W818" s="85"/>
      <c r="Y818" s="85"/>
      <c r="AA818" s="85"/>
      <c r="AB818" s="85"/>
      <c r="AE818" s="85"/>
      <c r="AF818" s="85"/>
    </row>
    <row r="819" ht="15.75" customHeight="1">
      <c r="F819" s="77"/>
      <c r="H819" s="77"/>
      <c r="P819" s="84"/>
      <c r="U819" s="85"/>
      <c r="W819" s="85"/>
      <c r="Y819" s="85"/>
      <c r="AA819" s="85"/>
      <c r="AB819" s="85"/>
      <c r="AE819" s="85"/>
      <c r="AF819" s="85"/>
    </row>
    <row r="820" ht="15.75" customHeight="1">
      <c r="F820" s="77"/>
      <c r="H820" s="77"/>
      <c r="P820" s="84"/>
      <c r="U820" s="85"/>
      <c r="W820" s="85"/>
      <c r="Y820" s="85"/>
      <c r="AA820" s="85"/>
      <c r="AB820" s="85"/>
      <c r="AE820" s="85"/>
      <c r="AF820" s="85"/>
    </row>
    <row r="821" ht="15.75" customHeight="1">
      <c r="F821" s="77"/>
      <c r="H821" s="77"/>
      <c r="P821" s="84"/>
      <c r="U821" s="85"/>
      <c r="W821" s="85"/>
      <c r="Y821" s="85"/>
      <c r="AA821" s="85"/>
      <c r="AB821" s="85"/>
      <c r="AE821" s="85"/>
      <c r="AF821" s="85"/>
    </row>
    <row r="822" ht="15.75" customHeight="1">
      <c r="F822" s="77"/>
      <c r="H822" s="77"/>
      <c r="P822" s="84"/>
      <c r="U822" s="85"/>
      <c r="W822" s="85"/>
      <c r="Y822" s="85"/>
      <c r="AA822" s="85"/>
      <c r="AB822" s="85"/>
      <c r="AE822" s="85"/>
      <c r="AF822" s="85"/>
    </row>
    <row r="823" ht="15.75" customHeight="1">
      <c r="F823" s="77"/>
      <c r="H823" s="77"/>
      <c r="P823" s="84"/>
      <c r="U823" s="85"/>
      <c r="W823" s="85"/>
      <c r="Y823" s="85"/>
      <c r="AA823" s="85"/>
      <c r="AB823" s="85"/>
      <c r="AE823" s="85"/>
      <c r="AF823" s="85"/>
    </row>
    <row r="824" ht="15.75" customHeight="1">
      <c r="F824" s="77"/>
      <c r="H824" s="77"/>
      <c r="P824" s="84"/>
      <c r="U824" s="85"/>
      <c r="W824" s="85"/>
      <c r="Y824" s="85"/>
      <c r="AA824" s="85"/>
      <c r="AB824" s="85"/>
      <c r="AE824" s="85"/>
      <c r="AF824" s="85"/>
    </row>
    <row r="825" ht="15.75" customHeight="1">
      <c r="F825" s="77"/>
      <c r="H825" s="77"/>
      <c r="P825" s="84"/>
      <c r="U825" s="85"/>
      <c r="W825" s="85"/>
      <c r="Y825" s="85"/>
      <c r="AA825" s="85"/>
      <c r="AB825" s="85"/>
      <c r="AE825" s="85"/>
      <c r="AF825" s="85"/>
    </row>
    <row r="826" ht="15.75" customHeight="1">
      <c r="F826" s="77"/>
      <c r="H826" s="77"/>
      <c r="P826" s="84"/>
      <c r="U826" s="85"/>
      <c r="W826" s="85"/>
      <c r="Y826" s="85"/>
      <c r="AA826" s="85"/>
      <c r="AB826" s="85"/>
      <c r="AE826" s="85"/>
      <c r="AF826" s="85"/>
    </row>
    <row r="827" ht="15.75" customHeight="1">
      <c r="F827" s="77"/>
      <c r="H827" s="77"/>
      <c r="P827" s="84"/>
      <c r="U827" s="85"/>
      <c r="W827" s="85"/>
      <c r="Y827" s="85"/>
      <c r="AA827" s="85"/>
      <c r="AB827" s="85"/>
      <c r="AE827" s="85"/>
      <c r="AF827" s="85"/>
    </row>
    <row r="828" ht="15.75" customHeight="1">
      <c r="F828" s="77"/>
      <c r="H828" s="77"/>
      <c r="P828" s="84"/>
      <c r="U828" s="85"/>
      <c r="W828" s="85"/>
      <c r="Y828" s="85"/>
      <c r="AA828" s="85"/>
      <c r="AB828" s="85"/>
      <c r="AE828" s="85"/>
      <c r="AF828" s="85"/>
    </row>
    <row r="829" ht="15.75" customHeight="1">
      <c r="F829" s="77"/>
      <c r="H829" s="77"/>
      <c r="P829" s="84"/>
      <c r="U829" s="85"/>
      <c r="W829" s="85"/>
      <c r="Y829" s="85"/>
      <c r="AA829" s="85"/>
      <c r="AB829" s="85"/>
      <c r="AE829" s="85"/>
      <c r="AF829" s="85"/>
    </row>
    <row r="830" ht="15.75" customHeight="1">
      <c r="F830" s="77"/>
      <c r="H830" s="77"/>
      <c r="P830" s="84"/>
      <c r="U830" s="85"/>
      <c r="W830" s="85"/>
      <c r="Y830" s="85"/>
      <c r="AA830" s="85"/>
      <c r="AB830" s="85"/>
      <c r="AE830" s="85"/>
      <c r="AF830" s="85"/>
    </row>
    <row r="831" ht="15.75" customHeight="1">
      <c r="F831" s="77"/>
      <c r="H831" s="77"/>
      <c r="P831" s="84"/>
      <c r="U831" s="85"/>
      <c r="W831" s="85"/>
      <c r="Y831" s="85"/>
      <c r="AA831" s="85"/>
      <c r="AB831" s="85"/>
      <c r="AE831" s="85"/>
      <c r="AF831" s="85"/>
    </row>
    <row r="832" ht="15.75" customHeight="1">
      <c r="F832" s="77"/>
      <c r="H832" s="77"/>
      <c r="P832" s="84"/>
      <c r="U832" s="85"/>
      <c r="W832" s="85"/>
      <c r="Y832" s="85"/>
      <c r="AA832" s="85"/>
      <c r="AB832" s="85"/>
      <c r="AE832" s="85"/>
      <c r="AF832" s="85"/>
    </row>
    <row r="833" ht="15.75" customHeight="1">
      <c r="F833" s="77"/>
      <c r="H833" s="77"/>
      <c r="P833" s="84"/>
      <c r="U833" s="85"/>
      <c r="W833" s="85"/>
      <c r="Y833" s="85"/>
      <c r="AA833" s="85"/>
      <c r="AB833" s="85"/>
      <c r="AE833" s="85"/>
      <c r="AF833" s="85"/>
    </row>
    <row r="834" ht="15.75" customHeight="1">
      <c r="F834" s="77"/>
      <c r="H834" s="77"/>
      <c r="P834" s="84"/>
      <c r="U834" s="85"/>
      <c r="W834" s="85"/>
      <c r="Y834" s="85"/>
      <c r="AA834" s="85"/>
      <c r="AB834" s="85"/>
      <c r="AE834" s="85"/>
      <c r="AF834" s="85"/>
    </row>
    <row r="835" ht="15.75" customHeight="1">
      <c r="F835" s="77"/>
      <c r="H835" s="77"/>
      <c r="P835" s="84"/>
      <c r="U835" s="85"/>
      <c r="W835" s="85"/>
      <c r="Y835" s="85"/>
      <c r="AA835" s="85"/>
      <c r="AB835" s="85"/>
      <c r="AE835" s="85"/>
      <c r="AF835" s="85"/>
    </row>
    <row r="836" ht="15.75" customHeight="1">
      <c r="F836" s="77"/>
      <c r="H836" s="77"/>
      <c r="P836" s="84"/>
      <c r="U836" s="85"/>
      <c r="W836" s="85"/>
      <c r="Y836" s="85"/>
      <c r="AA836" s="85"/>
      <c r="AB836" s="85"/>
      <c r="AE836" s="85"/>
      <c r="AF836" s="85"/>
    </row>
    <row r="837" ht="15.75" customHeight="1">
      <c r="F837" s="77"/>
      <c r="H837" s="77"/>
      <c r="P837" s="84"/>
      <c r="U837" s="85"/>
      <c r="W837" s="85"/>
      <c r="Y837" s="85"/>
      <c r="AA837" s="85"/>
      <c r="AB837" s="85"/>
      <c r="AE837" s="85"/>
      <c r="AF837" s="85"/>
    </row>
    <row r="838" ht="15.75" customHeight="1">
      <c r="F838" s="77"/>
      <c r="H838" s="77"/>
      <c r="P838" s="84"/>
      <c r="U838" s="85"/>
      <c r="W838" s="85"/>
      <c r="Y838" s="85"/>
      <c r="AA838" s="85"/>
      <c r="AB838" s="85"/>
      <c r="AE838" s="85"/>
      <c r="AF838" s="85"/>
    </row>
    <row r="839" ht="15.75" customHeight="1">
      <c r="F839" s="77"/>
      <c r="H839" s="77"/>
      <c r="P839" s="84"/>
      <c r="U839" s="85"/>
      <c r="W839" s="85"/>
      <c r="Y839" s="85"/>
      <c r="AA839" s="85"/>
      <c r="AB839" s="85"/>
      <c r="AE839" s="85"/>
      <c r="AF839" s="85"/>
    </row>
    <row r="840" ht="15.75" customHeight="1">
      <c r="F840" s="77"/>
      <c r="H840" s="77"/>
      <c r="P840" s="84"/>
      <c r="U840" s="85"/>
      <c r="W840" s="85"/>
      <c r="Y840" s="85"/>
      <c r="AA840" s="85"/>
      <c r="AB840" s="85"/>
      <c r="AE840" s="85"/>
      <c r="AF840" s="85"/>
    </row>
    <row r="841" ht="15.75" customHeight="1">
      <c r="F841" s="77"/>
      <c r="H841" s="77"/>
      <c r="P841" s="84"/>
      <c r="U841" s="85"/>
      <c r="W841" s="85"/>
      <c r="Y841" s="85"/>
      <c r="AA841" s="85"/>
      <c r="AB841" s="85"/>
      <c r="AE841" s="85"/>
      <c r="AF841" s="85"/>
    </row>
    <row r="842" ht="15.75" customHeight="1">
      <c r="F842" s="77"/>
      <c r="H842" s="77"/>
      <c r="P842" s="84"/>
      <c r="U842" s="85"/>
      <c r="W842" s="85"/>
      <c r="Y842" s="85"/>
      <c r="AA842" s="85"/>
      <c r="AB842" s="85"/>
      <c r="AE842" s="85"/>
      <c r="AF842" s="85"/>
    </row>
    <row r="843" ht="15.75" customHeight="1">
      <c r="F843" s="77"/>
      <c r="H843" s="77"/>
      <c r="P843" s="84"/>
      <c r="U843" s="85"/>
      <c r="W843" s="85"/>
      <c r="Y843" s="85"/>
      <c r="AA843" s="85"/>
      <c r="AB843" s="85"/>
      <c r="AE843" s="85"/>
      <c r="AF843" s="85"/>
    </row>
    <row r="844" ht="15.75" customHeight="1">
      <c r="F844" s="77"/>
      <c r="H844" s="77"/>
      <c r="P844" s="84"/>
      <c r="U844" s="85"/>
      <c r="W844" s="85"/>
      <c r="Y844" s="85"/>
      <c r="AA844" s="85"/>
      <c r="AB844" s="85"/>
      <c r="AE844" s="85"/>
      <c r="AF844" s="85"/>
    </row>
    <row r="845" ht="15.75" customHeight="1">
      <c r="F845" s="77"/>
      <c r="H845" s="77"/>
      <c r="P845" s="84"/>
      <c r="U845" s="85"/>
      <c r="W845" s="85"/>
      <c r="Y845" s="85"/>
      <c r="AA845" s="85"/>
      <c r="AB845" s="85"/>
      <c r="AE845" s="85"/>
      <c r="AF845" s="85"/>
    </row>
    <row r="846" ht="15.75" customHeight="1">
      <c r="F846" s="77"/>
      <c r="H846" s="77"/>
      <c r="P846" s="84"/>
      <c r="U846" s="85"/>
      <c r="W846" s="85"/>
      <c r="Y846" s="85"/>
      <c r="AA846" s="85"/>
      <c r="AB846" s="85"/>
      <c r="AE846" s="85"/>
      <c r="AF846" s="85"/>
    </row>
    <row r="847" ht="15.75" customHeight="1">
      <c r="F847" s="77"/>
      <c r="H847" s="77"/>
      <c r="P847" s="84"/>
      <c r="U847" s="85"/>
      <c r="W847" s="85"/>
      <c r="Y847" s="85"/>
      <c r="AA847" s="85"/>
      <c r="AB847" s="85"/>
      <c r="AE847" s="85"/>
      <c r="AF847" s="85"/>
    </row>
    <row r="848" ht="15.75" customHeight="1">
      <c r="F848" s="77"/>
      <c r="H848" s="77"/>
      <c r="P848" s="84"/>
      <c r="U848" s="85"/>
      <c r="W848" s="85"/>
      <c r="Y848" s="85"/>
      <c r="AA848" s="85"/>
      <c r="AB848" s="85"/>
      <c r="AE848" s="85"/>
      <c r="AF848" s="85"/>
    </row>
    <row r="849" ht="15.75" customHeight="1">
      <c r="F849" s="77"/>
      <c r="H849" s="77"/>
      <c r="P849" s="84"/>
      <c r="U849" s="85"/>
      <c r="W849" s="85"/>
      <c r="Y849" s="85"/>
      <c r="AA849" s="85"/>
      <c r="AB849" s="85"/>
      <c r="AE849" s="85"/>
      <c r="AF849" s="85"/>
    </row>
    <row r="850" ht="15.75" customHeight="1">
      <c r="F850" s="77"/>
      <c r="H850" s="77"/>
      <c r="P850" s="84"/>
      <c r="U850" s="85"/>
      <c r="W850" s="85"/>
      <c r="Y850" s="85"/>
      <c r="AA850" s="85"/>
      <c r="AB850" s="85"/>
      <c r="AE850" s="85"/>
      <c r="AF850" s="85"/>
    </row>
    <row r="851" ht="15.75" customHeight="1">
      <c r="F851" s="77"/>
      <c r="H851" s="77"/>
      <c r="P851" s="84"/>
      <c r="U851" s="85"/>
      <c r="W851" s="85"/>
      <c r="Y851" s="85"/>
      <c r="AA851" s="85"/>
      <c r="AB851" s="85"/>
      <c r="AE851" s="85"/>
      <c r="AF851" s="85"/>
    </row>
    <row r="852" ht="15.75" customHeight="1">
      <c r="F852" s="77"/>
      <c r="H852" s="77"/>
      <c r="P852" s="84"/>
      <c r="U852" s="85"/>
      <c r="W852" s="85"/>
      <c r="Y852" s="85"/>
      <c r="AA852" s="85"/>
      <c r="AB852" s="85"/>
      <c r="AE852" s="85"/>
      <c r="AF852" s="85"/>
    </row>
    <row r="853" ht="15.75" customHeight="1">
      <c r="F853" s="77"/>
      <c r="H853" s="77"/>
      <c r="P853" s="84"/>
      <c r="U853" s="85"/>
      <c r="W853" s="85"/>
      <c r="Y853" s="85"/>
      <c r="AA853" s="85"/>
      <c r="AB853" s="85"/>
      <c r="AE853" s="85"/>
      <c r="AF853" s="85"/>
    </row>
    <row r="854" ht="15.75" customHeight="1">
      <c r="F854" s="77"/>
      <c r="H854" s="77"/>
      <c r="P854" s="84"/>
      <c r="U854" s="85"/>
      <c r="W854" s="85"/>
      <c r="Y854" s="85"/>
      <c r="AA854" s="85"/>
      <c r="AB854" s="85"/>
      <c r="AE854" s="85"/>
      <c r="AF854" s="85"/>
    </row>
    <row r="855" ht="15.75" customHeight="1">
      <c r="F855" s="77"/>
      <c r="H855" s="77"/>
      <c r="P855" s="84"/>
      <c r="U855" s="85"/>
      <c r="W855" s="85"/>
      <c r="Y855" s="85"/>
      <c r="AA855" s="85"/>
      <c r="AB855" s="85"/>
      <c r="AE855" s="85"/>
      <c r="AF855" s="85"/>
    </row>
    <row r="856" ht="15.75" customHeight="1">
      <c r="F856" s="77"/>
      <c r="H856" s="77"/>
      <c r="P856" s="84"/>
      <c r="U856" s="85"/>
      <c r="W856" s="85"/>
      <c r="Y856" s="85"/>
      <c r="AA856" s="85"/>
      <c r="AB856" s="85"/>
      <c r="AE856" s="85"/>
      <c r="AF856" s="85"/>
    </row>
    <row r="857" ht="15.75" customHeight="1">
      <c r="F857" s="77"/>
      <c r="H857" s="77"/>
      <c r="P857" s="84"/>
      <c r="U857" s="85"/>
      <c r="W857" s="85"/>
      <c r="Y857" s="85"/>
      <c r="AA857" s="85"/>
      <c r="AB857" s="85"/>
      <c r="AE857" s="85"/>
      <c r="AF857" s="85"/>
    </row>
    <row r="858" ht="15.75" customHeight="1">
      <c r="F858" s="77"/>
      <c r="H858" s="77"/>
      <c r="P858" s="84"/>
      <c r="U858" s="85"/>
      <c r="W858" s="85"/>
      <c r="Y858" s="85"/>
      <c r="AA858" s="85"/>
      <c r="AB858" s="85"/>
      <c r="AE858" s="85"/>
      <c r="AF858" s="85"/>
    </row>
    <row r="859" ht="15.75" customHeight="1">
      <c r="F859" s="77"/>
      <c r="H859" s="77"/>
      <c r="P859" s="84"/>
      <c r="U859" s="85"/>
      <c r="W859" s="85"/>
      <c r="Y859" s="85"/>
      <c r="AA859" s="85"/>
      <c r="AB859" s="85"/>
      <c r="AE859" s="85"/>
      <c r="AF859" s="85"/>
    </row>
    <row r="860" ht="15.75" customHeight="1">
      <c r="F860" s="77"/>
      <c r="H860" s="77"/>
      <c r="P860" s="84"/>
      <c r="U860" s="85"/>
      <c r="W860" s="85"/>
      <c r="Y860" s="85"/>
      <c r="AA860" s="85"/>
      <c r="AB860" s="85"/>
      <c r="AE860" s="85"/>
      <c r="AF860" s="85"/>
    </row>
    <row r="861" ht="15.75" customHeight="1">
      <c r="F861" s="77"/>
      <c r="H861" s="77"/>
      <c r="P861" s="84"/>
      <c r="U861" s="85"/>
      <c r="W861" s="85"/>
      <c r="Y861" s="85"/>
      <c r="AA861" s="85"/>
      <c r="AB861" s="85"/>
      <c r="AE861" s="85"/>
      <c r="AF861" s="85"/>
    </row>
    <row r="862" ht="15.75" customHeight="1">
      <c r="F862" s="77"/>
      <c r="H862" s="77"/>
      <c r="P862" s="84"/>
      <c r="U862" s="85"/>
      <c r="W862" s="85"/>
      <c r="Y862" s="85"/>
      <c r="AA862" s="85"/>
      <c r="AB862" s="85"/>
      <c r="AE862" s="85"/>
      <c r="AF862" s="85"/>
    </row>
    <row r="863" ht="15.75" customHeight="1">
      <c r="F863" s="77"/>
      <c r="H863" s="77"/>
      <c r="P863" s="84"/>
      <c r="U863" s="85"/>
      <c r="W863" s="85"/>
      <c r="Y863" s="85"/>
      <c r="AA863" s="85"/>
      <c r="AB863" s="85"/>
      <c r="AE863" s="85"/>
      <c r="AF863" s="85"/>
    </row>
    <row r="864" ht="15.75" customHeight="1">
      <c r="F864" s="77"/>
      <c r="H864" s="77"/>
      <c r="P864" s="84"/>
      <c r="U864" s="85"/>
      <c r="W864" s="85"/>
      <c r="Y864" s="85"/>
      <c r="AA864" s="85"/>
      <c r="AB864" s="85"/>
      <c r="AE864" s="85"/>
      <c r="AF864" s="85"/>
    </row>
    <row r="865" ht="15.75" customHeight="1">
      <c r="F865" s="77"/>
      <c r="H865" s="77"/>
      <c r="P865" s="84"/>
      <c r="U865" s="85"/>
      <c r="W865" s="85"/>
      <c r="Y865" s="85"/>
      <c r="AA865" s="85"/>
      <c r="AB865" s="85"/>
      <c r="AE865" s="85"/>
      <c r="AF865" s="85"/>
    </row>
    <row r="866" ht="15.75" customHeight="1">
      <c r="F866" s="77"/>
      <c r="H866" s="77"/>
      <c r="P866" s="84"/>
      <c r="U866" s="85"/>
      <c r="W866" s="85"/>
      <c r="Y866" s="85"/>
      <c r="AA866" s="85"/>
      <c r="AB866" s="85"/>
      <c r="AE866" s="85"/>
      <c r="AF866" s="85"/>
    </row>
    <row r="867" ht="15.75" customHeight="1">
      <c r="F867" s="77"/>
      <c r="H867" s="77"/>
      <c r="P867" s="84"/>
      <c r="U867" s="85"/>
      <c r="W867" s="85"/>
      <c r="Y867" s="85"/>
      <c r="AA867" s="85"/>
      <c r="AB867" s="85"/>
      <c r="AE867" s="85"/>
      <c r="AF867" s="85"/>
    </row>
    <row r="868" ht="15.75" customHeight="1">
      <c r="F868" s="77"/>
      <c r="H868" s="77"/>
      <c r="P868" s="84"/>
      <c r="U868" s="85"/>
      <c r="W868" s="85"/>
      <c r="Y868" s="85"/>
      <c r="AA868" s="85"/>
      <c r="AB868" s="85"/>
      <c r="AE868" s="85"/>
      <c r="AF868" s="85"/>
    </row>
    <row r="869" ht="15.75" customHeight="1">
      <c r="F869" s="77"/>
      <c r="H869" s="77"/>
      <c r="P869" s="84"/>
      <c r="U869" s="85"/>
      <c r="W869" s="85"/>
      <c r="Y869" s="85"/>
      <c r="AA869" s="85"/>
      <c r="AB869" s="85"/>
      <c r="AE869" s="85"/>
      <c r="AF869" s="85"/>
    </row>
    <row r="870" ht="15.75" customHeight="1">
      <c r="F870" s="77"/>
      <c r="H870" s="77"/>
      <c r="P870" s="84"/>
      <c r="U870" s="85"/>
      <c r="W870" s="85"/>
      <c r="Y870" s="85"/>
      <c r="AA870" s="85"/>
      <c r="AB870" s="85"/>
      <c r="AE870" s="85"/>
      <c r="AF870" s="85"/>
    </row>
    <row r="871" ht="15.75" customHeight="1">
      <c r="F871" s="77"/>
      <c r="H871" s="77"/>
      <c r="P871" s="84"/>
      <c r="U871" s="85"/>
      <c r="W871" s="85"/>
      <c r="Y871" s="85"/>
      <c r="AA871" s="85"/>
      <c r="AB871" s="85"/>
      <c r="AE871" s="85"/>
      <c r="AF871" s="85"/>
    </row>
    <row r="872" ht="15.75" customHeight="1">
      <c r="F872" s="77"/>
      <c r="H872" s="77"/>
      <c r="P872" s="84"/>
      <c r="U872" s="85"/>
      <c r="W872" s="85"/>
      <c r="Y872" s="85"/>
      <c r="AA872" s="85"/>
      <c r="AB872" s="85"/>
      <c r="AE872" s="85"/>
      <c r="AF872" s="85"/>
    </row>
    <row r="873" ht="15.75" customHeight="1">
      <c r="F873" s="77"/>
      <c r="H873" s="77"/>
      <c r="P873" s="84"/>
      <c r="U873" s="85"/>
      <c r="W873" s="85"/>
      <c r="Y873" s="85"/>
      <c r="AA873" s="85"/>
      <c r="AB873" s="85"/>
      <c r="AE873" s="85"/>
      <c r="AF873" s="85"/>
    </row>
    <row r="874" ht="15.75" customHeight="1">
      <c r="F874" s="77"/>
      <c r="H874" s="77"/>
      <c r="P874" s="84"/>
      <c r="U874" s="85"/>
      <c r="W874" s="85"/>
      <c r="Y874" s="85"/>
      <c r="AA874" s="85"/>
      <c r="AB874" s="85"/>
      <c r="AE874" s="85"/>
      <c r="AF874" s="85"/>
    </row>
    <row r="875" ht="15.75" customHeight="1">
      <c r="F875" s="77"/>
      <c r="H875" s="77"/>
      <c r="P875" s="84"/>
      <c r="U875" s="85"/>
      <c r="W875" s="85"/>
      <c r="Y875" s="85"/>
      <c r="AA875" s="85"/>
      <c r="AB875" s="85"/>
      <c r="AE875" s="85"/>
      <c r="AF875" s="85"/>
    </row>
    <row r="876" ht="15.75" customHeight="1">
      <c r="F876" s="77"/>
      <c r="H876" s="77"/>
      <c r="P876" s="84"/>
      <c r="U876" s="85"/>
      <c r="W876" s="85"/>
      <c r="Y876" s="85"/>
      <c r="AA876" s="85"/>
      <c r="AB876" s="85"/>
      <c r="AE876" s="85"/>
      <c r="AF876" s="85"/>
    </row>
    <row r="877" ht="15.75" customHeight="1">
      <c r="F877" s="77"/>
      <c r="H877" s="77"/>
      <c r="P877" s="84"/>
      <c r="U877" s="85"/>
      <c r="W877" s="85"/>
      <c r="Y877" s="85"/>
      <c r="AA877" s="85"/>
      <c r="AB877" s="85"/>
      <c r="AE877" s="85"/>
      <c r="AF877" s="85"/>
    </row>
    <row r="878" ht="15.75" customHeight="1">
      <c r="F878" s="77"/>
      <c r="H878" s="77"/>
      <c r="P878" s="84"/>
      <c r="U878" s="85"/>
      <c r="W878" s="85"/>
      <c r="Y878" s="85"/>
      <c r="AA878" s="85"/>
      <c r="AB878" s="85"/>
      <c r="AE878" s="85"/>
      <c r="AF878" s="85"/>
    </row>
    <row r="879" ht="15.75" customHeight="1">
      <c r="F879" s="77"/>
      <c r="H879" s="77"/>
      <c r="P879" s="84"/>
      <c r="U879" s="85"/>
      <c r="W879" s="85"/>
      <c r="Y879" s="85"/>
      <c r="AA879" s="85"/>
      <c r="AB879" s="85"/>
      <c r="AE879" s="85"/>
      <c r="AF879" s="85"/>
    </row>
    <row r="880" ht="15.75" customHeight="1">
      <c r="F880" s="77"/>
      <c r="H880" s="77"/>
      <c r="P880" s="84"/>
      <c r="U880" s="85"/>
      <c r="W880" s="85"/>
      <c r="Y880" s="85"/>
      <c r="AA880" s="85"/>
      <c r="AB880" s="85"/>
      <c r="AE880" s="85"/>
      <c r="AF880" s="85"/>
    </row>
    <row r="881" ht="15.75" customHeight="1">
      <c r="F881" s="77"/>
      <c r="H881" s="77"/>
      <c r="P881" s="84"/>
      <c r="U881" s="85"/>
      <c r="W881" s="85"/>
      <c r="Y881" s="85"/>
      <c r="AA881" s="85"/>
      <c r="AB881" s="85"/>
      <c r="AE881" s="85"/>
      <c r="AF881" s="85"/>
    </row>
    <row r="882" ht="15.75" customHeight="1">
      <c r="F882" s="77"/>
      <c r="H882" s="77"/>
      <c r="P882" s="84"/>
      <c r="U882" s="85"/>
      <c r="W882" s="85"/>
      <c r="Y882" s="85"/>
      <c r="AA882" s="85"/>
      <c r="AB882" s="85"/>
      <c r="AE882" s="85"/>
      <c r="AF882" s="85"/>
    </row>
    <row r="883" ht="15.75" customHeight="1">
      <c r="F883" s="77"/>
      <c r="H883" s="77"/>
      <c r="P883" s="84"/>
      <c r="U883" s="85"/>
      <c r="W883" s="85"/>
      <c r="Y883" s="85"/>
      <c r="AA883" s="85"/>
      <c r="AB883" s="85"/>
      <c r="AE883" s="85"/>
      <c r="AF883" s="85"/>
    </row>
    <row r="884" ht="15.75" customHeight="1">
      <c r="F884" s="77"/>
      <c r="H884" s="77"/>
      <c r="P884" s="84"/>
      <c r="U884" s="85"/>
      <c r="W884" s="85"/>
      <c r="Y884" s="85"/>
      <c r="AA884" s="85"/>
      <c r="AB884" s="85"/>
      <c r="AE884" s="85"/>
      <c r="AF884" s="85"/>
    </row>
    <row r="885" ht="15.75" customHeight="1">
      <c r="F885" s="77"/>
      <c r="H885" s="77"/>
      <c r="P885" s="84"/>
      <c r="U885" s="85"/>
      <c r="W885" s="85"/>
      <c r="Y885" s="85"/>
      <c r="AA885" s="85"/>
      <c r="AB885" s="85"/>
      <c r="AE885" s="85"/>
      <c r="AF885" s="85"/>
    </row>
    <row r="886" ht="15.75" customHeight="1">
      <c r="F886" s="77"/>
      <c r="H886" s="77"/>
      <c r="P886" s="84"/>
      <c r="U886" s="85"/>
      <c r="W886" s="85"/>
      <c r="Y886" s="85"/>
      <c r="AA886" s="85"/>
      <c r="AB886" s="85"/>
      <c r="AE886" s="85"/>
      <c r="AF886" s="85"/>
    </row>
    <row r="887" ht="15.75" customHeight="1">
      <c r="F887" s="77"/>
      <c r="H887" s="77"/>
      <c r="P887" s="84"/>
      <c r="U887" s="85"/>
      <c r="W887" s="85"/>
      <c r="Y887" s="85"/>
      <c r="AA887" s="85"/>
      <c r="AB887" s="85"/>
      <c r="AE887" s="85"/>
      <c r="AF887" s="85"/>
    </row>
    <row r="888" ht="15.75" customHeight="1">
      <c r="F888" s="77"/>
      <c r="H888" s="77"/>
      <c r="P888" s="84"/>
      <c r="U888" s="85"/>
      <c r="W888" s="85"/>
      <c r="Y888" s="85"/>
      <c r="AA888" s="85"/>
      <c r="AB888" s="85"/>
      <c r="AE888" s="85"/>
      <c r="AF888" s="85"/>
    </row>
    <row r="889" ht="15.75" customHeight="1">
      <c r="F889" s="77"/>
      <c r="H889" s="77"/>
      <c r="P889" s="84"/>
      <c r="U889" s="85"/>
      <c r="W889" s="85"/>
      <c r="Y889" s="85"/>
      <c r="AA889" s="85"/>
      <c r="AB889" s="85"/>
      <c r="AE889" s="85"/>
      <c r="AF889" s="85"/>
    </row>
    <row r="890" ht="15.75" customHeight="1">
      <c r="F890" s="77"/>
      <c r="H890" s="77"/>
      <c r="P890" s="84"/>
      <c r="U890" s="85"/>
      <c r="W890" s="85"/>
      <c r="Y890" s="85"/>
      <c r="AA890" s="85"/>
      <c r="AB890" s="85"/>
      <c r="AE890" s="85"/>
      <c r="AF890" s="85"/>
    </row>
    <row r="891" ht="15.75" customHeight="1">
      <c r="F891" s="77"/>
      <c r="H891" s="77"/>
      <c r="P891" s="84"/>
      <c r="U891" s="85"/>
      <c r="W891" s="85"/>
      <c r="Y891" s="85"/>
      <c r="AA891" s="85"/>
      <c r="AB891" s="85"/>
      <c r="AE891" s="85"/>
      <c r="AF891" s="85"/>
    </row>
    <row r="892" ht="15.75" customHeight="1">
      <c r="F892" s="77"/>
      <c r="H892" s="77"/>
      <c r="P892" s="84"/>
      <c r="U892" s="85"/>
      <c r="W892" s="85"/>
      <c r="Y892" s="85"/>
      <c r="AA892" s="85"/>
      <c r="AB892" s="85"/>
      <c r="AE892" s="85"/>
      <c r="AF892" s="85"/>
    </row>
    <row r="893" ht="15.75" customHeight="1">
      <c r="F893" s="77"/>
      <c r="H893" s="77"/>
      <c r="P893" s="84"/>
      <c r="U893" s="85"/>
      <c r="W893" s="85"/>
      <c r="Y893" s="85"/>
      <c r="AA893" s="85"/>
      <c r="AB893" s="85"/>
      <c r="AE893" s="85"/>
      <c r="AF893" s="85"/>
    </row>
    <row r="894" ht="15.75" customHeight="1">
      <c r="F894" s="77"/>
      <c r="H894" s="77"/>
      <c r="P894" s="84"/>
      <c r="U894" s="85"/>
      <c r="W894" s="85"/>
      <c r="Y894" s="85"/>
      <c r="AA894" s="85"/>
      <c r="AB894" s="85"/>
      <c r="AE894" s="85"/>
      <c r="AF894" s="85"/>
    </row>
    <row r="895" ht="15.75" customHeight="1">
      <c r="F895" s="77"/>
      <c r="H895" s="77"/>
      <c r="P895" s="84"/>
      <c r="U895" s="85"/>
      <c r="W895" s="85"/>
      <c r="Y895" s="85"/>
      <c r="AA895" s="85"/>
      <c r="AB895" s="85"/>
      <c r="AE895" s="85"/>
      <c r="AF895" s="85"/>
    </row>
    <row r="896" ht="15.75" customHeight="1">
      <c r="F896" s="77"/>
      <c r="H896" s="77"/>
      <c r="P896" s="84"/>
      <c r="U896" s="85"/>
      <c r="W896" s="85"/>
      <c r="Y896" s="85"/>
      <c r="AA896" s="85"/>
      <c r="AB896" s="85"/>
      <c r="AE896" s="85"/>
      <c r="AF896" s="85"/>
    </row>
    <row r="897" ht="15.75" customHeight="1">
      <c r="F897" s="77"/>
      <c r="H897" s="77"/>
      <c r="P897" s="84"/>
      <c r="U897" s="85"/>
      <c r="W897" s="85"/>
      <c r="Y897" s="85"/>
      <c r="AA897" s="85"/>
      <c r="AB897" s="85"/>
      <c r="AE897" s="85"/>
      <c r="AF897" s="85"/>
    </row>
    <row r="898" ht="15.75" customHeight="1">
      <c r="F898" s="77"/>
      <c r="H898" s="77"/>
      <c r="P898" s="84"/>
      <c r="U898" s="85"/>
      <c r="W898" s="85"/>
      <c r="Y898" s="85"/>
      <c r="AA898" s="85"/>
      <c r="AB898" s="85"/>
      <c r="AE898" s="85"/>
      <c r="AF898" s="85"/>
    </row>
    <row r="899" ht="15.75" customHeight="1">
      <c r="F899" s="77"/>
      <c r="H899" s="77"/>
      <c r="P899" s="84"/>
      <c r="U899" s="85"/>
      <c r="W899" s="85"/>
      <c r="Y899" s="85"/>
      <c r="AA899" s="85"/>
      <c r="AB899" s="85"/>
      <c r="AE899" s="85"/>
      <c r="AF899" s="85"/>
    </row>
    <row r="900" ht="15.75" customHeight="1">
      <c r="F900" s="77"/>
      <c r="H900" s="77"/>
      <c r="P900" s="84"/>
      <c r="U900" s="85"/>
      <c r="W900" s="85"/>
      <c r="Y900" s="85"/>
      <c r="AA900" s="85"/>
      <c r="AB900" s="85"/>
      <c r="AE900" s="85"/>
      <c r="AF900" s="85"/>
    </row>
    <row r="901" ht="15.75" customHeight="1">
      <c r="F901" s="77"/>
      <c r="H901" s="77"/>
      <c r="P901" s="84"/>
      <c r="U901" s="85"/>
      <c r="W901" s="85"/>
      <c r="Y901" s="85"/>
      <c r="AA901" s="85"/>
      <c r="AB901" s="85"/>
      <c r="AE901" s="85"/>
      <c r="AF901" s="85"/>
    </row>
    <row r="902" ht="15.75" customHeight="1">
      <c r="F902" s="77"/>
      <c r="H902" s="77"/>
      <c r="P902" s="84"/>
      <c r="U902" s="85"/>
      <c r="W902" s="85"/>
      <c r="Y902" s="85"/>
      <c r="AA902" s="85"/>
      <c r="AB902" s="85"/>
      <c r="AE902" s="85"/>
      <c r="AF902" s="85"/>
    </row>
    <row r="903" ht="15.75" customHeight="1">
      <c r="F903" s="77"/>
      <c r="H903" s="77"/>
      <c r="P903" s="84"/>
      <c r="U903" s="85"/>
      <c r="W903" s="85"/>
      <c r="Y903" s="85"/>
      <c r="AA903" s="85"/>
      <c r="AB903" s="85"/>
      <c r="AE903" s="85"/>
      <c r="AF903" s="85"/>
    </row>
    <row r="904" ht="15.75" customHeight="1">
      <c r="F904" s="77"/>
      <c r="H904" s="77"/>
      <c r="P904" s="84"/>
      <c r="U904" s="85"/>
      <c r="W904" s="85"/>
      <c r="Y904" s="85"/>
      <c r="AA904" s="85"/>
      <c r="AB904" s="85"/>
      <c r="AE904" s="85"/>
      <c r="AF904" s="85"/>
    </row>
    <row r="905" ht="15.75" customHeight="1">
      <c r="F905" s="77"/>
      <c r="H905" s="77"/>
      <c r="P905" s="84"/>
      <c r="U905" s="85"/>
      <c r="W905" s="85"/>
      <c r="Y905" s="85"/>
      <c r="AA905" s="85"/>
      <c r="AB905" s="85"/>
      <c r="AE905" s="85"/>
      <c r="AF905" s="85"/>
    </row>
    <row r="906" ht="15.75" customHeight="1">
      <c r="F906" s="77"/>
      <c r="H906" s="77"/>
      <c r="P906" s="84"/>
      <c r="U906" s="85"/>
      <c r="W906" s="85"/>
      <c r="Y906" s="85"/>
      <c r="AA906" s="85"/>
      <c r="AB906" s="85"/>
      <c r="AE906" s="85"/>
      <c r="AF906" s="85"/>
    </row>
    <row r="907" ht="15.75" customHeight="1">
      <c r="F907" s="77"/>
      <c r="H907" s="77"/>
      <c r="P907" s="84"/>
      <c r="U907" s="85"/>
      <c r="W907" s="85"/>
      <c r="Y907" s="85"/>
      <c r="AA907" s="85"/>
      <c r="AB907" s="85"/>
      <c r="AE907" s="85"/>
      <c r="AF907" s="85"/>
    </row>
    <row r="908" ht="15.75" customHeight="1">
      <c r="F908" s="77"/>
      <c r="H908" s="77"/>
      <c r="P908" s="84"/>
      <c r="U908" s="85"/>
      <c r="W908" s="85"/>
      <c r="Y908" s="85"/>
      <c r="AA908" s="85"/>
      <c r="AB908" s="85"/>
      <c r="AE908" s="85"/>
      <c r="AF908" s="85"/>
    </row>
    <row r="909" ht="15.75" customHeight="1">
      <c r="F909" s="77"/>
      <c r="H909" s="77"/>
      <c r="P909" s="84"/>
      <c r="U909" s="85"/>
      <c r="W909" s="85"/>
      <c r="Y909" s="85"/>
      <c r="AA909" s="85"/>
      <c r="AB909" s="85"/>
      <c r="AE909" s="85"/>
      <c r="AF909" s="85"/>
    </row>
    <row r="910" ht="15.75" customHeight="1">
      <c r="F910" s="77"/>
      <c r="H910" s="77"/>
      <c r="P910" s="84"/>
      <c r="U910" s="85"/>
      <c r="W910" s="85"/>
      <c r="Y910" s="85"/>
      <c r="AA910" s="85"/>
      <c r="AB910" s="85"/>
      <c r="AE910" s="85"/>
      <c r="AF910" s="85"/>
    </row>
    <row r="911" ht="15.75" customHeight="1">
      <c r="F911" s="77"/>
      <c r="H911" s="77"/>
      <c r="P911" s="84"/>
      <c r="U911" s="85"/>
      <c r="W911" s="85"/>
      <c r="Y911" s="85"/>
      <c r="AA911" s="85"/>
      <c r="AB911" s="85"/>
      <c r="AE911" s="85"/>
      <c r="AF911" s="85"/>
    </row>
    <row r="912" ht="15.75" customHeight="1">
      <c r="F912" s="77"/>
      <c r="H912" s="77"/>
      <c r="P912" s="84"/>
      <c r="U912" s="85"/>
      <c r="W912" s="85"/>
      <c r="Y912" s="85"/>
      <c r="AA912" s="85"/>
      <c r="AB912" s="85"/>
      <c r="AE912" s="85"/>
      <c r="AF912" s="85"/>
    </row>
    <row r="913" ht="15.75" customHeight="1">
      <c r="F913" s="77"/>
      <c r="H913" s="77"/>
      <c r="P913" s="84"/>
      <c r="U913" s="85"/>
      <c r="W913" s="85"/>
      <c r="Y913" s="85"/>
      <c r="AA913" s="85"/>
      <c r="AB913" s="85"/>
      <c r="AE913" s="85"/>
      <c r="AF913" s="85"/>
    </row>
    <row r="914" ht="15.75" customHeight="1">
      <c r="F914" s="77"/>
      <c r="H914" s="77"/>
      <c r="P914" s="84"/>
      <c r="U914" s="85"/>
      <c r="W914" s="85"/>
      <c r="Y914" s="85"/>
      <c r="AA914" s="85"/>
      <c r="AB914" s="85"/>
      <c r="AE914" s="85"/>
      <c r="AF914" s="85"/>
    </row>
    <row r="915" ht="15.75" customHeight="1">
      <c r="F915" s="77"/>
      <c r="H915" s="77"/>
      <c r="P915" s="84"/>
      <c r="U915" s="85"/>
      <c r="W915" s="85"/>
      <c r="Y915" s="85"/>
      <c r="AA915" s="85"/>
      <c r="AB915" s="85"/>
      <c r="AE915" s="85"/>
      <c r="AF915" s="85"/>
    </row>
    <row r="916" ht="15.75" customHeight="1">
      <c r="F916" s="77"/>
      <c r="H916" s="77"/>
      <c r="P916" s="84"/>
      <c r="U916" s="85"/>
      <c r="W916" s="85"/>
      <c r="Y916" s="85"/>
      <c r="AA916" s="85"/>
      <c r="AB916" s="85"/>
      <c r="AE916" s="85"/>
      <c r="AF916" s="85"/>
    </row>
    <row r="917" ht="15.75" customHeight="1">
      <c r="F917" s="77"/>
      <c r="H917" s="77"/>
      <c r="P917" s="84"/>
      <c r="U917" s="85"/>
      <c r="W917" s="85"/>
      <c r="Y917" s="85"/>
      <c r="AA917" s="85"/>
      <c r="AB917" s="85"/>
      <c r="AE917" s="85"/>
      <c r="AF917" s="85"/>
    </row>
    <row r="918" ht="15.75" customHeight="1">
      <c r="F918" s="77"/>
      <c r="H918" s="77"/>
      <c r="P918" s="84"/>
      <c r="U918" s="85"/>
      <c r="W918" s="85"/>
      <c r="Y918" s="85"/>
      <c r="AA918" s="85"/>
      <c r="AB918" s="85"/>
      <c r="AE918" s="85"/>
      <c r="AF918" s="85"/>
    </row>
    <row r="919" ht="15.75" customHeight="1">
      <c r="F919" s="77"/>
      <c r="H919" s="77"/>
      <c r="P919" s="84"/>
      <c r="U919" s="85"/>
      <c r="W919" s="85"/>
      <c r="Y919" s="85"/>
      <c r="AA919" s="85"/>
      <c r="AB919" s="85"/>
      <c r="AE919" s="85"/>
      <c r="AF919" s="85"/>
    </row>
    <row r="920" ht="15.75" customHeight="1">
      <c r="F920" s="77"/>
      <c r="H920" s="77"/>
      <c r="P920" s="84"/>
      <c r="U920" s="85"/>
      <c r="W920" s="85"/>
      <c r="Y920" s="85"/>
      <c r="AA920" s="85"/>
      <c r="AB920" s="85"/>
      <c r="AE920" s="85"/>
      <c r="AF920" s="85"/>
    </row>
    <row r="921" ht="15.75" customHeight="1">
      <c r="F921" s="77"/>
      <c r="H921" s="77"/>
      <c r="P921" s="84"/>
      <c r="U921" s="85"/>
      <c r="W921" s="85"/>
      <c r="Y921" s="85"/>
      <c r="AA921" s="85"/>
      <c r="AB921" s="85"/>
      <c r="AE921" s="85"/>
      <c r="AF921" s="85"/>
    </row>
    <row r="922" ht="15.75" customHeight="1">
      <c r="F922" s="77"/>
      <c r="H922" s="77"/>
      <c r="P922" s="84"/>
      <c r="U922" s="85"/>
      <c r="W922" s="85"/>
      <c r="Y922" s="85"/>
      <c r="AA922" s="85"/>
      <c r="AB922" s="85"/>
      <c r="AE922" s="85"/>
      <c r="AF922" s="85"/>
    </row>
    <row r="923" ht="15.75" customHeight="1">
      <c r="F923" s="77"/>
      <c r="H923" s="77"/>
      <c r="P923" s="84"/>
      <c r="U923" s="85"/>
      <c r="W923" s="85"/>
      <c r="Y923" s="85"/>
      <c r="AA923" s="85"/>
      <c r="AB923" s="85"/>
      <c r="AE923" s="85"/>
      <c r="AF923" s="85"/>
    </row>
    <row r="924" ht="15.75" customHeight="1">
      <c r="F924" s="77"/>
      <c r="H924" s="77"/>
      <c r="P924" s="84"/>
      <c r="U924" s="85"/>
      <c r="W924" s="85"/>
      <c r="Y924" s="85"/>
      <c r="AA924" s="85"/>
      <c r="AB924" s="85"/>
      <c r="AE924" s="85"/>
      <c r="AF924" s="85"/>
    </row>
    <row r="925" ht="15.75" customHeight="1">
      <c r="F925" s="77"/>
      <c r="H925" s="77"/>
      <c r="P925" s="84"/>
      <c r="U925" s="85"/>
      <c r="W925" s="85"/>
      <c r="Y925" s="85"/>
      <c r="AA925" s="85"/>
      <c r="AB925" s="85"/>
      <c r="AE925" s="85"/>
      <c r="AF925" s="85"/>
    </row>
    <row r="926" ht="15.75" customHeight="1">
      <c r="F926" s="77"/>
      <c r="H926" s="77"/>
      <c r="P926" s="84"/>
      <c r="U926" s="85"/>
      <c r="W926" s="85"/>
      <c r="Y926" s="85"/>
      <c r="AA926" s="85"/>
      <c r="AB926" s="85"/>
      <c r="AE926" s="85"/>
      <c r="AF926" s="85"/>
    </row>
    <row r="927" ht="15.75" customHeight="1">
      <c r="F927" s="77"/>
      <c r="H927" s="77"/>
      <c r="P927" s="84"/>
      <c r="U927" s="85"/>
      <c r="W927" s="85"/>
      <c r="Y927" s="85"/>
      <c r="AA927" s="85"/>
      <c r="AB927" s="85"/>
      <c r="AE927" s="85"/>
      <c r="AF927" s="85"/>
    </row>
    <row r="928" ht="15.75" customHeight="1">
      <c r="F928" s="77"/>
      <c r="H928" s="77"/>
      <c r="P928" s="84"/>
      <c r="U928" s="85"/>
      <c r="W928" s="85"/>
      <c r="Y928" s="85"/>
      <c r="AA928" s="85"/>
      <c r="AB928" s="85"/>
      <c r="AE928" s="85"/>
      <c r="AF928" s="85"/>
    </row>
    <row r="929" ht="15.75" customHeight="1">
      <c r="F929" s="77"/>
      <c r="H929" s="77"/>
      <c r="P929" s="84"/>
      <c r="U929" s="85"/>
      <c r="W929" s="85"/>
      <c r="Y929" s="85"/>
      <c r="AA929" s="85"/>
      <c r="AB929" s="85"/>
      <c r="AE929" s="85"/>
      <c r="AF929" s="85"/>
    </row>
    <row r="930" ht="15.75" customHeight="1">
      <c r="F930" s="77"/>
      <c r="H930" s="77"/>
      <c r="P930" s="84"/>
      <c r="U930" s="85"/>
      <c r="W930" s="85"/>
      <c r="Y930" s="85"/>
      <c r="AA930" s="85"/>
      <c r="AB930" s="85"/>
      <c r="AE930" s="85"/>
      <c r="AF930" s="85"/>
    </row>
    <row r="931" ht="15.75" customHeight="1">
      <c r="F931" s="77"/>
      <c r="H931" s="77"/>
      <c r="P931" s="84"/>
      <c r="U931" s="85"/>
      <c r="W931" s="85"/>
      <c r="Y931" s="85"/>
      <c r="AA931" s="85"/>
      <c r="AB931" s="85"/>
      <c r="AE931" s="85"/>
      <c r="AF931" s="85"/>
    </row>
    <row r="932" ht="15.75" customHeight="1">
      <c r="F932" s="77"/>
      <c r="H932" s="77"/>
      <c r="P932" s="84"/>
      <c r="U932" s="85"/>
      <c r="W932" s="85"/>
      <c r="Y932" s="85"/>
      <c r="AA932" s="85"/>
      <c r="AB932" s="85"/>
      <c r="AE932" s="85"/>
      <c r="AF932" s="85"/>
    </row>
    <row r="933" ht="15.75" customHeight="1">
      <c r="F933" s="77"/>
      <c r="H933" s="77"/>
      <c r="P933" s="84"/>
      <c r="U933" s="85"/>
      <c r="W933" s="85"/>
      <c r="Y933" s="85"/>
      <c r="AA933" s="85"/>
      <c r="AB933" s="85"/>
      <c r="AE933" s="85"/>
      <c r="AF933" s="85"/>
    </row>
    <row r="934" ht="15.75" customHeight="1">
      <c r="F934" s="77"/>
      <c r="H934" s="77"/>
      <c r="P934" s="84"/>
      <c r="U934" s="85"/>
      <c r="W934" s="85"/>
      <c r="Y934" s="85"/>
      <c r="AA934" s="85"/>
      <c r="AB934" s="85"/>
      <c r="AE934" s="85"/>
      <c r="AF934" s="85"/>
    </row>
    <row r="935" ht="15.75" customHeight="1">
      <c r="F935" s="77"/>
      <c r="H935" s="77"/>
      <c r="P935" s="84"/>
      <c r="U935" s="85"/>
      <c r="W935" s="85"/>
      <c r="Y935" s="85"/>
      <c r="AA935" s="85"/>
      <c r="AB935" s="85"/>
      <c r="AE935" s="85"/>
      <c r="AF935" s="85"/>
    </row>
    <row r="936" ht="15.75" customHeight="1">
      <c r="F936" s="77"/>
      <c r="H936" s="77"/>
      <c r="P936" s="84"/>
      <c r="U936" s="85"/>
      <c r="W936" s="85"/>
      <c r="Y936" s="85"/>
      <c r="AA936" s="85"/>
      <c r="AB936" s="85"/>
      <c r="AE936" s="85"/>
      <c r="AF936" s="85"/>
    </row>
    <row r="937" ht="15.75" customHeight="1">
      <c r="F937" s="77"/>
      <c r="H937" s="77"/>
      <c r="P937" s="84"/>
      <c r="U937" s="85"/>
      <c r="W937" s="85"/>
      <c r="Y937" s="85"/>
      <c r="AA937" s="85"/>
      <c r="AB937" s="85"/>
      <c r="AE937" s="85"/>
      <c r="AF937" s="85"/>
    </row>
    <row r="938" ht="15.75" customHeight="1">
      <c r="F938" s="77"/>
      <c r="H938" s="77"/>
      <c r="P938" s="84"/>
      <c r="U938" s="85"/>
      <c r="W938" s="85"/>
      <c r="Y938" s="85"/>
      <c r="AA938" s="85"/>
      <c r="AB938" s="85"/>
      <c r="AE938" s="85"/>
      <c r="AF938" s="85"/>
    </row>
    <row r="939" ht="15.75" customHeight="1">
      <c r="F939" s="77"/>
      <c r="H939" s="77"/>
      <c r="P939" s="84"/>
      <c r="U939" s="85"/>
      <c r="W939" s="85"/>
      <c r="Y939" s="85"/>
      <c r="AA939" s="85"/>
      <c r="AB939" s="85"/>
      <c r="AE939" s="85"/>
      <c r="AF939" s="85"/>
    </row>
    <row r="940" ht="15.75" customHeight="1">
      <c r="F940" s="77"/>
      <c r="H940" s="77"/>
      <c r="P940" s="84"/>
      <c r="U940" s="85"/>
      <c r="W940" s="85"/>
      <c r="Y940" s="85"/>
      <c r="AA940" s="85"/>
      <c r="AB940" s="85"/>
      <c r="AE940" s="85"/>
      <c r="AF940" s="85"/>
    </row>
    <row r="941" ht="15.75" customHeight="1">
      <c r="F941" s="77"/>
      <c r="H941" s="77"/>
      <c r="P941" s="84"/>
      <c r="U941" s="85"/>
      <c r="W941" s="85"/>
      <c r="Y941" s="85"/>
      <c r="AA941" s="85"/>
      <c r="AB941" s="85"/>
      <c r="AE941" s="85"/>
      <c r="AF941" s="85"/>
    </row>
    <row r="942" ht="15.75" customHeight="1">
      <c r="F942" s="77"/>
      <c r="H942" s="77"/>
      <c r="P942" s="84"/>
      <c r="U942" s="85"/>
      <c r="W942" s="85"/>
      <c r="Y942" s="85"/>
      <c r="AA942" s="85"/>
      <c r="AB942" s="85"/>
      <c r="AE942" s="85"/>
      <c r="AF942" s="85"/>
    </row>
    <row r="943" ht="15.75" customHeight="1">
      <c r="F943" s="77"/>
      <c r="H943" s="77"/>
      <c r="P943" s="84"/>
      <c r="U943" s="85"/>
      <c r="W943" s="85"/>
      <c r="Y943" s="85"/>
      <c r="AA943" s="85"/>
      <c r="AB943" s="85"/>
      <c r="AE943" s="85"/>
      <c r="AF943" s="85"/>
    </row>
    <row r="944" ht="15.75" customHeight="1">
      <c r="F944" s="77"/>
      <c r="H944" s="77"/>
      <c r="P944" s="84"/>
      <c r="U944" s="85"/>
      <c r="W944" s="85"/>
      <c r="Y944" s="85"/>
      <c r="AA944" s="85"/>
      <c r="AB944" s="85"/>
      <c r="AE944" s="85"/>
      <c r="AF944" s="85"/>
    </row>
    <row r="945" ht="15.75" customHeight="1">
      <c r="F945" s="77"/>
      <c r="H945" s="77"/>
      <c r="P945" s="84"/>
      <c r="U945" s="85"/>
      <c r="W945" s="85"/>
      <c r="Y945" s="85"/>
      <c r="AA945" s="85"/>
      <c r="AB945" s="85"/>
      <c r="AE945" s="85"/>
      <c r="AF945" s="85"/>
    </row>
    <row r="946" ht="15.75" customHeight="1">
      <c r="F946" s="77"/>
      <c r="H946" s="77"/>
      <c r="P946" s="84"/>
      <c r="U946" s="85"/>
      <c r="W946" s="85"/>
      <c r="Y946" s="85"/>
      <c r="AA946" s="85"/>
      <c r="AB946" s="85"/>
      <c r="AE946" s="85"/>
      <c r="AF946" s="85"/>
    </row>
    <row r="947" ht="15.75" customHeight="1">
      <c r="F947" s="77"/>
      <c r="H947" s="77"/>
      <c r="P947" s="84"/>
      <c r="U947" s="85"/>
      <c r="W947" s="85"/>
      <c r="Y947" s="85"/>
      <c r="AA947" s="85"/>
      <c r="AB947" s="85"/>
      <c r="AE947" s="85"/>
      <c r="AF947" s="85"/>
    </row>
    <row r="948" ht="15.75" customHeight="1">
      <c r="F948" s="77"/>
      <c r="H948" s="77"/>
      <c r="P948" s="84"/>
      <c r="U948" s="85"/>
      <c r="W948" s="85"/>
      <c r="Y948" s="85"/>
      <c r="AA948" s="85"/>
      <c r="AB948" s="85"/>
      <c r="AE948" s="85"/>
      <c r="AF948" s="85"/>
    </row>
    <row r="949" ht="15.75" customHeight="1">
      <c r="F949" s="77"/>
      <c r="H949" s="77"/>
      <c r="P949" s="84"/>
      <c r="U949" s="85"/>
      <c r="W949" s="85"/>
      <c r="Y949" s="85"/>
      <c r="AA949" s="85"/>
      <c r="AB949" s="85"/>
      <c r="AE949" s="85"/>
      <c r="AF949" s="85"/>
    </row>
    <row r="950" ht="15.75" customHeight="1">
      <c r="F950" s="77"/>
      <c r="H950" s="77"/>
      <c r="P950" s="84"/>
      <c r="U950" s="85"/>
      <c r="W950" s="85"/>
      <c r="Y950" s="85"/>
      <c r="AA950" s="85"/>
      <c r="AB950" s="85"/>
      <c r="AE950" s="85"/>
      <c r="AF950" s="85"/>
    </row>
    <row r="951" ht="15.75" customHeight="1">
      <c r="F951" s="77"/>
      <c r="H951" s="77"/>
      <c r="P951" s="84"/>
      <c r="U951" s="85"/>
      <c r="W951" s="85"/>
      <c r="Y951" s="85"/>
      <c r="AA951" s="85"/>
      <c r="AB951" s="85"/>
      <c r="AE951" s="85"/>
      <c r="AF951" s="85"/>
    </row>
    <row r="952" ht="15.75" customHeight="1">
      <c r="F952" s="77"/>
      <c r="H952" s="77"/>
      <c r="P952" s="84"/>
      <c r="U952" s="85"/>
      <c r="W952" s="85"/>
      <c r="Y952" s="85"/>
      <c r="AA952" s="85"/>
      <c r="AB952" s="85"/>
      <c r="AE952" s="85"/>
      <c r="AF952" s="85"/>
    </row>
    <row r="953" ht="15.75" customHeight="1">
      <c r="F953" s="77"/>
      <c r="H953" s="77"/>
      <c r="P953" s="84"/>
      <c r="U953" s="85"/>
      <c r="W953" s="85"/>
      <c r="Y953" s="85"/>
      <c r="AA953" s="85"/>
      <c r="AB953" s="85"/>
      <c r="AE953" s="85"/>
      <c r="AF953" s="85"/>
    </row>
    <row r="954" ht="15.75" customHeight="1">
      <c r="F954" s="77"/>
      <c r="H954" s="77"/>
      <c r="P954" s="84"/>
      <c r="U954" s="85"/>
      <c r="W954" s="85"/>
      <c r="Y954" s="85"/>
      <c r="AA954" s="85"/>
      <c r="AB954" s="85"/>
      <c r="AE954" s="85"/>
      <c r="AF954" s="85"/>
    </row>
    <row r="955" ht="15.75" customHeight="1">
      <c r="F955" s="77"/>
      <c r="H955" s="77"/>
      <c r="P955" s="84"/>
      <c r="U955" s="85"/>
      <c r="W955" s="85"/>
      <c r="Y955" s="85"/>
      <c r="AA955" s="85"/>
      <c r="AB955" s="85"/>
      <c r="AE955" s="85"/>
      <c r="AF955" s="85"/>
    </row>
    <row r="956" ht="15.75" customHeight="1">
      <c r="F956" s="77"/>
      <c r="H956" s="77"/>
      <c r="P956" s="84"/>
      <c r="U956" s="85"/>
      <c r="W956" s="85"/>
      <c r="Y956" s="85"/>
      <c r="AA956" s="85"/>
      <c r="AB956" s="85"/>
      <c r="AE956" s="85"/>
      <c r="AF956" s="85"/>
    </row>
    <row r="957" ht="15.75" customHeight="1">
      <c r="F957" s="77"/>
      <c r="H957" s="77"/>
      <c r="P957" s="84"/>
      <c r="U957" s="85"/>
      <c r="W957" s="85"/>
      <c r="Y957" s="85"/>
      <c r="AA957" s="85"/>
      <c r="AB957" s="85"/>
      <c r="AE957" s="85"/>
      <c r="AF957" s="85"/>
    </row>
    <row r="958" ht="15.75" customHeight="1">
      <c r="F958" s="77"/>
      <c r="H958" s="77"/>
      <c r="P958" s="84"/>
      <c r="U958" s="85"/>
      <c r="W958" s="85"/>
      <c r="Y958" s="85"/>
      <c r="AA958" s="85"/>
      <c r="AB958" s="85"/>
      <c r="AE958" s="85"/>
      <c r="AF958" s="85"/>
    </row>
    <row r="959" ht="15.75" customHeight="1">
      <c r="F959" s="77"/>
      <c r="H959" s="77"/>
      <c r="P959" s="84"/>
      <c r="U959" s="85"/>
      <c r="W959" s="85"/>
      <c r="Y959" s="85"/>
      <c r="AA959" s="85"/>
      <c r="AB959" s="85"/>
      <c r="AE959" s="85"/>
      <c r="AF959" s="85"/>
    </row>
    <row r="960" ht="15.75" customHeight="1">
      <c r="F960" s="77"/>
      <c r="H960" s="77"/>
      <c r="P960" s="84"/>
      <c r="U960" s="85"/>
      <c r="W960" s="85"/>
      <c r="Y960" s="85"/>
      <c r="AA960" s="85"/>
      <c r="AB960" s="85"/>
      <c r="AE960" s="85"/>
      <c r="AF960" s="85"/>
    </row>
    <row r="961" ht="15.75" customHeight="1">
      <c r="F961" s="77"/>
      <c r="H961" s="77"/>
      <c r="P961" s="84"/>
      <c r="U961" s="85"/>
      <c r="W961" s="85"/>
      <c r="Y961" s="85"/>
      <c r="AA961" s="85"/>
      <c r="AB961" s="85"/>
      <c r="AE961" s="85"/>
      <c r="AF961" s="85"/>
    </row>
    <row r="962" ht="15.75" customHeight="1">
      <c r="F962" s="77"/>
      <c r="H962" s="77"/>
      <c r="P962" s="84"/>
      <c r="U962" s="85"/>
      <c r="W962" s="85"/>
      <c r="Y962" s="85"/>
      <c r="AA962" s="85"/>
      <c r="AB962" s="85"/>
      <c r="AE962" s="85"/>
      <c r="AF962" s="85"/>
    </row>
    <row r="963" ht="15.75" customHeight="1">
      <c r="F963" s="77"/>
      <c r="H963" s="77"/>
      <c r="P963" s="84"/>
      <c r="U963" s="85"/>
      <c r="W963" s="85"/>
      <c r="Y963" s="85"/>
      <c r="AA963" s="85"/>
      <c r="AB963" s="85"/>
      <c r="AE963" s="85"/>
      <c r="AF963" s="85"/>
    </row>
    <row r="964" ht="15.75" customHeight="1">
      <c r="F964" s="77"/>
      <c r="H964" s="77"/>
      <c r="P964" s="84"/>
      <c r="U964" s="85"/>
      <c r="W964" s="85"/>
      <c r="Y964" s="85"/>
      <c r="AA964" s="85"/>
      <c r="AB964" s="85"/>
      <c r="AE964" s="85"/>
      <c r="AF964" s="85"/>
    </row>
    <row r="965" ht="15.75" customHeight="1">
      <c r="F965" s="77"/>
      <c r="H965" s="77"/>
      <c r="P965" s="84"/>
      <c r="U965" s="85"/>
      <c r="W965" s="85"/>
      <c r="Y965" s="85"/>
      <c r="AA965" s="85"/>
      <c r="AB965" s="85"/>
      <c r="AE965" s="85"/>
      <c r="AF965" s="85"/>
    </row>
    <row r="966" ht="15.75" customHeight="1">
      <c r="F966" s="77"/>
      <c r="H966" s="77"/>
      <c r="P966" s="84"/>
      <c r="U966" s="85"/>
      <c r="W966" s="85"/>
      <c r="Y966" s="85"/>
      <c r="AA966" s="85"/>
      <c r="AB966" s="85"/>
      <c r="AE966" s="85"/>
      <c r="AF966" s="85"/>
    </row>
    <row r="967" ht="15.75" customHeight="1">
      <c r="F967" s="77"/>
      <c r="H967" s="77"/>
      <c r="P967" s="84"/>
      <c r="U967" s="85"/>
      <c r="W967" s="85"/>
      <c r="Y967" s="85"/>
      <c r="AA967" s="85"/>
      <c r="AB967" s="85"/>
      <c r="AE967" s="85"/>
      <c r="AF967" s="85"/>
    </row>
    <row r="968" ht="15.75" customHeight="1">
      <c r="F968" s="77"/>
      <c r="H968" s="77"/>
      <c r="P968" s="84"/>
      <c r="U968" s="85"/>
      <c r="W968" s="85"/>
      <c r="Y968" s="85"/>
      <c r="AA968" s="85"/>
      <c r="AB968" s="85"/>
      <c r="AE968" s="85"/>
      <c r="AF968" s="85"/>
    </row>
    <row r="969" ht="15.75" customHeight="1">
      <c r="F969" s="77"/>
      <c r="H969" s="77"/>
      <c r="P969" s="84"/>
      <c r="U969" s="85"/>
      <c r="W969" s="85"/>
      <c r="Y969" s="85"/>
      <c r="AA969" s="85"/>
      <c r="AB969" s="85"/>
      <c r="AE969" s="85"/>
      <c r="AF969" s="85"/>
    </row>
    <row r="970" ht="15.75" customHeight="1">
      <c r="F970" s="77"/>
      <c r="H970" s="77"/>
      <c r="P970" s="84"/>
      <c r="U970" s="85"/>
      <c r="W970" s="85"/>
      <c r="Y970" s="85"/>
      <c r="AA970" s="85"/>
      <c r="AB970" s="85"/>
      <c r="AE970" s="85"/>
      <c r="AF970" s="85"/>
    </row>
    <row r="971" ht="15.75" customHeight="1">
      <c r="F971" s="77"/>
      <c r="H971" s="77"/>
      <c r="P971" s="84"/>
      <c r="U971" s="85"/>
      <c r="W971" s="85"/>
      <c r="Y971" s="85"/>
      <c r="AA971" s="85"/>
      <c r="AB971" s="85"/>
      <c r="AE971" s="85"/>
      <c r="AF971" s="85"/>
    </row>
    <row r="972" ht="15.75" customHeight="1">
      <c r="F972" s="77"/>
      <c r="H972" s="77"/>
      <c r="P972" s="84"/>
      <c r="U972" s="85"/>
      <c r="W972" s="85"/>
      <c r="Y972" s="85"/>
      <c r="AA972" s="85"/>
      <c r="AB972" s="85"/>
      <c r="AE972" s="85"/>
      <c r="AF972" s="85"/>
    </row>
    <row r="973" ht="15.75" customHeight="1">
      <c r="F973" s="77"/>
      <c r="H973" s="77"/>
      <c r="P973" s="84"/>
      <c r="U973" s="85"/>
      <c r="W973" s="85"/>
      <c r="Y973" s="85"/>
      <c r="AA973" s="85"/>
      <c r="AB973" s="85"/>
      <c r="AE973" s="85"/>
      <c r="AF973" s="85"/>
    </row>
    <row r="974" ht="15.75" customHeight="1">
      <c r="F974" s="77"/>
      <c r="H974" s="77"/>
      <c r="P974" s="84"/>
      <c r="U974" s="85"/>
      <c r="W974" s="85"/>
      <c r="Y974" s="85"/>
      <c r="AA974" s="85"/>
      <c r="AB974" s="85"/>
      <c r="AE974" s="85"/>
      <c r="AF974" s="85"/>
    </row>
    <row r="975" ht="15.75" customHeight="1">
      <c r="F975" s="77"/>
      <c r="H975" s="77"/>
      <c r="P975" s="84"/>
      <c r="U975" s="85"/>
      <c r="W975" s="85"/>
      <c r="Y975" s="85"/>
      <c r="AA975" s="85"/>
      <c r="AB975" s="85"/>
      <c r="AE975" s="85"/>
      <c r="AF975" s="85"/>
    </row>
    <row r="976" ht="15.75" customHeight="1">
      <c r="F976" s="77"/>
      <c r="H976" s="77"/>
      <c r="P976" s="84"/>
      <c r="U976" s="85"/>
      <c r="W976" s="85"/>
      <c r="Y976" s="85"/>
      <c r="AA976" s="85"/>
      <c r="AB976" s="85"/>
      <c r="AE976" s="85"/>
      <c r="AF976" s="85"/>
    </row>
    <row r="977" ht="15.75" customHeight="1">
      <c r="F977" s="77"/>
      <c r="H977" s="77"/>
      <c r="P977" s="84"/>
      <c r="U977" s="85"/>
      <c r="W977" s="85"/>
      <c r="Y977" s="85"/>
      <c r="AA977" s="85"/>
      <c r="AB977" s="85"/>
      <c r="AE977" s="85"/>
      <c r="AF977" s="85"/>
    </row>
    <row r="978" ht="15.75" customHeight="1">
      <c r="F978" s="77"/>
      <c r="H978" s="77"/>
      <c r="P978" s="84"/>
      <c r="U978" s="85"/>
      <c r="W978" s="85"/>
      <c r="Y978" s="85"/>
      <c r="AA978" s="85"/>
      <c r="AB978" s="85"/>
      <c r="AE978" s="85"/>
      <c r="AF978" s="85"/>
    </row>
    <row r="979" ht="15.75" customHeight="1">
      <c r="F979" s="77"/>
      <c r="H979" s="77"/>
      <c r="P979" s="84"/>
      <c r="U979" s="85"/>
      <c r="W979" s="85"/>
      <c r="Y979" s="85"/>
      <c r="AA979" s="85"/>
      <c r="AB979" s="85"/>
      <c r="AE979" s="85"/>
      <c r="AF979" s="85"/>
    </row>
    <row r="980" ht="15.75" customHeight="1">
      <c r="F980" s="77"/>
      <c r="H980" s="77"/>
      <c r="P980" s="84"/>
      <c r="U980" s="85"/>
      <c r="W980" s="85"/>
      <c r="Y980" s="85"/>
      <c r="AA980" s="85"/>
      <c r="AB980" s="85"/>
      <c r="AE980" s="85"/>
      <c r="AF980" s="85"/>
    </row>
    <row r="981" ht="15.75" customHeight="1">
      <c r="F981" s="77"/>
      <c r="H981" s="77"/>
      <c r="P981" s="84"/>
      <c r="U981" s="85"/>
      <c r="W981" s="85"/>
      <c r="Y981" s="85"/>
      <c r="AA981" s="85"/>
      <c r="AB981" s="85"/>
      <c r="AE981" s="85"/>
      <c r="AF981" s="85"/>
    </row>
    <row r="982" ht="15.75" customHeight="1">
      <c r="F982" s="77"/>
      <c r="H982" s="77"/>
      <c r="P982" s="84"/>
      <c r="U982" s="85"/>
      <c r="W982" s="85"/>
      <c r="Y982" s="85"/>
      <c r="AA982" s="85"/>
      <c r="AB982" s="85"/>
      <c r="AE982" s="85"/>
      <c r="AF982" s="85"/>
    </row>
    <row r="983" ht="15.75" customHeight="1">
      <c r="F983" s="77"/>
      <c r="H983" s="77"/>
      <c r="P983" s="84"/>
      <c r="U983" s="85"/>
      <c r="W983" s="85"/>
      <c r="Y983" s="85"/>
      <c r="AA983" s="85"/>
      <c r="AB983" s="85"/>
      <c r="AE983" s="85"/>
      <c r="AF983" s="85"/>
    </row>
    <row r="984" ht="15.75" customHeight="1">
      <c r="F984" s="77"/>
      <c r="H984" s="77"/>
      <c r="P984" s="84"/>
      <c r="U984" s="85"/>
      <c r="W984" s="85"/>
      <c r="Y984" s="85"/>
      <c r="AA984" s="85"/>
      <c r="AB984" s="85"/>
      <c r="AE984" s="85"/>
      <c r="AF984" s="85"/>
    </row>
    <row r="985" ht="15.75" customHeight="1">
      <c r="F985" s="77"/>
      <c r="H985" s="77"/>
      <c r="P985" s="84"/>
      <c r="U985" s="85"/>
      <c r="W985" s="85"/>
      <c r="Y985" s="85"/>
      <c r="AA985" s="85"/>
      <c r="AB985" s="85"/>
      <c r="AE985" s="85"/>
      <c r="AF985" s="85"/>
    </row>
    <row r="986" ht="15.75" customHeight="1">
      <c r="F986" s="77"/>
      <c r="H986" s="77"/>
      <c r="P986" s="84"/>
      <c r="U986" s="85"/>
      <c r="W986" s="85"/>
      <c r="Y986" s="85"/>
      <c r="AA986" s="85"/>
      <c r="AB986" s="85"/>
      <c r="AE986" s="85"/>
      <c r="AF986" s="85"/>
    </row>
    <row r="987" ht="15.75" customHeight="1">
      <c r="F987" s="77"/>
      <c r="H987" s="77"/>
      <c r="P987" s="84"/>
      <c r="U987" s="85"/>
      <c r="W987" s="85"/>
      <c r="Y987" s="85"/>
      <c r="AA987" s="85"/>
      <c r="AB987" s="85"/>
      <c r="AE987" s="85"/>
      <c r="AF987" s="85"/>
    </row>
    <row r="988" ht="15.75" customHeight="1">
      <c r="F988" s="77"/>
      <c r="H988" s="77"/>
      <c r="P988" s="84"/>
      <c r="U988" s="85"/>
      <c r="W988" s="85"/>
      <c r="Y988" s="85"/>
      <c r="AA988" s="85"/>
      <c r="AB988" s="85"/>
      <c r="AE988" s="85"/>
      <c r="AF988" s="85"/>
    </row>
    <row r="989" ht="15.75" customHeight="1">
      <c r="F989" s="77"/>
      <c r="H989" s="77"/>
      <c r="P989" s="84"/>
      <c r="U989" s="85"/>
      <c r="W989" s="85"/>
      <c r="Y989" s="85"/>
      <c r="AA989" s="85"/>
      <c r="AB989" s="85"/>
      <c r="AE989" s="85"/>
      <c r="AF989" s="85"/>
    </row>
    <row r="990" ht="15.75" customHeight="1">
      <c r="F990" s="77"/>
      <c r="H990" s="77"/>
      <c r="P990" s="84"/>
      <c r="U990" s="85"/>
      <c r="W990" s="85"/>
      <c r="Y990" s="85"/>
      <c r="AA990" s="85"/>
      <c r="AB990" s="85"/>
      <c r="AE990" s="85"/>
      <c r="AF990" s="85"/>
    </row>
    <row r="991" ht="15.75" customHeight="1">
      <c r="F991" s="77"/>
      <c r="H991" s="77"/>
      <c r="P991" s="84"/>
      <c r="U991" s="85"/>
      <c r="W991" s="85"/>
      <c r="Y991" s="85"/>
      <c r="AA991" s="85"/>
      <c r="AB991" s="85"/>
      <c r="AE991" s="85"/>
      <c r="AF991" s="85"/>
    </row>
    <row r="992" ht="15.75" customHeight="1">
      <c r="F992" s="77"/>
      <c r="H992" s="77"/>
      <c r="P992" s="84"/>
      <c r="U992" s="85"/>
      <c r="W992" s="85"/>
      <c r="Y992" s="85"/>
      <c r="AA992" s="85"/>
      <c r="AB992" s="85"/>
      <c r="AE992" s="85"/>
      <c r="AF992" s="85"/>
    </row>
    <row r="993" ht="15.75" customHeight="1">
      <c r="F993" s="77"/>
      <c r="H993" s="77"/>
      <c r="P993" s="84"/>
      <c r="U993" s="85"/>
      <c r="W993" s="85"/>
      <c r="Y993" s="85"/>
      <c r="AA993" s="85"/>
      <c r="AB993" s="85"/>
      <c r="AE993" s="85"/>
      <c r="AF993" s="85"/>
    </row>
    <row r="994" ht="15.75" customHeight="1">
      <c r="F994" s="77"/>
      <c r="H994" s="77"/>
      <c r="P994" s="84"/>
      <c r="U994" s="85"/>
      <c r="W994" s="85"/>
      <c r="Y994" s="85"/>
      <c r="AA994" s="85"/>
      <c r="AB994" s="85"/>
      <c r="AE994" s="85"/>
      <c r="AF994" s="85"/>
    </row>
    <row r="995" ht="15.75" customHeight="1">
      <c r="F995" s="77"/>
      <c r="H995" s="77"/>
      <c r="P995" s="84"/>
      <c r="U995" s="85"/>
      <c r="W995" s="85"/>
      <c r="Y995" s="85"/>
      <c r="AA995" s="85"/>
      <c r="AB995" s="85"/>
      <c r="AE995" s="85"/>
      <c r="AF995" s="85"/>
    </row>
    <row r="996" ht="15.75" customHeight="1">
      <c r="F996" s="77"/>
      <c r="H996" s="77"/>
      <c r="P996" s="84"/>
      <c r="U996" s="85"/>
      <c r="W996" s="85"/>
      <c r="Y996" s="85"/>
      <c r="AA996" s="85"/>
      <c r="AB996" s="85"/>
      <c r="AE996" s="85"/>
      <c r="AF996" s="85"/>
    </row>
    <row r="997" ht="15.75" customHeight="1">
      <c r="F997" s="77"/>
      <c r="H997" s="77"/>
      <c r="P997" s="84"/>
      <c r="U997" s="85"/>
      <c r="W997" s="85"/>
      <c r="Y997" s="85"/>
      <c r="AA997" s="85"/>
      <c r="AB997" s="85"/>
      <c r="AE997" s="85"/>
      <c r="AF997" s="85"/>
    </row>
    <row r="998" ht="15.75" customHeight="1">
      <c r="F998" s="77"/>
      <c r="H998" s="77"/>
      <c r="P998" s="84"/>
      <c r="U998" s="85"/>
      <c r="W998" s="85"/>
      <c r="Y998" s="85"/>
      <c r="AA998" s="85"/>
      <c r="AB998" s="85"/>
      <c r="AE998" s="85"/>
      <c r="AF998" s="85"/>
    </row>
    <row r="999" ht="15.75" customHeight="1">
      <c r="F999" s="77"/>
      <c r="H999" s="77"/>
      <c r="P999" s="84"/>
      <c r="U999" s="85"/>
      <c r="W999" s="85"/>
      <c r="Y999" s="85"/>
      <c r="AA999" s="85"/>
      <c r="AB999" s="85"/>
      <c r="AE999" s="85"/>
      <c r="AF999" s="85"/>
    </row>
    <row r="1000" ht="15.75" customHeight="1">
      <c r="F1000" s="77"/>
      <c r="H1000" s="77"/>
      <c r="P1000" s="84"/>
      <c r="U1000" s="85"/>
      <c r="W1000" s="85"/>
      <c r="Y1000" s="85"/>
      <c r="AA1000" s="85"/>
      <c r="AB1000" s="85"/>
      <c r="AE1000" s="85"/>
      <c r="AF1000" s="85"/>
    </row>
    <row r="1001" ht="15.75" customHeight="1">
      <c r="F1001" s="77"/>
      <c r="H1001" s="77"/>
      <c r="P1001" s="84"/>
      <c r="U1001" s="85"/>
      <c r="W1001" s="85"/>
      <c r="Y1001" s="85"/>
      <c r="AA1001" s="85"/>
      <c r="AB1001" s="85"/>
      <c r="AE1001" s="85"/>
      <c r="AF1001" s="85"/>
    </row>
    <row r="1002" ht="15.75" customHeight="1">
      <c r="F1002" s="77"/>
      <c r="H1002" s="77"/>
      <c r="P1002" s="84"/>
      <c r="U1002" s="85"/>
      <c r="W1002" s="85"/>
      <c r="Y1002" s="85"/>
      <c r="AA1002" s="85"/>
      <c r="AB1002" s="85"/>
      <c r="AE1002" s="85"/>
      <c r="AF1002" s="85"/>
    </row>
    <row r="1003" ht="15.75" customHeight="1">
      <c r="F1003" s="77"/>
      <c r="H1003" s="77"/>
      <c r="P1003" s="84"/>
      <c r="U1003" s="85"/>
      <c r="W1003" s="85"/>
      <c r="Y1003" s="85"/>
      <c r="AA1003" s="85"/>
      <c r="AB1003" s="85"/>
      <c r="AE1003" s="85"/>
      <c r="AF1003" s="85"/>
    </row>
    <row r="1004" ht="15.75" customHeight="1">
      <c r="F1004" s="77"/>
      <c r="H1004" s="77"/>
      <c r="P1004" s="84"/>
      <c r="U1004" s="85"/>
      <c r="W1004" s="85"/>
      <c r="Y1004" s="85"/>
      <c r="AA1004" s="85"/>
      <c r="AB1004" s="85"/>
      <c r="AE1004" s="85"/>
      <c r="AF1004" s="85"/>
    </row>
    <row r="1005" ht="15.75" customHeight="1">
      <c r="F1005" s="77"/>
      <c r="H1005" s="77"/>
      <c r="P1005" s="84"/>
      <c r="U1005" s="85"/>
      <c r="W1005" s="85"/>
      <c r="Y1005" s="85"/>
      <c r="AA1005" s="85"/>
      <c r="AB1005" s="85"/>
      <c r="AE1005" s="85"/>
      <c r="AF1005" s="85"/>
    </row>
    <row r="1006" ht="15.75" customHeight="1">
      <c r="F1006" s="77"/>
      <c r="H1006" s="77"/>
      <c r="P1006" s="84"/>
      <c r="U1006" s="85"/>
      <c r="W1006" s="85"/>
      <c r="Y1006" s="85"/>
      <c r="AA1006" s="85"/>
      <c r="AB1006" s="85"/>
      <c r="AE1006" s="85"/>
      <c r="AF1006" s="85"/>
    </row>
    <row r="1007" ht="15.75" customHeight="1">
      <c r="F1007" s="77"/>
      <c r="H1007" s="77"/>
      <c r="U1007" s="85"/>
      <c r="W1007" s="85"/>
      <c r="Y1007" s="85"/>
      <c r="AA1007" s="85"/>
      <c r="AB1007" s="85"/>
      <c r="AE1007" s="85"/>
      <c r="AF1007" s="85"/>
    </row>
    <row r="1008" ht="15.75" customHeight="1">
      <c r="F1008" s="77"/>
      <c r="H1008" s="77"/>
      <c r="U1008" s="85"/>
      <c r="W1008" s="85"/>
      <c r="Y1008" s="85"/>
      <c r="AA1008" s="85"/>
      <c r="AB1008" s="85"/>
      <c r="AE1008" s="85"/>
      <c r="AF1008" s="85"/>
    </row>
    <row r="1009" ht="15.75" customHeight="1">
      <c r="F1009" s="77"/>
      <c r="H1009" s="77"/>
      <c r="U1009" s="85"/>
      <c r="W1009" s="85"/>
      <c r="Y1009" s="85"/>
      <c r="AA1009" s="85"/>
      <c r="AB1009" s="85"/>
      <c r="AE1009" s="85"/>
      <c r="AF1009" s="85"/>
    </row>
    <row r="1010" ht="15.75" customHeight="1">
      <c r="F1010" s="77"/>
      <c r="H1010" s="77"/>
      <c r="U1010" s="85"/>
      <c r="W1010" s="85"/>
      <c r="Y1010" s="85"/>
      <c r="AA1010" s="85"/>
      <c r="AB1010" s="85"/>
      <c r="AE1010" s="85"/>
      <c r="AF1010" s="85"/>
    </row>
    <row r="1011" ht="15.75" customHeight="1">
      <c r="F1011" s="77"/>
      <c r="H1011" s="77"/>
      <c r="U1011" s="85"/>
      <c r="W1011" s="85"/>
      <c r="Y1011" s="85"/>
      <c r="AA1011" s="85"/>
      <c r="AB1011" s="85"/>
      <c r="AE1011" s="85"/>
      <c r="AF1011" s="85"/>
    </row>
    <row r="1012" ht="15.75" customHeight="1">
      <c r="F1012" s="77"/>
      <c r="H1012" s="77"/>
      <c r="U1012" s="85"/>
      <c r="W1012" s="85"/>
      <c r="Y1012" s="85"/>
      <c r="AA1012" s="85"/>
      <c r="AB1012" s="85"/>
      <c r="AE1012" s="85"/>
      <c r="AF1012" s="85"/>
    </row>
    <row r="1013" ht="15.75" customHeight="1">
      <c r="F1013" s="77"/>
      <c r="H1013" s="77"/>
      <c r="U1013" s="85"/>
      <c r="W1013" s="85"/>
      <c r="Y1013" s="85"/>
      <c r="AA1013" s="85"/>
      <c r="AB1013" s="85"/>
      <c r="AE1013" s="85"/>
      <c r="AF1013" s="85"/>
    </row>
    <row r="1014" ht="15.75" customHeight="1">
      <c r="F1014" s="77"/>
      <c r="H1014" s="77"/>
      <c r="U1014" s="85"/>
      <c r="W1014" s="85"/>
      <c r="Y1014" s="85"/>
      <c r="AA1014" s="85"/>
      <c r="AB1014" s="85"/>
      <c r="AE1014" s="85"/>
      <c r="AF1014" s="85"/>
    </row>
    <row r="1015" ht="15.75" customHeight="1">
      <c r="F1015" s="77"/>
      <c r="H1015" s="77"/>
      <c r="U1015" s="85"/>
      <c r="W1015" s="85"/>
      <c r="Y1015" s="85"/>
      <c r="AA1015" s="85"/>
      <c r="AB1015" s="85"/>
      <c r="AE1015" s="85"/>
      <c r="AF1015" s="85"/>
    </row>
    <row r="1016" ht="15.75" customHeight="1">
      <c r="F1016" s="77"/>
      <c r="H1016" s="77"/>
      <c r="U1016" s="85"/>
      <c r="W1016" s="85"/>
      <c r="Y1016" s="85"/>
      <c r="AA1016" s="85"/>
      <c r="AB1016" s="85"/>
      <c r="AE1016" s="85"/>
      <c r="AF1016" s="85"/>
    </row>
    <row r="1017" ht="15.75" customHeight="1">
      <c r="F1017" s="77"/>
      <c r="H1017" s="77"/>
      <c r="U1017" s="85"/>
      <c r="W1017" s="85"/>
      <c r="Y1017" s="85"/>
      <c r="AA1017" s="85"/>
      <c r="AB1017" s="85"/>
      <c r="AE1017" s="85"/>
      <c r="AF1017" s="85"/>
    </row>
    <row r="1018" ht="15.75" customHeight="1">
      <c r="F1018" s="77"/>
      <c r="H1018" s="77"/>
      <c r="U1018" s="85"/>
      <c r="W1018" s="85"/>
      <c r="Y1018" s="85"/>
      <c r="AA1018" s="85"/>
      <c r="AB1018" s="85"/>
      <c r="AE1018" s="85"/>
      <c r="AF1018" s="85"/>
    </row>
    <row r="1019" ht="15.75" customHeight="1">
      <c r="F1019" s="77"/>
      <c r="H1019" s="77"/>
      <c r="U1019" s="85"/>
      <c r="W1019" s="85"/>
      <c r="Y1019" s="85"/>
      <c r="AA1019" s="85"/>
      <c r="AB1019" s="85"/>
      <c r="AE1019" s="85"/>
      <c r="AF1019" s="85"/>
    </row>
    <row r="1020" ht="15.75" customHeight="1">
      <c r="F1020" s="77"/>
      <c r="H1020" s="77"/>
      <c r="U1020" s="85"/>
      <c r="W1020" s="85"/>
      <c r="Y1020" s="85"/>
      <c r="AA1020" s="85"/>
      <c r="AB1020" s="85"/>
      <c r="AE1020" s="85"/>
      <c r="AF1020" s="85"/>
    </row>
    <row r="1021" ht="15.75" customHeight="1">
      <c r="F1021" s="77"/>
      <c r="H1021" s="77"/>
      <c r="U1021" s="85"/>
      <c r="W1021" s="85"/>
      <c r="Y1021" s="85"/>
      <c r="AA1021" s="85"/>
      <c r="AB1021" s="85"/>
      <c r="AE1021" s="85"/>
      <c r="AF1021" s="85"/>
    </row>
    <row r="1022" ht="15.75" customHeight="1">
      <c r="F1022" s="77"/>
      <c r="H1022" s="77"/>
      <c r="U1022" s="85"/>
      <c r="W1022" s="85"/>
      <c r="Y1022" s="85"/>
      <c r="AA1022" s="85"/>
      <c r="AB1022" s="85"/>
      <c r="AE1022" s="85"/>
      <c r="AF1022" s="85"/>
    </row>
    <row r="1023" ht="15.75" customHeight="1">
      <c r="F1023" s="77"/>
      <c r="H1023" s="77"/>
      <c r="U1023" s="85"/>
      <c r="W1023" s="85"/>
      <c r="Y1023" s="85"/>
      <c r="AA1023" s="85"/>
      <c r="AB1023" s="85"/>
      <c r="AE1023" s="85"/>
      <c r="AF1023" s="85"/>
    </row>
    <row r="1024" ht="15.75" customHeight="1">
      <c r="F1024" s="77"/>
      <c r="H1024" s="77"/>
      <c r="U1024" s="85"/>
      <c r="W1024" s="85"/>
      <c r="Y1024" s="85"/>
      <c r="AA1024" s="85"/>
      <c r="AB1024" s="85"/>
      <c r="AE1024" s="85"/>
      <c r="AF1024" s="85"/>
    </row>
    <row r="1025" ht="15.75" customHeight="1">
      <c r="F1025" s="77"/>
      <c r="H1025" s="77"/>
      <c r="U1025" s="85"/>
      <c r="W1025" s="85"/>
      <c r="Y1025" s="85"/>
      <c r="AA1025" s="85"/>
      <c r="AB1025" s="85"/>
      <c r="AE1025" s="85"/>
      <c r="AF1025" s="85"/>
    </row>
    <row r="1026" ht="15.75" customHeight="1">
      <c r="F1026" s="77"/>
      <c r="H1026" s="77"/>
      <c r="U1026" s="85"/>
      <c r="W1026" s="85"/>
      <c r="Y1026" s="85"/>
      <c r="AA1026" s="85"/>
      <c r="AB1026" s="85"/>
      <c r="AE1026" s="85"/>
      <c r="AF1026" s="85"/>
    </row>
    <row r="1027" ht="15.75" customHeight="1">
      <c r="F1027" s="77"/>
      <c r="H1027" s="77"/>
      <c r="U1027" s="85"/>
      <c r="W1027" s="85"/>
      <c r="Y1027" s="85"/>
      <c r="AA1027" s="85"/>
      <c r="AB1027" s="85"/>
      <c r="AE1027" s="85"/>
      <c r="AF1027" s="85"/>
    </row>
    <row r="1028" ht="15.75" customHeight="1">
      <c r="F1028" s="77"/>
      <c r="H1028" s="77"/>
      <c r="U1028" s="85"/>
      <c r="W1028" s="85"/>
      <c r="Y1028" s="85"/>
      <c r="AA1028" s="85"/>
      <c r="AB1028" s="85"/>
      <c r="AE1028" s="85"/>
      <c r="AF1028" s="85"/>
    </row>
    <row r="1029" ht="15.75" customHeight="1">
      <c r="F1029" s="77"/>
      <c r="H1029" s="77"/>
      <c r="U1029" s="85"/>
      <c r="W1029" s="85"/>
      <c r="Y1029" s="85"/>
      <c r="AA1029" s="85"/>
      <c r="AB1029" s="85"/>
      <c r="AE1029" s="85"/>
      <c r="AF1029" s="85"/>
    </row>
    <row r="1030" ht="15.75" customHeight="1">
      <c r="F1030" s="77"/>
      <c r="H1030" s="77"/>
      <c r="U1030" s="85"/>
      <c r="W1030" s="85"/>
      <c r="Y1030" s="85"/>
      <c r="AA1030" s="85"/>
      <c r="AB1030" s="85"/>
      <c r="AE1030" s="85"/>
      <c r="AF1030" s="85"/>
    </row>
    <row r="1031" ht="15.75" customHeight="1">
      <c r="F1031" s="77"/>
      <c r="H1031" s="77"/>
      <c r="U1031" s="85"/>
      <c r="W1031" s="85"/>
      <c r="Y1031" s="85"/>
      <c r="AA1031" s="85"/>
      <c r="AB1031" s="85"/>
      <c r="AE1031" s="85"/>
      <c r="AF1031" s="85"/>
    </row>
    <row r="1032" ht="15.75" customHeight="1">
      <c r="F1032" s="77"/>
      <c r="H1032" s="77"/>
      <c r="U1032" s="85"/>
      <c r="W1032" s="85"/>
      <c r="Y1032" s="85"/>
      <c r="AA1032" s="85"/>
      <c r="AB1032" s="85"/>
      <c r="AE1032" s="85"/>
      <c r="AF1032" s="85"/>
    </row>
    <row r="1033" ht="15.75" customHeight="1">
      <c r="F1033" s="77"/>
      <c r="H1033" s="77"/>
      <c r="U1033" s="85"/>
      <c r="W1033" s="85"/>
      <c r="Y1033" s="85"/>
      <c r="AA1033" s="85"/>
      <c r="AB1033" s="85"/>
      <c r="AE1033" s="85"/>
      <c r="AF1033" s="85"/>
    </row>
    <row r="1034" ht="15.75" customHeight="1">
      <c r="F1034" s="77"/>
      <c r="H1034" s="77"/>
      <c r="U1034" s="85"/>
      <c r="W1034" s="85"/>
      <c r="Y1034" s="85"/>
      <c r="AA1034" s="85"/>
      <c r="AB1034" s="85"/>
      <c r="AE1034" s="85"/>
      <c r="AF1034" s="85"/>
    </row>
    <row r="1035" ht="15.75" customHeight="1">
      <c r="F1035" s="77"/>
      <c r="H1035" s="77"/>
      <c r="U1035" s="85"/>
      <c r="W1035" s="85"/>
      <c r="Y1035" s="85"/>
      <c r="AA1035" s="85"/>
      <c r="AB1035" s="85"/>
      <c r="AE1035" s="85"/>
      <c r="AF1035" s="85"/>
    </row>
    <row r="1036" ht="15.75" customHeight="1">
      <c r="F1036" s="77"/>
      <c r="H1036" s="77"/>
      <c r="U1036" s="85"/>
      <c r="W1036" s="85"/>
      <c r="Y1036" s="85"/>
      <c r="AA1036" s="85"/>
      <c r="AB1036" s="85"/>
      <c r="AE1036" s="85"/>
      <c r="AF1036" s="85"/>
    </row>
    <row r="1037" ht="15.75" customHeight="1">
      <c r="F1037" s="77"/>
      <c r="H1037" s="77"/>
      <c r="U1037" s="85"/>
      <c r="W1037" s="85"/>
      <c r="Y1037" s="85"/>
      <c r="AA1037" s="85"/>
      <c r="AB1037" s="85"/>
      <c r="AE1037" s="85"/>
      <c r="AF1037" s="85"/>
    </row>
    <row r="1038" ht="15.75" customHeight="1">
      <c r="F1038" s="77"/>
      <c r="H1038" s="77"/>
      <c r="U1038" s="85"/>
      <c r="W1038" s="85"/>
      <c r="Y1038" s="85"/>
      <c r="AA1038" s="85"/>
      <c r="AB1038" s="85"/>
      <c r="AE1038" s="85"/>
      <c r="AF1038" s="85"/>
    </row>
    <row r="1039" ht="15.75" customHeight="1">
      <c r="F1039" s="77"/>
      <c r="H1039" s="77"/>
      <c r="U1039" s="85"/>
      <c r="W1039" s="85"/>
      <c r="Y1039" s="85"/>
      <c r="AA1039" s="85"/>
      <c r="AB1039" s="85"/>
      <c r="AE1039" s="85"/>
      <c r="AF1039" s="85"/>
    </row>
    <row r="1040" ht="15.75" customHeight="1">
      <c r="F1040" s="77"/>
      <c r="H1040" s="77"/>
      <c r="U1040" s="85"/>
      <c r="W1040" s="85"/>
      <c r="Y1040" s="85"/>
      <c r="AA1040" s="85"/>
      <c r="AB1040" s="85"/>
      <c r="AE1040" s="85"/>
      <c r="AF1040" s="85"/>
    </row>
    <row r="1041" ht="15.75" customHeight="1">
      <c r="F1041" s="77"/>
      <c r="H1041" s="77"/>
      <c r="U1041" s="85"/>
      <c r="W1041" s="85"/>
      <c r="Y1041" s="85"/>
      <c r="AA1041" s="85"/>
      <c r="AB1041" s="85"/>
      <c r="AE1041" s="85"/>
      <c r="AF1041" s="85"/>
    </row>
    <row r="1042" ht="15.75" customHeight="1">
      <c r="F1042" s="77"/>
      <c r="H1042" s="77"/>
      <c r="U1042" s="85"/>
      <c r="W1042" s="85"/>
      <c r="Y1042" s="85"/>
      <c r="AA1042" s="85"/>
      <c r="AB1042" s="85"/>
      <c r="AE1042" s="85"/>
      <c r="AF1042" s="85"/>
    </row>
    <row r="1043" ht="15.75" customHeight="1">
      <c r="F1043" s="77"/>
      <c r="H1043" s="77"/>
      <c r="U1043" s="85"/>
      <c r="W1043" s="85"/>
      <c r="Y1043" s="85"/>
      <c r="AA1043" s="85"/>
      <c r="AB1043" s="85"/>
      <c r="AE1043" s="85"/>
      <c r="AF1043" s="85"/>
    </row>
    <row r="1044" ht="15.75" customHeight="1">
      <c r="F1044" s="77"/>
      <c r="H1044" s="77"/>
      <c r="U1044" s="85"/>
      <c r="W1044" s="85"/>
      <c r="Y1044" s="85"/>
      <c r="AA1044" s="85"/>
      <c r="AB1044" s="85"/>
      <c r="AE1044" s="85"/>
      <c r="AF1044" s="85"/>
    </row>
    <row r="1045" ht="15.75" customHeight="1">
      <c r="F1045" s="77"/>
      <c r="H1045" s="77"/>
      <c r="U1045" s="85"/>
      <c r="W1045" s="85"/>
      <c r="Y1045" s="85"/>
      <c r="AA1045" s="85"/>
      <c r="AB1045" s="85"/>
      <c r="AE1045" s="85"/>
      <c r="AF1045" s="85"/>
    </row>
    <row r="1046" ht="15.75" customHeight="1">
      <c r="F1046" s="77"/>
      <c r="H1046" s="77"/>
      <c r="U1046" s="85"/>
      <c r="W1046" s="85"/>
      <c r="Y1046" s="85"/>
      <c r="AA1046" s="85"/>
      <c r="AB1046" s="85"/>
      <c r="AE1046" s="85"/>
      <c r="AF1046" s="85"/>
    </row>
    <row r="1047" ht="15.75" customHeight="1">
      <c r="F1047" s="77"/>
      <c r="H1047" s="77"/>
      <c r="U1047" s="85"/>
      <c r="W1047" s="85"/>
      <c r="Y1047" s="85"/>
      <c r="AA1047" s="85"/>
      <c r="AB1047" s="85"/>
      <c r="AE1047" s="85"/>
      <c r="AF1047" s="85"/>
    </row>
    <row r="1048" ht="15.75" customHeight="1">
      <c r="F1048" s="77"/>
      <c r="H1048" s="77"/>
      <c r="U1048" s="85"/>
      <c r="W1048" s="85"/>
      <c r="Y1048" s="85"/>
      <c r="AA1048" s="85"/>
      <c r="AB1048" s="85"/>
      <c r="AE1048" s="85"/>
      <c r="AF1048" s="85"/>
    </row>
    <row r="1049" ht="15.75" customHeight="1">
      <c r="F1049" s="77"/>
      <c r="H1049" s="77"/>
      <c r="U1049" s="85"/>
      <c r="W1049" s="85"/>
      <c r="Y1049" s="85"/>
      <c r="AA1049" s="85"/>
      <c r="AB1049" s="85"/>
      <c r="AE1049" s="85"/>
      <c r="AF1049" s="85"/>
    </row>
    <row r="1050" ht="15.75" customHeight="1">
      <c r="F1050" s="77"/>
      <c r="H1050" s="77"/>
      <c r="U1050" s="85"/>
      <c r="W1050" s="85"/>
      <c r="Y1050" s="85"/>
      <c r="AA1050" s="85"/>
      <c r="AB1050" s="85"/>
      <c r="AE1050" s="85"/>
      <c r="AF1050" s="85"/>
    </row>
    <row r="1051" ht="15.75" customHeight="1">
      <c r="F1051" s="77"/>
      <c r="H1051" s="77"/>
      <c r="U1051" s="85"/>
      <c r="W1051" s="85"/>
      <c r="Y1051" s="85"/>
      <c r="AA1051" s="85"/>
      <c r="AB1051" s="85"/>
      <c r="AE1051" s="85"/>
      <c r="AF1051" s="85"/>
    </row>
    <row r="1052" ht="15.75" customHeight="1">
      <c r="F1052" s="77"/>
      <c r="H1052" s="77"/>
      <c r="U1052" s="85"/>
      <c r="W1052" s="85"/>
      <c r="Y1052" s="85"/>
      <c r="AA1052" s="85"/>
      <c r="AB1052" s="85"/>
      <c r="AE1052" s="85"/>
      <c r="AF1052" s="85"/>
    </row>
    <row r="1053" ht="15.75" customHeight="1">
      <c r="F1053" s="77"/>
      <c r="H1053" s="77"/>
      <c r="U1053" s="85"/>
      <c r="W1053" s="85"/>
      <c r="Y1053" s="85"/>
      <c r="AA1053" s="85"/>
      <c r="AB1053" s="85"/>
      <c r="AE1053" s="85"/>
      <c r="AF1053" s="85"/>
    </row>
    <row r="1054" ht="15.75" customHeight="1">
      <c r="F1054" s="77"/>
      <c r="H1054" s="77"/>
      <c r="U1054" s="85"/>
      <c r="W1054" s="85"/>
      <c r="Y1054" s="85"/>
      <c r="AA1054" s="85"/>
      <c r="AB1054" s="85"/>
      <c r="AE1054" s="85"/>
      <c r="AF1054" s="85"/>
    </row>
    <row r="1055" ht="15.75" customHeight="1">
      <c r="F1055" s="77"/>
      <c r="H1055" s="77"/>
      <c r="U1055" s="85"/>
      <c r="W1055" s="85"/>
      <c r="Y1055" s="85"/>
      <c r="AA1055" s="85"/>
      <c r="AB1055" s="85"/>
      <c r="AE1055" s="85"/>
      <c r="AF1055" s="85"/>
    </row>
    <row r="1056" ht="15.75" customHeight="1">
      <c r="F1056" s="77"/>
      <c r="H1056" s="77"/>
      <c r="U1056" s="85"/>
      <c r="W1056" s="85"/>
      <c r="Y1056" s="85"/>
      <c r="AA1056" s="85"/>
      <c r="AB1056" s="85"/>
      <c r="AE1056" s="85"/>
      <c r="AF1056" s="85"/>
    </row>
    <row r="1057" ht="15.75" customHeight="1">
      <c r="F1057" s="77"/>
      <c r="H1057" s="77"/>
      <c r="U1057" s="85"/>
      <c r="W1057" s="85"/>
      <c r="Y1057" s="85"/>
      <c r="AA1057" s="85"/>
      <c r="AB1057" s="85"/>
      <c r="AE1057" s="85"/>
      <c r="AF1057" s="85"/>
    </row>
    <row r="1058" ht="15.75" customHeight="1">
      <c r="F1058" s="77"/>
      <c r="H1058" s="77"/>
      <c r="U1058" s="85"/>
      <c r="W1058" s="85"/>
      <c r="Y1058" s="85"/>
      <c r="AA1058" s="85"/>
      <c r="AB1058" s="85"/>
      <c r="AE1058" s="85"/>
      <c r="AF1058" s="85"/>
    </row>
    <row r="1059" ht="15.75" customHeight="1">
      <c r="F1059" s="77"/>
      <c r="H1059" s="77"/>
      <c r="U1059" s="85"/>
      <c r="W1059" s="85"/>
      <c r="Y1059" s="85"/>
      <c r="AA1059" s="85"/>
      <c r="AB1059" s="85"/>
      <c r="AE1059" s="85"/>
      <c r="AF1059" s="85"/>
    </row>
    <row r="1060" ht="15.75" customHeight="1">
      <c r="F1060" s="77"/>
      <c r="H1060" s="77"/>
      <c r="U1060" s="85"/>
      <c r="W1060" s="85"/>
      <c r="Y1060" s="85"/>
      <c r="AA1060" s="85"/>
      <c r="AB1060" s="85"/>
      <c r="AE1060" s="85"/>
      <c r="AF1060" s="85"/>
    </row>
    <row r="1061" ht="15.75" customHeight="1">
      <c r="F1061" s="77"/>
      <c r="H1061" s="77"/>
      <c r="U1061" s="85"/>
      <c r="W1061" s="85"/>
      <c r="Y1061" s="85"/>
      <c r="AA1061" s="85"/>
      <c r="AB1061" s="85"/>
      <c r="AE1061" s="85"/>
      <c r="AF1061" s="85"/>
    </row>
    <row r="1062" ht="15.75" customHeight="1">
      <c r="F1062" s="77"/>
      <c r="H1062" s="77"/>
      <c r="U1062" s="85"/>
      <c r="W1062" s="85"/>
      <c r="Y1062" s="85"/>
      <c r="AA1062" s="85"/>
      <c r="AB1062" s="85"/>
      <c r="AE1062" s="85"/>
      <c r="AF1062" s="85"/>
    </row>
    <row r="1063" ht="15.75" customHeight="1">
      <c r="F1063" s="77"/>
      <c r="H1063" s="77"/>
      <c r="U1063" s="85"/>
      <c r="W1063" s="85"/>
      <c r="Y1063" s="85"/>
      <c r="AA1063" s="85"/>
      <c r="AB1063" s="85"/>
      <c r="AE1063" s="85"/>
      <c r="AF1063" s="85"/>
    </row>
    <row r="1064" ht="15.75" customHeight="1">
      <c r="F1064" s="77"/>
      <c r="H1064" s="77"/>
      <c r="U1064" s="85"/>
      <c r="W1064" s="85"/>
      <c r="Y1064" s="85"/>
      <c r="AA1064" s="85"/>
      <c r="AB1064" s="85"/>
      <c r="AE1064" s="85"/>
      <c r="AF1064" s="85"/>
    </row>
    <row r="1065" ht="15.75" customHeight="1">
      <c r="F1065" s="77"/>
      <c r="H1065" s="77"/>
      <c r="U1065" s="85"/>
      <c r="W1065" s="85"/>
      <c r="Y1065" s="85"/>
      <c r="AA1065" s="85"/>
      <c r="AB1065" s="85"/>
      <c r="AE1065" s="85"/>
      <c r="AF1065" s="85"/>
    </row>
    <row r="1066" ht="15.75" customHeight="1">
      <c r="F1066" s="77"/>
      <c r="H1066" s="77"/>
      <c r="U1066" s="85"/>
      <c r="W1066" s="85"/>
      <c r="Y1066" s="85"/>
      <c r="AA1066" s="85"/>
      <c r="AB1066" s="85"/>
      <c r="AE1066" s="85"/>
      <c r="AF1066" s="85"/>
    </row>
    <row r="1067" ht="15.75" customHeight="1">
      <c r="F1067" s="77"/>
      <c r="H1067" s="77"/>
      <c r="U1067" s="85"/>
      <c r="W1067" s="85"/>
      <c r="Y1067" s="85"/>
      <c r="AA1067" s="85"/>
      <c r="AB1067" s="85"/>
      <c r="AE1067" s="85"/>
      <c r="AF1067" s="85"/>
    </row>
    <row r="1068" ht="15.75" customHeight="1">
      <c r="F1068" s="77"/>
      <c r="H1068" s="77"/>
      <c r="U1068" s="85"/>
      <c r="W1068" s="85"/>
      <c r="Y1068" s="85"/>
      <c r="AA1068" s="85"/>
      <c r="AB1068" s="85"/>
      <c r="AE1068" s="85"/>
      <c r="AF1068" s="85"/>
    </row>
    <row r="1069" ht="15.75" customHeight="1">
      <c r="F1069" s="77"/>
      <c r="H1069" s="77"/>
      <c r="U1069" s="85"/>
      <c r="W1069" s="85"/>
      <c r="Y1069" s="85"/>
      <c r="AA1069" s="85"/>
      <c r="AB1069" s="85"/>
      <c r="AE1069" s="85"/>
      <c r="AF1069" s="85"/>
    </row>
    <row r="1070" ht="15.75" customHeight="1">
      <c r="F1070" s="77"/>
      <c r="H1070" s="77"/>
      <c r="U1070" s="85"/>
      <c r="W1070" s="85"/>
      <c r="Y1070" s="85"/>
      <c r="AA1070" s="85"/>
      <c r="AB1070" s="85"/>
      <c r="AE1070" s="85"/>
      <c r="AF1070" s="85"/>
    </row>
    <row r="1071" ht="15.75" customHeight="1">
      <c r="F1071" s="77"/>
      <c r="H1071" s="77"/>
      <c r="U1071" s="85"/>
      <c r="W1071" s="85"/>
      <c r="Y1071" s="85"/>
      <c r="AA1071" s="85"/>
      <c r="AB1071" s="85"/>
      <c r="AE1071" s="85"/>
      <c r="AF1071" s="85"/>
    </row>
    <row r="1072" ht="15.75" customHeight="1">
      <c r="F1072" s="77"/>
      <c r="H1072" s="77"/>
      <c r="U1072" s="85"/>
      <c r="W1072" s="85"/>
      <c r="Y1072" s="85"/>
      <c r="AA1072" s="85"/>
      <c r="AB1072" s="85"/>
      <c r="AE1072" s="85"/>
      <c r="AF1072" s="85"/>
    </row>
    <row r="1073" ht="15.75" customHeight="1">
      <c r="F1073" s="77"/>
      <c r="H1073" s="77"/>
      <c r="U1073" s="85"/>
      <c r="W1073" s="85"/>
      <c r="Y1073" s="85"/>
      <c r="AA1073" s="85"/>
      <c r="AB1073" s="85"/>
      <c r="AE1073" s="85"/>
      <c r="AF1073" s="85"/>
    </row>
    <row r="1074" ht="15.75" customHeight="1">
      <c r="F1074" s="77"/>
      <c r="H1074" s="77"/>
      <c r="U1074" s="85"/>
      <c r="W1074" s="85"/>
      <c r="Y1074" s="85"/>
      <c r="AA1074" s="85"/>
      <c r="AB1074" s="85"/>
      <c r="AE1074" s="85"/>
      <c r="AF1074" s="85"/>
    </row>
    <row r="1075" ht="15.75" customHeight="1">
      <c r="F1075" s="77"/>
      <c r="H1075" s="77"/>
      <c r="U1075" s="85"/>
      <c r="W1075" s="85"/>
      <c r="Y1075" s="85"/>
      <c r="AA1075" s="85"/>
      <c r="AB1075" s="85"/>
      <c r="AE1075" s="85"/>
      <c r="AF1075" s="85"/>
    </row>
    <row r="1076" ht="15.75" customHeight="1">
      <c r="F1076" s="77"/>
      <c r="H1076" s="77"/>
      <c r="U1076" s="85"/>
      <c r="W1076" s="85"/>
      <c r="Y1076" s="85"/>
      <c r="AA1076" s="85"/>
      <c r="AB1076" s="85"/>
      <c r="AE1076" s="85"/>
      <c r="AF1076" s="85"/>
    </row>
    <row r="1077" ht="15.75" customHeight="1">
      <c r="F1077" s="77"/>
      <c r="H1077" s="77"/>
      <c r="U1077" s="85"/>
      <c r="W1077" s="85"/>
      <c r="Y1077" s="85"/>
      <c r="AA1077" s="85"/>
      <c r="AB1077" s="85"/>
      <c r="AE1077" s="85"/>
      <c r="AF1077" s="85"/>
    </row>
    <row r="1078" ht="15.75" customHeight="1">
      <c r="F1078" s="77"/>
      <c r="H1078" s="77"/>
      <c r="U1078" s="85"/>
      <c r="W1078" s="85"/>
      <c r="Y1078" s="85"/>
      <c r="AA1078" s="85"/>
      <c r="AB1078" s="85"/>
      <c r="AE1078" s="85"/>
      <c r="AF1078" s="85"/>
    </row>
    <row r="1079" ht="15.75" customHeight="1">
      <c r="F1079" s="77"/>
      <c r="H1079" s="77"/>
      <c r="U1079" s="85"/>
      <c r="W1079" s="85"/>
      <c r="Y1079" s="85"/>
      <c r="AA1079" s="85"/>
      <c r="AB1079" s="85"/>
      <c r="AE1079" s="85"/>
      <c r="AF1079" s="85"/>
    </row>
    <row r="1080" ht="15.75" customHeight="1">
      <c r="F1080" s="77"/>
      <c r="H1080" s="77"/>
      <c r="U1080" s="85"/>
      <c r="W1080" s="85"/>
      <c r="Y1080" s="85"/>
      <c r="AA1080" s="85"/>
      <c r="AB1080" s="85"/>
      <c r="AE1080" s="85"/>
      <c r="AF1080" s="85"/>
    </row>
    <row r="1081" ht="15.75" customHeight="1">
      <c r="F1081" s="77"/>
      <c r="H1081" s="77"/>
      <c r="U1081" s="85"/>
      <c r="W1081" s="85"/>
      <c r="Y1081" s="85"/>
      <c r="AA1081" s="85"/>
      <c r="AB1081" s="85"/>
      <c r="AE1081" s="85"/>
      <c r="AF1081" s="85"/>
    </row>
    <row r="1082" ht="15.75" customHeight="1">
      <c r="F1082" s="77"/>
      <c r="H1082" s="77"/>
      <c r="U1082" s="85"/>
      <c r="W1082" s="85"/>
      <c r="Y1082" s="85"/>
      <c r="AA1082" s="85"/>
      <c r="AB1082" s="85"/>
      <c r="AE1082" s="85"/>
      <c r="AF1082" s="85"/>
    </row>
    <row r="1083" ht="15.75" customHeight="1">
      <c r="F1083" s="77"/>
      <c r="H1083" s="77"/>
      <c r="U1083" s="85"/>
      <c r="W1083" s="85"/>
      <c r="Y1083" s="85"/>
      <c r="AA1083" s="85"/>
      <c r="AB1083" s="85"/>
      <c r="AE1083" s="85"/>
      <c r="AF1083" s="85"/>
    </row>
    <row r="1084" ht="15.75" customHeight="1">
      <c r="F1084" s="77"/>
      <c r="H1084" s="77"/>
      <c r="U1084" s="85"/>
      <c r="W1084" s="85"/>
      <c r="Y1084" s="85"/>
      <c r="AA1084" s="85"/>
      <c r="AB1084" s="85"/>
      <c r="AE1084" s="85"/>
      <c r="AF1084" s="85"/>
    </row>
    <row r="1085" ht="15.75" customHeight="1">
      <c r="F1085" s="77"/>
      <c r="H1085" s="77"/>
      <c r="U1085" s="85"/>
      <c r="W1085" s="85"/>
      <c r="Y1085" s="85"/>
      <c r="AA1085" s="85"/>
      <c r="AB1085" s="85"/>
      <c r="AE1085" s="85"/>
      <c r="AF1085" s="85"/>
    </row>
    <row r="1086" ht="15.75" customHeight="1">
      <c r="F1086" s="77"/>
      <c r="H1086" s="77"/>
      <c r="U1086" s="85"/>
      <c r="W1086" s="85"/>
      <c r="Y1086" s="85"/>
      <c r="AA1086" s="85"/>
      <c r="AB1086" s="85"/>
      <c r="AE1086" s="85"/>
      <c r="AF1086" s="85"/>
    </row>
    <row r="1087" ht="15.75" customHeight="1">
      <c r="F1087" s="77"/>
      <c r="H1087" s="77"/>
      <c r="U1087" s="85"/>
      <c r="W1087" s="85"/>
      <c r="Y1087" s="85"/>
      <c r="AA1087" s="85"/>
      <c r="AB1087" s="85"/>
      <c r="AE1087" s="85"/>
      <c r="AF1087" s="85"/>
    </row>
    <row r="1088" ht="15.75" customHeight="1">
      <c r="F1088" s="77"/>
      <c r="H1088" s="77"/>
      <c r="U1088" s="85"/>
      <c r="W1088" s="85"/>
      <c r="Y1088" s="85"/>
      <c r="AA1088" s="85"/>
      <c r="AB1088" s="85"/>
      <c r="AE1088" s="85"/>
      <c r="AF1088" s="85"/>
    </row>
    <row r="1089" ht="15.75" customHeight="1">
      <c r="F1089" s="77"/>
      <c r="H1089" s="77"/>
      <c r="U1089" s="85"/>
      <c r="W1089" s="85"/>
      <c r="Y1089" s="85"/>
      <c r="AA1089" s="85"/>
      <c r="AB1089" s="85"/>
      <c r="AE1089" s="85"/>
      <c r="AF1089" s="85"/>
    </row>
    <row r="1090" ht="15.75" customHeight="1">
      <c r="F1090" s="77"/>
      <c r="H1090" s="77"/>
      <c r="U1090" s="85"/>
      <c r="W1090" s="85"/>
      <c r="Y1090" s="85"/>
      <c r="AA1090" s="85"/>
      <c r="AB1090" s="85"/>
      <c r="AE1090" s="85"/>
      <c r="AF1090" s="85"/>
    </row>
    <row r="1091" ht="15.75" customHeight="1">
      <c r="F1091" s="77"/>
      <c r="H1091" s="77"/>
      <c r="U1091" s="85"/>
      <c r="W1091" s="85"/>
      <c r="Y1091" s="85"/>
      <c r="AA1091" s="85"/>
      <c r="AB1091" s="85"/>
      <c r="AE1091" s="85"/>
      <c r="AF1091" s="85"/>
    </row>
    <row r="1092" ht="15.75" customHeight="1">
      <c r="F1092" s="77"/>
      <c r="H1092" s="77"/>
      <c r="U1092" s="85"/>
      <c r="W1092" s="85"/>
      <c r="Y1092" s="85"/>
      <c r="AA1092" s="85"/>
      <c r="AB1092" s="85"/>
      <c r="AE1092" s="85"/>
      <c r="AF1092" s="85"/>
    </row>
    <row r="1093" ht="15.75" customHeight="1">
      <c r="F1093" s="77"/>
      <c r="H1093" s="77"/>
      <c r="U1093" s="85"/>
      <c r="W1093" s="85"/>
      <c r="Y1093" s="85"/>
      <c r="AA1093" s="85"/>
      <c r="AB1093" s="85"/>
      <c r="AE1093" s="85"/>
      <c r="AF1093" s="85"/>
    </row>
    <row r="1094" ht="15.75" customHeight="1">
      <c r="F1094" s="77"/>
      <c r="H1094" s="77"/>
      <c r="U1094" s="85"/>
      <c r="W1094" s="85"/>
      <c r="Y1094" s="85"/>
      <c r="AA1094" s="85"/>
      <c r="AB1094" s="85"/>
      <c r="AE1094" s="85"/>
      <c r="AF1094" s="85"/>
    </row>
    <row r="1095" ht="15.75" customHeight="1">
      <c r="F1095" s="77"/>
      <c r="H1095" s="77"/>
      <c r="U1095" s="85"/>
      <c r="W1095" s="85"/>
      <c r="Y1095" s="85"/>
      <c r="AA1095" s="85"/>
      <c r="AB1095" s="85"/>
      <c r="AE1095" s="85"/>
      <c r="AF1095" s="85"/>
    </row>
    <row r="1096" ht="15.75" customHeight="1">
      <c r="F1096" s="77"/>
      <c r="H1096" s="77"/>
      <c r="U1096" s="85"/>
      <c r="W1096" s="85"/>
      <c r="Y1096" s="85"/>
      <c r="AA1096" s="85"/>
      <c r="AB1096" s="85"/>
      <c r="AE1096" s="85"/>
      <c r="AF1096" s="85"/>
    </row>
    <row r="1097" ht="15.75" customHeight="1">
      <c r="F1097" s="77"/>
      <c r="H1097" s="77"/>
      <c r="U1097" s="85"/>
      <c r="W1097" s="85"/>
      <c r="Y1097" s="85"/>
      <c r="AA1097" s="85"/>
      <c r="AB1097" s="85"/>
      <c r="AE1097" s="85"/>
      <c r="AF1097" s="85"/>
    </row>
  </sheetData>
  <autoFilter ref="$AS$1:$AS$1097"/>
  <conditionalFormatting sqref="AR2:AR598">
    <cfRule type="colorScale" priority="1">
      <colorScale>
        <cfvo type="min"/>
        <cfvo type="percentile" val="50"/>
        <cfvo type="max"/>
        <color rgb="FFFCE8E6"/>
        <color rgb="FFFFF2CC"/>
        <color rgb="FFD9EAD3"/>
      </colorScale>
    </cfRule>
  </conditionalFormatting>
  <dataValidations>
    <dataValidation type="list" allowBlank="1" showErrorMessage="1" sqref="D5">
      <formula1>"DG Market,Traditional Store"</formula1>
    </dataValidation>
    <dataValidation type="list" allowBlank="1" sqref="B2:B598">
      <formula1>"Tier 1,Tier 2,Tier 3,Do Not Prioritize"</formula1>
    </dataValidation>
    <dataValidation type="list" allowBlank="1" sqref="E2:E324">
      <formula1>"Yes,No,Unknown"</formula1>
    </dataValidation>
    <dataValidation type="list" allowBlank="1" sqref="E325:E598 AH2:AH598 AJ2:AL598">
      <formula1>"Yes,No,Unknown"</formula1>
    </dataValidation>
    <dataValidation type="list" allowBlank="1" sqref="AS2:AS598">
      <formula1>"Yes,No,Review"</formula1>
    </dataValidation>
    <dataValidation type="list" allowBlank="1" showErrorMessage="1" sqref="D2:D4 D6:D323">
      <formula1>"DG Market,Traditional Store"</formula1>
    </dataValidation>
  </dataValidations>
  <hyperlinks>
    <hyperlink r:id="rId1" ref="G2"/>
    <hyperlink r:id="rId2" ref="G3"/>
    <hyperlink r:id="rId3" ref="G4"/>
    <hyperlink r:id="rId4" ref="G5"/>
    <hyperlink r:id="rId5" ref="G6"/>
    <hyperlink r:id="rId6" ref="G7"/>
    <hyperlink r:id="rId7" ref="G8"/>
    <hyperlink r:id="rId8" ref="G9"/>
    <hyperlink r:id="rId9" ref="G10"/>
    <hyperlink r:id="rId10" ref="G11"/>
    <hyperlink r:id="rId11" ref="G12"/>
    <hyperlink r:id="rId12" ref="G13"/>
    <hyperlink r:id="rId13" ref="G14"/>
    <hyperlink r:id="rId14" ref="G15"/>
    <hyperlink r:id="rId15" ref="G16"/>
    <hyperlink r:id="rId16" ref="G17"/>
    <hyperlink r:id="rId17" ref="G18"/>
    <hyperlink r:id="rId18" ref="G19"/>
    <hyperlink r:id="rId19" ref="G20"/>
    <hyperlink r:id="rId20" ref="G21"/>
    <hyperlink r:id="rId21" ref="G22"/>
    <hyperlink r:id="rId22" ref="G23"/>
    <hyperlink r:id="rId23" ref="G24"/>
    <hyperlink r:id="rId24" ref="G25"/>
    <hyperlink r:id="rId25" ref="G26"/>
    <hyperlink r:id="rId26" ref="G27"/>
    <hyperlink r:id="rId27" ref="G28"/>
    <hyperlink r:id="rId28" ref="G29"/>
    <hyperlink r:id="rId29" ref="G30"/>
    <hyperlink r:id="rId30" ref="G31"/>
    <hyperlink r:id="rId31" ref="G32"/>
    <hyperlink r:id="rId32" ref="G33"/>
    <hyperlink r:id="rId33" ref="G34"/>
    <hyperlink r:id="rId34" ref="G35"/>
    <hyperlink r:id="rId35" ref="G36"/>
    <hyperlink r:id="rId36" ref="G37"/>
    <hyperlink r:id="rId37" ref="G38"/>
    <hyperlink r:id="rId38" ref="G39"/>
    <hyperlink r:id="rId39" ref="G40"/>
    <hyperlink r:id="rId40" ref="G41"/>
    <hyperlink r:id="rId41" ref="G42"/>
    <hyperlink r:id="rId42" ref="G43"/>
    <hyperlink r:id="rId43" ref="G44"/>
    <hyperlink r:id="rId44" ref="G45"/>
    <hyperlink r:id="rId45" ref="G46"/>
    <hyperlink r:id="rId46" ref="G47"/>
    <hyperlink r:id="rId47" ref="G48"/>
    <hyperlink r:id="rId48" ref="G49"/>
    <hyperlink r:id="rId49" ref="G50"/>
    <hyperlink r:id="rId50" ref="G51"/>
    <hyperlink r:id="rId51" ref="G52"/>
    <hyperlink r:id="rId52" ref="G53"/>
    <hyperlink r:id="rId53" ref="G54"/>
    <hyperlink r:id="rId54" ref="G55"/>
    <hyperlink r:id="rId55" ref="G56"/>
    <hyperlink r:id="rId56" ref="G57"/>
    <hyperlink r:id="rId57" ref="G58"/>
    <hyperlink r:id="rId58" ref="G59"/>
    <hyperlink r:id="rId59" ref="G60"/>
    <hyperlink r:id="rId60" ref="G61"/>
    <hyperlink r:id="rId61" ref="G62"/>
    <hyperlink r:id="rId62" ref="G63"/>
    <hyperlink r:id="rId63" ref="G64"/>
    <hyperlink r:id="rId64" ref="G65"/>
    <hyperlink r:id="rId65" ref="G66"/>
    <hyperlink r:id="rId66" ref="G67"/>
    <hyperlink r:id="rId67" ref="G68"/>
    <hyperlink r:id="rId68" ref="G69"/>
    <hyperlink r:id="rId69" ref="G70"/>
    <hyperlink r:id="rId70" ref="G71"/>
    <hyperlink r:id="rId71" ref="G72"/>
    <hyperlink r:id="rId72" ref="G73"/>
    <hyperlink r:id="rId73" ref="G74"/>
    <hyperlink r:id="rId74" ref="G75"/>
    <hyperlink r:id="rId75" ref="G76"/>
    <hyperlink r:id="rId76" ref="G77"/>
    <hyperlink r:id="rId77" ref="G78"/>
    <hyperlink r:id="rId78" ref="G79"/>
    <hyperlink r:id="rId79" ref="G80"/>
    <hyperlink r:id="rId80" ref="G81"/>
    <hyperlink r:id="rId81" ref="G82"/>
    <hyperlink r:id="rId82" ref="G83"/>
    <hyperlink r:id="rId83" ref="G84"/>
    <hyperlink r:id="rId84" ref="G85"/>
    <hyperlink r:id="rId85" ref="G86"/>
    <hyperlink r:id="rId86" ref="G87"/>
    <hyperlink r:id="rId87" ref="G88"/>
    <hyperlink r:id="rId88" ref="G89"/>
    <hyperlink r:id="rId89" ref="G90"/>
    <hyperlink r:id="rId90" ref="G91"/>
    <hyperlink r:id="rId91" ref="G92"/>
    <hyperlink r:id="rId92" ref="G93"/>
    <hyperlink r:id="rId93" ref="G94"/>
    <hyperlink r:id="rId94" ref="G95"/>
    <hyperlink r:id="rId95" ref="G96"/>
    <hyperlink r:id="rId96" ref="G97"/>
    <hyperlink r:id="rId97" ref="G98"/>
    <hyperlink r:id="rId98" ref="G99"/>
    <hyperlink r:id="rId99" ref="G100"/>
    <hyperlink r:id="rId100" ref="G101"/>
    <hyperlink r:id="rId101" ref="G102"/>
    <hyperlink r:id="rId102" ref="G103"/>
    <hyperlink r:id="rId103" ref="G104"/>
    <hyperlink r:id="rId104" ref="G105"/>
    <hyperlink r:id="rId105" ref="G106"/>
    <hyperlink r:id="rId106" ref="G107"/>
    <hyperlink r:id="rId107" ref="G108"/>
    <hyperlink r:id="rId108" ref="G109"/>
    <hyperlink r:id="rId109" ref="G110"/>
    <hyperlink r:id="rId110" ref="G111"/>
    <hyperlink r:id="rId111" ref="G112"/>
    <hyperlink r:id="rId112" ref="G113"/>
    <hyperlink r:id="rId113" ref="G114"/>
    <hyperlink r:id="rId114" ref="G115"/>
    <hyperlink r:id="rId115" ref="G116"/>
    <hyperlink r:id="rId116" ref="G117"/>
    <hyperlink r:id="rId117" ref="G118"/>
    <hyperlink r:id="rId118" ref="G119"/>
    <hyperlink r:id="rId119" ref="G120"/>
    <hyperlink r:id="rId120" ref="G121"/>
    <hyperlink r:id="rId121" ref="G122"/>
    <hyperlink r:id="rId122" ref="G123"/>
    <hyperlink r:id="rId123" ref="G124"/>
    <hyperlink r:id="rId124" ref="G125"/>
    <hyperlink r:id="rId125" ref="G126"/>
    <hyperlink r:id="rId126" ref="G127"/>
    <hyperlink r:id="rId127" ref="G128"/>
    <hyperlink r:id="rId128" ref="G129"/>
    <hyperlink r:id="rId129" ref="G130"/>
    <hyperlink r:id="rId130" ref="G131"/>
    <hyperlink r:id="rId131" ref="G132"/>
    <hyperlink r:id="rId132" ref="G133"/>
    <hyperlink r:id="rId133" ref="G134"/>
    <hyperlink r:id="rId134" ref="G135"/>
    <hyperlink r:id="rId135" ref="G136"/>
    <hyperlink r:id="rId136" ref="G137"/>
    <hyperlink r:id="rId137" ref="G138"/>
    <hyperlink r:id="rId138" ref="G139"/>
    <hyperlink r:id="rId139" ref="G140"/>
    <hyperlink r:id="rId140" ref="G141"/>
    <hyperlink r:id="rId141" ref="G142"/>
    <hyperlink r:id="rId142" ref="G143"/>
    <hyperlink r:id="rId143" ref="G144"/>
    <hyperlink r:id="rId144" ref="G145"/>
    <hyperlink r:id="rId145" ref="G146"/>
    <hyperlink r:id="rId146" ref="G147"/>
    <hyperlink r:id="rId147" ref="G148"/>
    <hyperlink r:id="rId148" ref="G149"/>
    <hyperlink r:id="rId149" ref="G150"/>
    <hyperlink r:id="rId150" ref="G151"/>
    <hyperlink r:id="rId151" ref="G152"/>
    <hyperlink r:id="rId152" ref="G153"/>
    <hyperlink r:id="rId153" ref="G154"/>
    <hyperlink r:id="rId154" ref="G155"/>
    <hyperlink r:id="rId155" ref="G156"/>
    <hyperlink r:id="rId156" ref="G157"/>
    <hyperlink r:id="rId157" ref="G158"/>
    <hyperlink r:id="rId158" ref="G159"/>
    <hyperlink r:id="rId159" ref="G160"/>
    <hyperlink r:id="rId160" ref="G161"/>
    <hyperlink r:id="rId161" ref="G162"/>
    <hyperlink r:id="rId162" ref="G163"/>
    <hyperlink r:id="rId163" ref="G164"/>
    <hyperlink r:id="rId164" ref="G165"/>
    <hyperlink r:id="rId165" ref="G166"/>
    <hyperlink r:id="rId166" ref="G167"/>
    <hyperlink r:id="rId167" ref="G168"/>
    <hyperlink r:id="rId168" ref="G169"/>
    <hyperlink r:id="rId169" ref="G170"/>
    <hyperlink r:id="rId170" ref="G171"/>
    <hyperlink r:id="rId171" ref="G172"/>
    <hyperlink r:id="rId172" ref="G173"/>
    <hyperlink r:id="rId173" ref="G174"/>
    <hyperlink r:id="rId174" ref="G175"/>
    <hyperlink r:id="rId175" ref="G176"/>
    <hyperlink r:id="rId176" ref="G177"/>
    <hyperlink r:id="rId177" ref="G178"/>
    <hyperlink r:id="rId178" ref="G179"/>
    <hyperlink r:id="rId179" ref="G180"/>
    <hyperlink r:id="rId180" ref="G181"/>
    <hyperlink r:id="rId181" ref="G182"/>
    <hyperlink r:id="rId182" ref="G183"/>
    <hyperlink r:id="rId183" ref="G184"/>
    <hyperlink r:id="rId184" ref="G185"/>
    <hyperlink r:id="rId185" ref="G186"/>
    <hyperlink r:id="rId186" ref="G187"/>
    <hyperlink r:id="rId187" ref="G188"/>
    <hyperlink r:id="rId188" ref="G189"/>
    <hyperlink r:id="rId189" ref="G190"/>
    <hyperlink r:id="rId190" ref="G191"/>
    <hyperlink r:id="rId191" ref="G192"/>
    <hyperlink r:id="rId192" ref="G193"/>
    <hyperlink r:id="rId193" ref="G194"/>
    <hyperlink r:id="rId194" ref="G195"/>
    <hyperlink r:id="rId195" ref="G196"/>
    <hyperlink r:id="rId196" ref="G197"/>
    <hyperlink r:id="rId197" ref="G198"/>
    <hyperlink r:id="rId198" ref="G199"/>
    <hyperlink r:id="rId199" ref="G200"/>
    <hyperlink r:id="rId200" ref="G201"/>
    <hyperlink r:id="rId201" ref="G202"/>
    <hyperlink r:id="rId202" ref="G203"/>
    <hyperlink r:id="rId203" ref="G204"/>
    <hyperlink r:id="rId204" ref="G206"/>
    <hyperlink r:id="rId205" ref="G207"/>
    <hyperlink r:id="rId206" ref="G208"/>
    <hyperlink r:id="rId207" ref="G209"/>
    <hyperlink r:id="rId208" ref="G210"/>
    <hyperlink r:id="rId209" ref="G211"/>
    <hyperlink r:id="rId210" ref="G212"/>
    <hyperlink r:id="rId211" ref="G213"/>
    <hyperlink r:id="rId212" ref="G214"/>
    <hyperlink r:id="rId213" ref="G215"/>
    <hyperlink r:id="rId214" ref="G216"/>
    <hyperlink r:id="rId215" ref="G217"/>
    <hyperlink r:id="rId216" ref="G218"/>
    <hyperlink r:id="rId217" ref="G219"/>
    <hyperlink r:id="rId218" ref="G220"/>
    <hyperlink r:id="rId219" ref="G221"/>
    <hyperlink r:id="rId220" ref="G222"/>
    <hyperlink r:id="rId221" ref="G223"/>
    <hyperlink r:id="rId222" ref="G224"/>
    <hyperlink r:id="rId223" ref="G225"/>
    <hyperlink r:id="rId224" ref="G226"/>
    <hyperlink r:id="rId225" ref="G227"/>
    <hyperlink r:id="rId226" ref="G228"/>
    <hyperlink r:id="rId227" ref="G229"/>
    <hyperlink r:id="rId228" ref="G230"/>
    <hyperlink r:id="rId229" ref="G231"/>
    <hyperlink r:id="rId230" ref="G232"/>
    <hyperlink r:id="rId231" ref="G233"/>
    <hyperlink r:id="rId232" ref="G234"/>
    <hyperlink r:id="rId233" ref="G235"/>
    <hyperlink r:id="rId234" ref="G236"/>
    <hyperlink r:id="rId235" ref="G237"/>
    <hyperlink r:id="rId236" ref="G238"/>
    <hyperlink r:id="rId237" ref="G239"/>
    <hyperlink r:id="rId238" ref="G240"/>
    <hyperlink r:id="rId239" ref="G241"/>
    <hyperlink r:id="rId240" ref="G242"/>
    <hyperlink r:id="rId241" ref="G243"/>
    <hyperlink r:id="rId242" ref="G244"/>
    <hyperlink r:id="rId243" ref="G245"/>
    <hyperlink r:id="rId244" ref="G246"/>
    <hyperlink r:id="rId245" ref="G247"/>
    <hyperlink r:id="rId246" ref="G248"/>
    <hyperlink r:id="rId247" ref="G249"/>
    <hyperlink r:id="rId248" ref="G250"/>
    <hyperlink r:id="rId249" ref="G251"/>
    <hyperlink r:id="rId250" ref="G252"/>
    <hyperlink r:id="rId251" ref="G253"/>
    <hyperlink r:id="rId252" ref="G254"/>
    <hyperlink r:id="rId253" ref="G255"/>
    <hyperlink r:id="rId254" ref="G257"/>
    <hyperlink r:id="rId255" ref="G258"/>
    <hyperlink r:id="rId256" ref="G259"/>
    <hyperlink r:id="rId257" ref="G260"/>
    <hyperlink r:id="rId258" ref="G261"/>
    <hyperlink r:id="rId259" ref="G262"/>
    <hyperlink r:id="rId260" ref="G263"/>
    <hyperlink r:id="rId261" ref="G264"/>
    <hyperlink r:id="rId262" ref="G265"/>
    <hyperlink r:id="rId263" ref="G266"/>
    <hyperlink r:id="rId264" ref="G267"/>
    <hyperlink r:id="rId265" ref="G268"/>
    <hyperlink r:id="rId266" ref="G269"/>
    <hyperlink r:id="rId267" ref="G270"/>
    <hyperlink r:id="rId268" ref="G271"/>
    <hyperlink r:id="rId269" ref="G272"/>
    <hyperlink r:id="rId270" ref="G273"/>
    <hyperlink r:id="rId271" ref="G274"/>
    <hyperlink r:id="rId272" ref="G275"/>
    <hyperlink r:id="rId273" ref="G276"/>
    <hyperlink r:id="rId274" ref="G277"/>
    <hyperlink r:id="rId275" ref="G278"/>
    <hyperlink r:id="rId276" ref="G279"/>
    <hyperlink r:id="rId277" ref="G280"/>
    <hyperlink r:id="rId278" ref="G281"/>
    <hyperlink r:id="rId279" ref="G282"/>
    <hyperlink r:id="rId280" ref="G283"/>
    <hyperlink r:id="rId281" ref="G284"/>
    <hyperlink r:id="rId282" ref="G285"/>
    <hyperlink r:id="rId283" ref="G286"/>
    <hyperlink r:id="rId284" ref="G287"/>
    <hyperlink r:id="rId285" ref="G288"/>
    <hyperlink r:id="rId286" ref="G289"/>
    <hyperlink r:id="rId287" ref="G290"/>
    <hyperlink r:id="rId288" ref="G291"/>
    <hyperlink r:id="rId289" ref="G292"/>
    <hyperlink r:id="rId290" ref="G293"/>
    <hyperlink r:id="rId291" ref="G294"/>
    <hyperlink r:id="rId292" ref="G295"/>
    <hyperlink r:id="rId293" ref="G296"/>
    <hyperlink r:id="rId294" ref="G297"/>
    <hyperlink r:id="rId295" ref="G298"/>
    <hyperlink r:id="rId296" ref="G299"/>
    <hyperlink r:id="rId297" ref="G300"/>
    <hyperlink r:id="rId298" ref="G301"/>
    <hyperlink r:id="rId299" ref="G302"/>
    <hyperlink r:id="rId300" ref="G303"/>
    <hyperlink r:id="rId301" ref="G304"/>
    <hyperlink r:id="rId302" ref="G305"/>
    <hyperlink r:id="rId303" ref="G306"/>
    <hyperlink r:id="rId304" ref="G307"/>
    <hyperlink r:id="rId305" ref="G308"/>
    <hyperlink r:id="rId306" ref="G309"/>
    <hyperlink r:id="rId307" ref="G310"/>
    <hyperlink r:id="rId308" ref="G311"/>
    <hyperlink r:id="rId309" ref="G312"/>
    <hyperlink r:id="rId310" ref="G313"/>
    <hyperlink r:id="rId311" ref="G314"/>
    <hyperlink r:id="rId312" ref="G315"/>
    <hyperlink r:id="rId313" ref="G316"/>
    <hyperlink r:id="rId314" ref="G317"/>
    <hyperlink r:id="rId315" ref="G318"/>
    <hyperlink r:id="rId316" ref="G319"/>
  </hyperlinks>
  <printOptions/>
  <pageMargins bottom="0.75" footer="0.0" header="0.0" left="0.7" right="0.7" top="0.75"/>
  <pageSetup orientation="landscape"/>
  <drawing r:id="rId317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4" max="4" width="16.0"/>
    <col customWidth="1" min="5" max="5" width="21.25"/>
    <col customWidth="1" min="6" max="7" width="18.0"/>
    <col customWidth="1" min="8" max="9" width="16.0"/>
  </cols>
  <sheetData>
    <row r="1">
      <c r="A1" s="1"/>
      <c r="C1" s="1" t="s">
        <v>2</v>
      </c>
      <c r="D1" s="2" t="s">
        <v>3</v>
      </c>
      <c r="E1" s="2" t="s">
        <v>5</v>
      </c>
      <c r="F1" s="4" t="s">
        <v>7</v>
      </c>
      <c r="G1" s="2" t="s">
        <v>14</v>
      </c>
      <c r="H1" s="2" t="s">
        <v>16</v>
      </c>
      <c r="I1" s="2" t="s">
        <v>17</v>
      </c>
      <c r="L1" s="5" t="s">
        <v>16</v>
      </c>
      <c r="M1" s="5" t="s">
        <v>17</v>
      </c>
      <c r="N1" s="7"/>
      <c r="O1" s="5" t="s">
        <v>24</v>
      </c>
      <c r="P1" s="5" t="s">
        <v>26</v>
      </c>
      <c r="Q1" s="5" t="s">
        <v>27</v>
      </c>
      <c r="R1" s="7"/>
      <c r="S1" s="7"/>
      <c r="T1" s="1" t="s">
        <v>29</v>
      </c>
    </row>
    <row r="2">
      <c r="A2" s="1" t="s">
        <v>30</v>
      </c>
      <c r="C2" s="1">
        <v>2.0</v>
      </c>
      <c r="D2" s="9"/>
      <c r="E2" s="11" t="s">
        <v>46</v>
      </c>
      <c r="F2" s="12" t="s">
        <v>102</v>
      </c>
      <c r="G2" s="13" t="s">
        <v>105</v>
      </c>
      <c r="H2" s="14">
        <v>39.5830758</v>
      </c>
      <c r="I2" s="14">
        <v>-79.63592147</v>
      </c>
      <c r="L2" s="5">
        <v>39.5830758</v>
      </c>
      <c r="M2" s="5">
        <v>-79.63592147</v>
      </c>
      <c r="N2" s="7"/>
      <c r="O2" s="5">
        <v>0.0</v>
      </c>
      <c r="P2" s="5">
        <v>0.0</v>
      </c>
      <c r="Q2" s="5" t="s">
        <v>116</v>
      </c>
      <c r="R2" s="7"/>
      <c r="S2" s="7"/>
      <c r="T2" s="1">
        <v>8.1</v>
      </c>
    </row>
    <row r="3">
      <c r="A3" s="1" t="s">
        <v>117</v>
      </c>
      <c r="C3" s="1">
        <v>10.0</v>
      </c>
      <c r="D3" s="9"/>
      <c r="E3" s="11" t="s">
        <v>119</v>
      </c>
      <c r="F3" s="12" t="s">
        <v>139</v>
      </c>
      <c r="G3" s="13" t="s">
        <v>82</v>
      </c>
      <c r="H3" s="14">
        <v>37.72908723</v>
      </c>
      <c r="I3" s="14">
        <v>-80.63213566</v>
      </c>
      <c r="L3" s="5">
        <v>37.72908723</v>
      </c>
      <c r="M3" s="5">
        <v>-80.63213566</v>
      </c>
      <c r="N3" s="7"/>
      <c r="O3" s="5">
        <v>3.0</v>
      </c>
      <c r="P3" s="5">
        <v>0.0</v>
      </c>
      <c r="Q3" s="5" t="s">
        <v>116</v>
      </c>
      <c r="R3" s="7"/>
      <c r="S3" s="7"/>
      <c r="T3" s="1">
        <v>9.4</v>
      </c>
    </row>
    <row r="4">
      <c r="A4" s="1" t="s">
        <v>148</v>
      </c>
      <c r="C4" s="1">
        <v>2.0</v>
      </c>
      <c r="D4" s="9"/>
      <c r="E4" s="11" t="s">
        <v>154</v>
      </c>
      <c r="F4" s="12">
        <v>25812.0</v>
      </c>
      <c r="G4" s="13" t="s">
        <v>74</v>
      </c>
      <c r="H4" s="14">
        <v>38.13333621</v>
      </c>
      <c r="I4" s="14">
        <v>-81.09085187</v>
      </c>
      <c r="L4" s="5">
        <v>38.13333621</v>
      </c>
      <c r="M4" s="5">
        <v>-81.09085187</v>
      </c>
      <c r="N4" s="7"/>
      <c r="O4" s="5">
        <v>0.0</v>
      </c>
      <c r="P4" s="5">
        <v>0.0</v>
      </c>
      <c r="Q4" s="5" t="s">
        <v>116</v>
      </c>
      <c r="R4" s="7"/>
      <c r="S4" s="7"/>
      <c r="T4" s="1">
        <v>3.5</v>
      </c>
    </row>
    <row r="5">
      <c r="C5" s="1">
        <v>2.0</v>
      </c>
      <c r="D5" s="9"/>
      <c r="E5" s="11" t="s">
        <v>170</v>
      </c>
      <c r="F5" s="12">
        <v>25234.0</v>
      </c>
      <c r="G5" s="13" t="s">
        <v>189</v>
      </c>
      <c r="H5" s="27"/>
      <c r="I5" s="27"/>
      <c r="L5" s="5">
        <v>38.78948942</v>
      </c>
      <c r="M5" s="5">
        <v>-81.13433038</v>
      </c>
      <c r="N5" s="7"/>
      <c r="O5" s="5">
        <v>0.0</v>
      </c>
      <c r="P5" s="5">
        <v>0.0</v>
      </c>
      <c r="Q5" s="5" t="s">
        <v>116</v>
      </c>
      <c r="R5" s="7"/>
      <c r="S5" s="7"/>
      <c r="T5" s="1">
        <v>9.2</v>
      </c>
    </row>
    <row r="6">
      <c r="C6" s="1">
        <v>3.0</v>
      </c>
      <c r="D6" s="9"/>
      <c r="E6" s="11" t="s">
        <v>200</v>
      </c>
      <c r="F6" s="12" t="s">
        <v>221</v>
      </c>
      <c r="G6" s="13" t="s">
        <v>168</v>
      </c>
      <c r="H6" s="14">
        <v>38.63021033</v>
      </c>
      <c r="I6" s="14">
        <v>-82.16462412</v>
      </c>
      <c r="L6" s="5">
        <v>38.63021033</v>
      </c>
      <c r="M6" s="5">
        <v>-82.16462412</v>
      </c>
      <c r="N6" s="7"/>
      <c r="O6" s="5">
        <v>0.0</v>
      </c>
      <c r="P6" s="5">
        <v>0.0</v>
      </c>
      <c r="Q6" s="5" t="s">
        <v>116</v>
      </c>
      <c r="R6" s="7"/>
      <c r="S6" s="7"/>
      <c r="T6" s="1">
        <v>9.8</v>
      </c>
    </row>
    <row r="7">
      <c r="C7" s="1">
        <v>5.0</v>
      </c>
      <c r="D7" s="9"/>
      <c r="E7" s="11" t="s">
        <v>232</v>
      </c>
      <c r="F7" s="12">
        <v>24712.0</v>
      </c>
      <c r="G7" s="13" t="s">
        <v>175</v>
      </c>
      <c r="H7" s="14">
        <v>37.42348672</v>
      </c>
      <c r="I7" s="14">
        <v>-81.01603057</v>
      </c>
      <c r="L7" s="5">
        <v>37.42348672</v>
      </c>
      <c r="M7" s="5">
        <v>-81.01603057</v>
      </c>
      <c r="N7" s="7"/>
      <c r="O7" s="5">
        <v>1.0</v>
      </c>
      <c r="P7" s="5">
        <v>0.0</v>
      </c>
      <c r="Q7" s="5" t="s">
        <v>116</v>
      </c>
      <c r="R7" s="7"/>
      <c r="S7" s="7"/>
      <c r="T7" s="1">
        <v>4.7</v>
      </c>
    </row>
    <row r="8">
      <c r="C8" s="1">
        <v>2.0</v>
      </c>
      <c r="D8" s="9"/>
      <c r="E8" s="11" t="s">
        <v>259</v>
      </c>
      <c r="F8" s="12">
        <v>26704.0</v>
      </c>
      <c r="G8" s="13" t="s">
        <v>273</v>
      </c>
      <c r="H8" s="14">
        <v>39.29505523</v>
      </c>
      <c r="I8" s="14">
        <v>-78.63845873</v>
      </c>
      <c r="L8" s="5">
        <v>39.29505523</v>
      </c>
      <c r="M8" s="5">
        <v>-78.63845873</v>
      </c>
      <c r="N8" s="7"/>
      <c r="O8" s="5">
        <v>0.0</v>
      </c>
      <c r="P8" s="5">
        <v>0.0</v>
      </c>
      <c r="Q8" s="5" t="s">
        <v>116</v>
      </c>
      <c r="R8" s="7"/>
      <c r="S8" s="7"/>
      <c r="T8" s="1">
        <v>4.2</v>
      </c>
    </row>
    <row r="9">
      <c r="C9" s="1">
        <v>10.0</v>
      </c>
      <c r="D9" s="9"/>
      <c r="E9" s="11" t="s">
        <v>283</v>
      </c>
      <c r="F9" s="12" t="s">
        <v>294</v>
      </c>
      <c r="G9" s="13" t="s">
        <v>105</v>
      </c>
      <c r="H9" s="14">
        <v>39.3215582</v>
      </c>
      <c r="I9" s="14">
        <v>-79.56138543</v>
      </c>
      <c r="L9" s="5">
        <v>39.3215582</v>
      </c>
      <c r="M9" s="5">
        <v>-79.56138543</v>
      </c>
      <c r="N9" s="7"/>
      <c r="O9" s="5">
        <v>3.0</v>
      </c>
      <c r="P9" s="5">
        <v>0.0</v>
      </c>
      <c r="Q9" s="5" t="s">
        <v>116</v>
      </c>
      <c r="R9" s="7"/>
      <c r="S9" s="7"/>
      <c r="T9" s="1">
        <v>6.1</v>
      </c>
    </row>
    <row r="10">
      <c r="C10" s="1">
        <v>10.0</v>
      </c>
      <c r="D10" s="9"/>
      <c r="E10" s="11" t="s">
        <v>305</v>
      </c>
      <c r="F10" s="12" t="s">
        <v>321</v>
      </c>
      <c r="G10" s="13" t="s">
        <v>90</v>
      </c>
      <c r="H10" s="27"/>
      <c r="I10" s="27"/>
      <c r="L10" s="5">
        <v>39.04214593</v>
      </c>
      <c r="M10" s="5">
        <v>-78.74239514</v>
      </c>
      <c r="N10" s="7"/>
      <c r="O10" s="5">
        <v>3.0</v>
      </c>
      <c r="P10" s="5">
        <v>0.0</v>
      </c>
      <c r="Q10" s="5" t="s">
        <v>116</v>
      </c>
      <c r="R10" s="7"/>
      <c r="S10" s="7"/>
      <c r="T10" s="1">
        <v>12.0</v>
      </c>
    </row>
    <row r="11">
      <c r="C11" s="1">
        <v>1.0</v>
      </c>
      <c r="D11" s="9"/>
      <c r="E11" s="11" t="s">
        <v>330</v>
      </c>
      <c r="F11" s="12" t="s">
        <v>346</v>
      </c>
      <c r="G11" s="13" t="s">
        <v>59</v>
      </c>
      <c r="H11" s="14">
        <v>38.40853862</v>
      </c>
      <c r="I11" s="14">
        <v>-82.29575442</v>
      </c>
      <c r="L11" s="5">
        <v>38.40853862</v>
      </c>
      <c r="M11" s="5">
        <v>-82.29575442</v>
      </c>
      <c r="N11" s="7"/>
      <c r="O11" s="5">
        <v>0.0</v>
      </c>
      <c r="P11" s="5">
        <v>0.0</v>
      </c>
      <c r="Q11" s="5" t="s">
        <v>116</v>
      </c>
      <c r="R11" s="7"/>
      <c r="S11" s="7"/>
      <c r="T11" s="1">
        <v>0.5</v>
      </c>
    </row>
    <row r="12">
      <c r="C12" s="1">
        <v>1.0</v>
      </c>
      <c r="D12" s="9"/>
      <c r="E12" s="11" t="s">
        <v>356</v>
      </c>
      <c r="F12" s="12" t="s">
        <v>359</v>
      </c>
      <c r="G12" s="13" t="s">
        <v>59</v>
      </c>
      <c r="H12" s="14">
        <v>38.38723375</v>
      </c>
      <c r="I12" s="14">
        <v>-82.33154731</v>
      </c>
      <c r="L12" s="5">
        <v>38.38723375</v>
      </c>
      <c r="M12" s="5">
        <v>-82.33154731</v>
      </c>
      <c r="N12" s="7"/>
      <c r="O12" s="5">
        <v>0.0</v>
      </c>
      <c r="P12" s="5">
        <v>0.0</v>
      </c>
      <c r="Q12" s="5" t="s">
        <v>116</v>
      </c>
      <c r="R12" s="7"/>
      <c r="S12" s="7"/>
      <c r="T12" s="1">
        <v>2.4</v>
      </c>
    </row>
    <row r="13">
      <c r="C13" s="1">
        <v>4.0</v>
      </c>
      <c r="D13" s="9"/>
      <c r="E13" s="11" t="s">
        <v>368</v>
      </c>
      <c r="F13" s="12">
        <v>26559.0</v>
      </c>
      <c r="G13" s="13" t="s">
        <v>159</v>
      </c>
      <c r="H13" s="27"/>
      <c r="I13" s="27"/>
      <c r="L13" s="5">
        <v>39.50436434</v>
      </c>
      <c r="M13" s="5">
        <v>-80.16697711</v>
      </c>
      <c r="N13" s="7"/>
      <c r="O13" s="5">
        <v>1.0</v>
      </c>
      <c r="P13" s="5">
        <v>0.0</v>
      </c>
      <c r="Q13" s="5" t="s">
        <v>116</v>
      </c>
      <c r="R13" s="7"/>
      <c r="S13" s="7"/>
      <c r="T13" s="1">
        <v>1.5</v>
      </c>
    </row>
    <row r="14">
      <c r="C14" s="1">
        <v>1.0</v>
      </c>
      <c r="D14" s="9"/>
      <c r="E14" s="11" t="s">
        <v>391</v>
      </c>
      <c r="F14" s="12" t="s">
        <v>405</v>
      </c>
      <c r="G14" s="13" t="s">
        <v>225</v>
      </c>
      <c r="H14" s="14">
        <v>37.77327371</v>
      </c>
      <c r="I14" s="14">
        <v>-81.19813988</v>
      </c>
      <c r="L14" s="5">
        <v>37.77327371</v>
      </c>
      <c r="M14" s="5">
        <v>-81.19813988</v>
      </c>
      <c r="N14" s="7"/>
      <c r="O14" s="5">
        <v>0.0</v>
      </c>
      <c r="P14" s="5">
        <v>0.0</v>
      </c>
      <c r="Q14" s="5" t="s">
        <v>116</v>
      </c>
      <c r="R14" s="7"/>
      <c r="S14" s="7"/>
      <c r="T14" s="1">
        <v>0.5</v>
      </c>
    </row>
    <row r="15">
      <c r="C15" s="1">
        <v>1.0</v>
      </c>
      <c r="D15" s="9"/>
      <c r="E15" s="11" t="s">
        <v>415</v>
      </c>
      <c r="F15" s="12" t="s">
        <v>416</v>
      </c>
      <c r="G15" s="13" t="s">
        <v>225</v>
      </c>
      <c r="H15" s="14">
        <v>37.80490073</v>
      </c>
      <c r="I15" s="14">
        <v>-81.24565264</v>
      </c>
      <c r="L15" s="5">
        <v>37.80490073</v>
      </c>
      <c r="M15" s="5">
        <v>-81.24565264</v>
      </c>
      <c r="N15" s="7"/>
      <c r="O15" s="5">
        <v>0.0</v>
      </c>
      <c r="P15" s="5">
        <v>0.0</v>
      </c>
      <c r="Q15" s="5" t="s">
        <v>116</v>
      </c>
      <c r="R15" s="7"/>
      <c r="S15" s="7"/>
      <c r="T15" s="1">
        <v>2.5</v>
      </c>
    </row>
    <row r="16">
      <c r="C16" s="1">
        <v>1.0</v>
      </c>
      <c r="D16" s="9"/>
      <c r="E16" s="11" t="s">
        <v>427</v>
      </c>
      <c r="F16" s="12" t="s">
        <v>428</v>
      </c>
      <c r="G16" s="13" t="s">
        <v>225</v>
      </c>
      <c r="H16" s="14">
        <v>37.7729338</v>
      </c>
      <c r="I16" s="14">
        <v>-81.16082855</v>
      </c>
      <c r="L16" s="5">
        <v>37.7729338</v>
      </c>
      <c r="M16" s="5">
        <v>-81.16082855</v>
      </c>
      <c r="N16" s="7"/>
      <c r="O16" s="5">
        <v>0.0</v>
      </c>
      <c r="P16" s="5">
        <v>0.0</v>
      </c>
      <c r="Q16" s="5" t="s">
        <v>116</v>
      </c>
      <c r="R16" s="7"/>
      <c r="S16" s="7"/>
      <c r="T16" s="1">
        <v>1.6</v>
      </c>
    </row>
    <row r="17">
      <c r="C17" s="1">
        <v>1.0</v>
      </c>
      <c r="D17" s="9"/>
      <c r="E17" s="11" t="s">
        <v>434</v>
      </c>
      <c r="F17" s="12" t="s">
        <v>436</v>
      </c>
      <c r="G17" s="13" t="s">
        <v>225</v>
      </c>
      <c r="H17" s="14">
        <v>37.77849847</v>
      </c>
      <c r="I17" s="14">
        <v>-81.19377941</v>
      </c>
      <c r="L17" s="5">
        <v>37.77849847</v>
      </c>
      <c r="M17" s="5">
        <v>-81.19377941</v>
      </c>
      <c r="N17" s="7"/>
      <c r="O17" s="5">
        <v>0.0</v>
      </c>
      <c r="P17" s="5">
        <v>0.0</v>
      </c>
      <c r="Q17" s="5" t="s">
        <v>116</v>
      </c>
      <c r="R17" s="7"/>
      <c r="S17" s="7"/>
      <c r="T17" s="1">
        <v>0.2</v>
      </c>
    </row>
    <row r="18">
      <c r="C18" s="1">
        <v>1.0</v>
      </c>
      <c r="D18" s="9"/>
      <c r="E18" s="11" t="s">
        <v>445</v>
      </c>
      <c r="F18" s="12">
        <v>25801.0</v>
      </c>
      <c r="G18" s="13" t="s">
        <v>225</v>
      </c>
      <c r="H18" s="14">
        <v>37.81633319</v>
      </c>
      <c r="I18" s="14">
        <v>-81.15246576</v>
      </c>
      <c r="L18" s="5">
        <v>37.81633319</v>
      </c>
      <c r="M18" s="5">
        <v>-81.15246576</v>
      </c>
      <c r="N18" s="7"/>
      <c r="O18" s="5">
        <v>0.0</v>
      </c>
      <c r="P18" s="5">
        <v>0.0</v>
      </c>
      <c r="Q18" s="5" t="s">
        <v>116</v>
      </c>
      <c r="R18" s="7"/>
      <c r="S18" s="7"/>
      <c r="T18" s="1">
        <v>1.5</v>
      </c>
    </row>
    <row r="19">
      <c r="C19" s="1">
        <v>5.0</v>
      </c>
      <c r="D19" s="9"/>
      <c r="E19" s="11" t="s">
        <v>456</v>
      </c>
      <c r="F19" s="12" t="s">
        <v>466</v>
      </c>
      <c r="G19" s="13" t="s">
        <v>467</v>
      </c>
      <c r="H19" s="27"/>
      <c r="I19" s="27"/>
      <c r="L19" s="5">
        <v>38.97290369</v>
      </c>
      <c r="M19" s="5">
        <v>-79.95563187</v>
      </c>
      <c r="N19" s="7"/>
      <c r="O19" s="5">
        <v>1.0</v>
      </c>
      <c r="P19" s="5">
        <v>1.0</v>
      </c>
      <c r="Q19" s="5" t="s">
        <v>471</v>
      </c>
      <c r="R19" s="7"/>
      <c r="S19" s="7"/>
      <c r="T19" s="1">
        <v>3.5</v>
      </c>
    </row>
    <row r="20">
      <c r="C20" s="1">
        <v>5.0</v>
      </c>
      <c r="D20" s="9"/>
      <c r="E20" s="11" t="s">
        <v>475</v>
      </c>
      <c r="F20" s="12" t="s">
        <v>476</v>
      </c>
      <c r="G20" s="13" t="s">
        <v>467</v>
      </c>
      <c r="H20" s="27"/>
      <c r="I20" s="27"/>
      <c r="L20" s="5">
        <v>39.022226</v>
      </c>
      <c r="M20" s="5">
        <v>-79.93778403</v>
      </c>
      <c r="N20" s="7"/>
      <c r="O20" s="5">
        <v>1.0</v>
      </c>
      <c r="P20" s="5">
        <v>1.0</v>
      </c>
      <c r="Q20" s="5" t="s">
        <v>471</v>
      </c>
      <c r="R20" s="7"/>
      <c r="S20" s="7"/>
      <c r="T20" s="1">
        <v>0.0</v>
      </c>
    </row>
    <row r="21">
      <c r="C21" s="1">
        <v>2.0</v>
      </c>
      <c r="D21" s="9"/>
      <c r="E21" s="11" t="s">
        <v>487</v>
      </c>
      <c r="F21" s="12" t="s">
        <v>498</v>
      </c>
      <c r="G21" s="13" t="s">
        <v>128</v>
      </c>
      <c r="H21" s="14">
        <v>38.2167536</v>
      </c>
      <c r="I21" s="14">
        <v>-81.48644939</v>
      </c>
      <c r="L21" s="5">
        <v>38.2167536</v>
      </c>
      <c r="M21" s="5">
        <v>-81.48644939</v>
      </c>
      <c r="N21" s="7"/>
      <c r="O21" s="5">
        <v>0.0</v>
      </c>
      <c r="P21" s="5">
        <v>0.0</v>
      </c>
      <c r="Q21" s="5" t="s">
        <v>116</v>
      </c>
      <c r="R21" s="7"/>
      <c r="S21" s="7"/>
      <c r="T21" s="1">
        <v>1.5</v>
      </c>
    </row>
    <row r="22">
      <c r="C22" s="1">
        <v>2.0</v>
      </c>
      <c r="D22" s="9"/>
      <c r="E22" s="11" t="s">
        <v>507</v>
      </c>
      <c r="F22" s="12">
        <v>25015.0</v>
      </c>
      <c r="G22" s="13" t="s">
        <v>128</v>
      </c>
      <c r="H22" s="14">
        <v>38.22258028</v>
      </c>
      <c r="I22" s="14">
        <v>-81.52493564</v>
      </c>
      <c r="L22" s="5">
        <v>38.22258028</v>
      </c>
      <c r="M22" s="5">
        <v>-81.52493564</v>
      </c>
      <c r="N22" s="7"/>
      <c r="O22" s="5">
        <v>0.0</v>
      </c>
      <c r="P22" s="5">
        <v>0.0</v>
      </c>
      <c r="Q22" s="5" t="s">
        <v>116</v>
      </c>
      <c r="R22" s="7"/>
      <c r="S22" s="7"/>
      <c r="T22" s="1">
        <v>1.8</v>
      </c>
    </row>
    <row r="23">
      <c r="C23" s="1">
        <v>10.0</v>
      </c>
      <c r="D23" s="9"/>
      <c r="E23" s="11" t="s">
        <v>516</v>
      </c>
      <c r="F23" s="12">
        <v>26134.0</v>
      </c>
      <c r="G23" s="13" t="s">
        <v>529</v>
      </c>
      <c r="H23" s="27"/>
      <c r="I23" s="27"/>
      <c r="L23" s="5">
        <v>39.3750221</v>
      </c>
      <c r="M23" s="5">
        <v>-81.27789151</v>
      </c>
      <c r="N23" s="7"/>
      <c r="O23" s="5">
        <v>3.0</v>
      </c>
      <c r="P23" s="5">
        <v>0.0</v>
      </c>
      <c r="Q23" s="5" t="s">
        <v>116</v>
      </c>
      <c r="R23" s="7"/>
      <c r="S23" s="7"/>
      <c r="T23" s="1">
        <v>4.0</v>
      </c>
    </row>
    <row r="24">
      <c r="C24" s="1">
        <v>1.0</v>
      </c>
      <c r="D24" s="9"/>
      <c r="E24" s="11" t="s">
        <v>541</v>
      </c>
      <c r="F24" s="12" t="s">
        <v>560</v>
      </c>
      <c r="G24" s="13" t="s">
        <v>164</v>
      </c>
      <c r="H24" s="14">
        <v>40.03157073</v>
      </c>
      <c r="I24" s="14">
        <v>-80.72752054</v>
      </c>
      <c r="L24" s="5">
        <v>40.03157073</v>
      </c>
      <c r="M24" s="5">
        <v>-80.72752054</v>
      </c>
      <c r="N24" s="7"/>
      <c r="O24" s="5">
        <v>0.0</v>
      </c>
      <c r="P24" s="5">
        <v>0.0</v>
      </c>
      <c r="Q24" s="5" t="s">
        <v>116</v>
      </c>
      <c r="R24" s="7"/>
      <c r="S24" s="7"/>
      <c r="T24" s="1">
        <v>1.7</v>
      </c>
    </row>
    <row r="25">
      <c r="C25" s="1">
        <v>3.0</v>
      </c>
      <c r="D25" s="9"/>
      <c r="E25" s="11" t="s">
        <v>571</v>
      </c>
      <c r="F25" s="12" t="s">
        <v>582</v>
      </c>
      <c r="G25" s="13" t="s">
        <v>433</v>
      </c>
      <c r="H25" s="14">
        <v>39.61404815</v>
      </c>
      <c r="I25" s="14">
        <v>-78.23294539</v>
      </c>
      <c r="L25" s="5">
        <v>39.61404815</v>
      </c>
      <c r="M25" s="5">
        <v>-78.23294539</v>
      </c>
      <c r="N25" s="7"/>
      <c r="O25" s="5">
        <v>0.0</v>
      </c>
      <c r="P25" s="5">
        <v>0.0</v>
      </c>
      <c r="Q25" s="5" t="s">
        <v>116</v>
      </c>
      <c r="R25" s="7"/>
      <c r="S25" s="7"/>
      <c r="T25" s="1">
        <v>0.6</v>
      </c>
    </row>
    <row r="26">
      <c r="C26" s="1">
        <v>3.0</v>
      </c>
      <c r="D26" s="9"/>
      <c r="E26" s="11" t="s">
        <v>595</v>
      </c>
      <c r="F26" s="12">
        <v>25411.0</v>
      </c>
      <c r="G26" s="13" t="s">
        <v>433</v>
      </c>
      <c r="H26" s="14">
        <v>39.49260009</v>
      </c>
      <c r="I26" s="14">
        <v>-78.29573359</v>
      </c>
      <c r="L26" s="5">
        <v>39.49260009</v>
      </c>
      <c r="M26" s="5">
        <v>-78.29573359</v>
      </c>
      <c r="N26" s="7"/>
      <c r="O26" s="5">
        <v>0.0</v>
      </c>
      <c r="P26" s="5">
        <v>0.0</v>
      </c>
      <c r="Q26" s="5" t="s">
        <v>116</v>
      </c>
      <c r="R26" s="7"/>
      <c r="S26" s="7"/>
      <c r="T26" s="1">
        <v>8.4</v>
      </c>
    </row>
    <row r="27">
      <c r="C27" s="1">
        <v>5.0</v>
      </c>
      <c r="D27" s="9"/>
      <c r="E27" s="11" t="s">
        <v>605</v>
      </c>
      <c r="F27" s="12" t="s">
        <v>613</v>
      </c>
      <c r="G27" s="13" t="s">
        <v>236</v>
      </c>
      <c r="H27" s="14">
        <v>38.83685032</v>
      </c>
      <c r="I27" s="14">
        <v>-79.8753488</v>
      </c>
      <c r="L27" s="5">
        <v>38.83685032</v>
      </c>
      <c r="M27" s="5">
        <v>-79.8753488</v>
      </c>
      <c r="N27" s="7"/>
      <c r="O27" s="5">
        <v>1.0</v>
      </c>
      <c r="P27" s="5">
        <v>2.0</v>
      </c>
      <c r="Q27" s="5" t="s">
        <v>619</v>
      </c>
      <c r="R27" s="7"/>
      <c r="S27" s="7"/>
      <c r="T27" s="1">
        <v>4.2</v>
      </c>
    </row>
    <row r="28">
      <c r="C28" s="1">
        <v>10.0</v>
      </c>
      <c r="D28" s="9"/>
      <c r="E28" s="11" t="s">
        <v>623</v>
      </c>
      <c r="F28" s="12">
        <v>26610.0</v>
      </c>
      <c r="G28" s="13" t="s">
        <v>198</v>
      </c>
      <c r="H28" s="27"/>
      <c r="I28" s="27"/>
      <c r="L28" s="5">
        <v>38.49777786</v>
      </c>
      <c r="M28" s="5">
        <v>-80.74966162</v>
      </c>
      <c r="N28" s="7"/>
      <c r="O28" s="5">
        <v>3.0</v>
      </c>
      <c r="P28" s="5">
        <v>0.0</v>
      </c>
      <c r="Q28" s="5" t="s">
        <v>116</v>
      </c>
      <c r="R28" s="7"/>
      <c r="S28" s="7"/>
      <c r="T28" s="1">
        <v>11.1</v>
      </c>
    </row>
    <row r="29">
      <c r="C29" s="1">
        <v>2.0</v>
      </c>
      <c r="D29" s="9"/>
      <c r="E29" s="11" t="s">
        <v>644</v>
      </c>
      <c r="F29" s="12">
        <v>26521.0</v>
      </c>
      <c r="G29" s="13" t="s">
        <v>169</v>
      </c>
      <c r="H29" s="14">
        <v>39.72033821</v>
      </c>
      <c r="I29" s="14">
        <v>-80.20459539</v>
      </c>
      <c r="L29" s="5">
        <v>39.72033821</v>
      </c>
      <c r="M29" s="5">
        <v>-80.20459539</v>
      </c>
      <c r="N29" s="7"/>
      <c r="O29" s="5">
        <v>0.0</v>
      </c>
      <c r="P29" s="5">
        <v>0.0</v>
      </c>
      <c r="Q29" s="5" t="s">
        <v>116</v>
      </c>
      <c r="R29" s="7"/>
      <c r="S29" s="7"/>
      <c r="T29" s="1">
        <v>0.4</v>
      </c>
    </row>
    <row r="30">
      <c r="C30" s="1">
        <v>4.0</v>
      </c>
      <c r="D30" s="9"/>
      <c r="E30" s="11" t="s">
        <v>659</v>
      </c>
      <c r="F30" s="12" t="s">
        <v>674</v>
      </c>
      <c r="G30" s="13" t="s">
        <v>175</v>
      </c>
      <c r="H30" s="14">
        <v>37.31126258</v>
      </c>
      <c r="I30" s="14">
        <v>-81.25938512</v>
      </c>
      <c r="L30" s="5">
        <v>37.31126258</v>
      </c>
      <c r="M30" s="5">
        <v>-81.25938512</v>
      </c>
      <c r="N30" s="7"/>
      <c r="O30" s="5">
        <v>1.0</v>
      </c>
      <c r="P30" s="5">
        <v>0.0</v>
      </c>
      <c r="Q30" s="5" t="s">
        <v>116</v>
      </c>
      <c r="R30" s="7"/>
      <c r="S30" s="7"/>
      <c r="T30" s="1">
        <v>1.0</v>
      </c>
    </row>
    <row r="31">
      <c r="C31" s="1">
        <v>4.0</v>
      </c>
      <c r="D31" s="9"/>
      <c r="E31" s="11" t="s">
        <v>682</v>
      </c>
      <c r="F31" s="12" t="s">
        <v>683</v>
      </c>
      <c r="G31" s="13" t="s">
        <v>175</v>
      </c>
      <c r="H31" s="14">
        <v>37.26551495</v>
      </c>
      <c r="I31" s="14">
        <v>-81.23407286</v>
      </c>
      <c r="L31" s="5">
        <v>37.26551495</v>
      </c>
      <c r="M31" s="5">
        <v>-81.23407286</v>
      </c>
      <c r="N31" s="7"/>
      <c r="O31" s="5">
        <v>1.0</v>
      </c>
      <c r="P31" s="5">
        <v>0.0</v>
      </c>
      <c r="Q31" s="5" t="s">
        <v>116</v>
      </c>
      <c r="R31" s="7"/>
      <c r="S31" s="7"/>
      <c r="T31" s="1">
        <v>0.3</v>
      </c>
    </row>
    <row r="32">
      <c r="C32" s="1">
        <v>4.0</v>
      </c>
      <c r="D32" s="9"/>
      <c r="E32" s="11" t="s">
        <v>689</v>
      </c>
      <c r="F32" s="12">
        <v>24701.0</v>
      </c>
      <c r="G32" s="13" t="s">
        <v>175</v>
      </c>
      <c r="H32" s="27"/>
      <c r="I32" s="27"/>
      <c r="L32" s="5">
        <v>37.30771521</v>
      </c>
      <c r="M32" s="5">
        <v>-81.14647542</v>
      </c>
      <c r="N32" s="7"/>
      <c r="O32" s="5">
        <v>1.0</v>
      </c>
      <c r="P32" s="5">
        <v>0.0</v>
      </c>
      <c r="Q32" s="5" t="s">
        <v>116</v>
      </c>
      <c r="R32" s="7"/>
      <c r="S32" s="7"/>
      <c r="T32" s="1">
        <v>0.4</v>
      </c>
    </row>
    <row r="33">
      <c r="C33" s="1">
        <v>4.0</v>
      </c>
      <c r="D33" s="9"/>
      <c r="E33" s="11" t="s">
        <v>699</v>
      </c>
      <c r="F33" s="12" t="s">
        <v>700</v>
      </c>
      <c r="G33" s="13" t="s">
        <v>175</v>
      </c>
      <c r="H33" s="14">
        <v>37.26099259</v>
      </c>
      <c r="I33" s="14">
        <v>-81.18981153</v>
      </c>
      <c r="L33" s="5">
        <v>37.26099259</v>
      </c>
      <c r="M33" s="5">
        <v>-81.18981153</v>
      </c>
      <c r="N33" s="7"/>
      <c r="O33" s="5">
        <v>1.0</v>
      </c>
      <c r="P33" s="5">
        <v>0.0</v>
      </c>
      <c r="Q33" s="5" t="s">
        <v>116</v>
      </c>
      <c r="R33" s="7"/>
      <c r="S33" s="7"/>
      <c r="T33" s="1">
        <v>1.0</v>
      </c>
    </row>
    <row r="34">
      <c r="C34" s="1">
        <v>10.0</v>
      </c>
      <c r="D34" s="9"/>
      <c r="E34" s="11" t="s">
        <v>711</v>
      </c>
      <c r="F34" s="12">
        <v>24817.0</v>
      </c>
      <c r="G34" s="13" t="s">
        <v>726</v>
      </c>
      <c r="H34" s="27"/>
      <c r="I34" s="27"/>
      <c r="L34" s="5">
        <v>37.37057944</v>
      </c>
      <c r="M34" s="5">
        <v>-81.7976467</v>
      </c>
      <c r="N34" s="7"/>
      <c r="O34" s="5">
        <v>3.0</v>
      </c>
      <c r="P34" s="5" t="s">
        <v>732</v>
      </c>
      <c r="Q34" s="5" t="s">
        <v>733</v>
      </c>
      <c r="R34" s="7"/>
      <c r="S34" s="7"/>
      <c r="T34" s="1">
        <v>2.7</v>
      </c>
    </row>
    <row r="35">
      <c r="C35" s="1">
        <v>2.0</v>
      </c>
      <c r="D35" s="9"/>
      <c r="E35" s="11" t="s">
        <v>738</v>
      </c>
      <c r="F35" s="12" t="s">
        <v>748</v>
      </c>
      <c r="G35" s="13" t="s">
        <v>585</v>
      </c>
      <c r="H35" s="14">
        <v>38.18095161</v>
      </c>
      <c r="I35" s="14">
        <v>-82.17914867</v>
      </c>
      <c r="L35" s="5">
        <v>38.18095161</v>
      </c>
      <c r="M35" s="5">
        <v>-82.17914867</v>
      </c>
      <c r="N35" s="7"/>
      <c r="O35" s="5">
        <v>0.0</v>
      </c>
      <c r="P35" s="5">
        <v>0.0</v>
      </c>
      <c r="Q35" s="5" t="s">
        <v>116</v>
      </c>
      <c r="R35" s="7"/>
      <c r="S35" s="7"/>
      <c r="T35" s="1">
        <v>6.3</v>
      </c>
    </row>
    <row r="36">
      <c r="C36" s="1">
        <v>2.0</v>
      </c>
      <c r="D36" s="9"/>
      <c r="E36" s="11" t="s">
        <v>761</v>
      </c>
      <c r="F36" s="12">
        <v>25506.0</v>
      </c>
      <c r="G36" s="13" t="s">
        <v>585</v>
      </c>
      <c r="H36" s="27"/>
      <c r="I36" s="27"/>
      <c r="L36" s="5">
        <v>38.2739595</v>
      </c>
      <c r="M36" s="5">
        <v>-82.19958017</v>
      </c>
      <c r="N36" s="7"/>
      <c r="O36" s="5">
        <v>0.0</v>
      </c>
      <c r="P36" s="5">
        <v>0.0</v>
      </c>
      <c r="Q36" s="5" t="s">
        <v>116</v>
      </c>
      <c r="R36" s="7"/>
      <c r="S36" s="7"/>
      <c r="T36" s="1">
        <v>0.2</v>
      </c>
    </row>
    <row r="37">
      <c r="C37" s="1">
        <v>4.0</v>
      </c>
      <c r="D37" s="9"/>
      <c r="E37" s="11" t="s">
        <v>769</v>
      </c>
      <c r="F37" s="12" t="s">
        <v>783</v>
      </c>
      <c r="G37" s="13" t="s">
        <v>101</v>
      </c>
      <c r="H37" s="14">
        <v>39.28142729</v>
      </c>
      <c r="I37" s="14">
        <v>-80.25617404</v>
      </c>
      <c r="L37" s="5">
        <v>39.28142729</v>
      </c>
      <c r="M37" s="5">
        <v>-80.25617404</v>
      </c>
      <c r="N37" s="7"/>
      <c r="O37" s="5">
        <v>1.0</v>
      </c>
      <c r="P37" s="5">
        <v>0.0</v>
      </c>
      <c r="Q37" s="5" t="s">
        <v>116</v>
      </c>
      <c r="R37" s="7"/>
      <c r="S37" s="7"/>
      <c r="T37" s="1">
        <v>0.9</v>
      </c>
    </row>
    <row r="38">
      <c r="C38" s="1">
        <v>7.0</v>
      </c>
      <c r="D38" s="9"/>
      <c r="E38" s="11" t="s">
        <v>787</v>
      </c>
      <c r="F38" s="12">
        <v>26201.0</v>
      </c>
      <c r="G38" s="13" t="s">
        <v>252</v>
      </c>
      <c r="H38" s="14">
        <v>38.97922939</v>
      </c>
      <c r="I38" s="14">
        <v>-80.22474382</v>
      </c>
      <c r="L38" s="5">
        <v>38.97922939</v>
      </c>
      <c r="M38" s="5">
        <v>-80.22474382</v>
      </c>
      <c r="N38" s="7"/>
      <c r="O38" s="5">
        <v>2.0</v>
      </c>
      <c r="P38" s="5">
        <v>1.0</v>
      </c>
      <c r="Q38" s="5" t="s">
        <v>471</v>
      </c>
      <c r="R38" s="7"/>
      <c r="S38" s="7"/>
      <c r="T38" s="1">
        <v>0.0</v>
      </c>
    </row>
    <row r="39">
      <c r="C39" s="1">
        <v>2.0</v>
      </c>
      <c r="D39" s="9"/>
      <c r="E39" s="11" t="s">
        <v>792</v>
      </c>
      <c r="F39" s="12" t="s">
        <v>796</v>
      </c>
      <c r="G39" s="13" t="s">
        <v>218</v>
      </c>
      <c r="H39" s="27"/>
      <c r="I39" s="27"/>
      <c r="L39" s="5">
        <v>38.58890294</v>
      </c>
      <c r="M39" s="5">
        <v>-81.99629028</v>
      </c>
      <c r="N39" s="7"/>
      <c r="O39" s="5">
        <v>0.0</v>
      </c>
      <c r="P39" s="5">
        <v>0.0</v>
      </c>
      <c r="Q39" s="5" t="s">
        <v>116</v>
      </c>
      <c r="R39" s="7"/>
      <c r="S39" s="7"/>
      <c r="T39" s="1">
        <v>2.0</v>
      </c>
    </row>
    <row r="40">
      <c r="C40" s="1">
        <v>1.0</v>
      </c>
      <c r="D40" s="9"/>
      <c r="E40" s="11" t="s">
        <v>797</v>
      </c>
      <c r="F40" s="12">
        <v>25413.0</v>
      </c>
      <c r="G40" s="13" t="s">
        <v>28</v>
      </c>
      <c r="H40" s="14">
        <v>39.30629463</v>
      </c>
      <c r="I40" s="14">
        <v>-78.0708272</v>
      </c>
      <c r="L40" s="5">
        <v>39.30629463</v>
      </c>
      <c r="M40" s="5">
        <v>-78.0708272</v>
      </c>
      <c r="N40" s="7"/>
      <c r="O40" s="5">
        <v>0.0</v>
      </c>
      <c r="P40" s="5">
        <v>0.0</v>
      </c>
      <c r="Q40" s="5" t="s">
        <v>116</v>
      </c>
      <c r="R40" s="7"/>
      <c r="S40" s="7"/>
      <c r="T40" s="1">
        <v>3.8</v>
      </c>
    </row>
    <row r="41">
      <c r="C41" s="1">
        <v>6.0</v>
      </c>
      <c r="D41" s="9"/>
      <c r="E41" s="11" t="s">
        <v>812</v>
      </c>
      <c r="F41" s="12" t="s">
        <v>813</v>
      </c>
      <c r="G41" s="13" t="s">
        <v>181</v>
      </c>
      <c r="H41" s="27"/>
      <c r="I41" s="27"/>
      <c r="L41" s="5">
        <v>39.33813913</v>
      </c>
      <c r="M41" s="5">
        <v>-78.91477853</v>
      </c>
      <c r="N41" s="7"/>
      <c r="O41" s="5">
        <v>1.0</v>
      </c>
      <c r="P41" s="5">
        <v>1.0</v>
      </c>
      <c r="Q41" s="5" t="s">
        <v>471</v>
      </c>
      <c r="R41" s="7"/>
      <c r="S41" s="7"/>
      <c r="T41" s="1">
        <v>6.5</v>
      </c>
    </row>
    <row r="42">
      <c r="C42" s="1">
        <v>10.0</v>
      </c>
      <c r="D42" s="9"/>
      <c r="E42" s="11" t="s">
        <v>818</v>
      </c>
      <c r="F42" s="12">
        <v>26335.0</v>
      </c>
      <c r="G42" s="13" t="s">
        <v>48</v>
      </c>
      <c r="H42" s="14">
        <v>38.8565159</v>
      </c>
      <c r="I42" s="14">
        <v>-80.65693054</v>
      </c>
      <c r="L42" s="5">
        <v>38.8565159</v>
      </c>
      <c r="M42" s="5">
        <v>-80.65693054</v>
      </c>
      <c r="N42" s="7"/>
      <c r="O42" s="5">
        <v>3.0</v>
      </c>
      <c r="P42" s="5">
        <v>0.0</v>
      </c>
      <c r="Q42" s="5" t="s">
        <v>116</v>
      </c>
      <c r="R42" s="7"/>
      <c r="S42" s="7"/>
      <c r="T42" s="1">
        <v>10.3</v>
      </c>
    </row>
    <row r="43">
      <c r="C43" s="1">
        <v>2.0</v>
      </c>
      <c r="D43" s="9"/>
      <c r="E43" s="11" t="s">
        <v>830</v>
      </c>
      <c r="F43" s="12" t="s">
        <v>835</v>
      </c>
      <c r="G43" s="13" t="s">
        <v>263</v>
      </c>
      <c r="H43" s="14">
        <v>39.67172109</v>
      </c>
      <c r="I43" s="14">
        <v>-80.44550585</v>
      </c>
      <c r="L43" s="5">
        <v>39.67172109</v>
      </c>
      <c r="M43" s="5">
        <v>-80.44550585</v>
      </c>
      <c r="N43" s="7"/>
      <c r="O43" s="5">
        <v>0.0</v>
      </c>
      <c r="P43" s="5">
        <v>0.0</v>
      </c>
      <c r="Q43" s="5" t="s">
        <v>116</v>
      </c>
      <c r="R43" s="7"/>
      <c r="S43" s="7"/>
      <c r="T43" s="1">
        <v>12.5</v>
      </c>
    </row>
    <row r="44">
      <c r="C44" s="1">
        <v>8.0</v>
      </c>
      <c r="D44" s="9"/>
      <c r="E44" s="11" t="s">
        <v>842</v>
      </c>
      <c r="F44" s="12" t="s">
        <v>852</v>
      </c>
      <c r="G44" s="13" t="s">
        <v>82</v>
      </c>
      <c r="H44" s="27"/>
      <c r="I44" s="27"/>
      <c r="L44" s="5">
        <v>37.77281033</v>
      </c>
      <c r="M44" s="5">
        <v>-80.35090918</v>
      </c>
      <c r="N44" s="7"/>
      <c r="O44" s="5">
        <v>2.0</v>
      </c>
      <c r="P44" s="5">
        <v>0.0</v>
      </c>
      <c r="Q44" s="5" t="s">
        <v>116</v>
      </c>
      <c r="R44" s="7"/>
      <c r="S44" s="7"/>
      <c r="T44" s="1">
        <v>4.2</v>
      </c>
    </row>
    <row r="45">
      <c r="C45" s="1">
        <v>2.0</v>
      </c>
      <c r="D45" s="9"/>
      <c r="E45" s="11" t="s">
        <v>858</v>
      </c>
      <c r="F45" s="12">
        <v>26033.0</v>
      </c>
      <c r="G45" s="13" t="s">
        <v>164</v>
      </c>
      <c r="H45" s="14">
        <v>39.82685014</v>
      </c>
      <c r="I45" s="14">
        <v>-80.56546509</v>
      </c>
      <c r="L45" s="5">
        <v>39.82685014</v>
      </c>
      <c r="M45" s="5">
        <v>-80.56546509</v>
      </c>
      <c r="N45" s="7"/>
      <c r="O45" s="5">
        <v>0.0</v>
      </c>
      <c r="P45" s="5">
        <v>0.0</v>
      </c>
      <c r="Q45" s="5" t="s">
        <v>116</v>
      </c>
      <c r="R45" s="7"/>
      <c r="S45" s="7"/>
      <c r="T45" s="1">
        <v>11.2</v>
      </c>
    </row>
    <row r="46">
      <c r="C46" s="1">
        <v>2.0</v>
      </c>
      <c r="D46" s="9"/>
      <c r="E46" s="11" t="s">
        <v>869</v>
      </c>
      <c r="F46" s="12" t="s">
        <v>874</v>
      </c>
      <c r="G46" s="13" t="s">
        <v>273</v>
      </c>
      <c r="H46" s="27"/>
      <c r="I46" s="27"/>
      <c r="L46" s="5">
        <v>39.30223215</v>
      </c>
      <c r="M46" s="5">
        <v>-78.44259919</v>
      </c>
      <c r="N46" s="7"/>
      <c r="O46" s="5">
        <v>0.0</v>
      </c>
      <c r="P46" s="5">
        <v>0.0</v>
      </c>
      <c r="Q46" s="5" t="s">
        <v>116</v>
      </c>
      <c r="R46" s="7"/>
      <c r="S46" s="7"/>
      <c r="T46" s="1">
        <v>14.1</v>
      </c>
    </row>
    <row r="47">
      <c r="C47" s="1">
        <v>2.0</v>
      </c>
      <c r="D47" s="9"/>
      <c r="E47" s="11" t="s">
        <v>878</v>
      </c>
      <c r="F47" s="12">
        <v>26527.0</v>
      </c>
      <c r="G47" s="13" t="s">
        <v>169</v>
      </c>
      <c r="H47" s="27"/>
      <c r="I47" s="27"/>
      <c r="L47" s="5">
        <v>39.66512451</v>
      </c>
      <c r="M47" s="5">
        <v>-80.06809999</v>
      </c>
      <c r="N47" s="7"/>
      <c r="O47" s="5">
        <v>0.0</v>
      </c>
      <c r="P47" s="5" t="s">
        <v>732</v>
      </c>
      <c r="Q47" s="5" t="s">
        <v>733</v>
      </c>
      <c r="R47" s="7"/>
      <c r="S47" s="7"/>
      <c r="T47" s="1">
        <v>3.5</v>
      </c>
    </row>
    <row r="48">
      <c r="C48" s="1">
        <v>10.0</v>
      </c>
      <c r="D48" s="9"/>
      <c r="E48" s="11" t="s">
        <v>884</v>
      </c>
      <c r="F48" s="12" t="s">
        <v>886</v>
      </c>
      <c r="G48" s="13" t="s">
        <v>153</v>
      </c>
      <c r="H48" s="14">
        <v>37.97661378</v>
      </c>
      <c r="I48" s="14">
        <v>-82.03757924</v>
      </c>
      <c r="L48" s="5">
        <v>37.97661378</v>
      </c>
      <c r="M48" s="5">
        <v>-82.03757924</v>
      </c>
      <c r="N48" s="7"/>
      <c r="O48" s="5">
        <v>3.0</v>
      </c>
      <c r="P48" s="5">
        <v>0.0</v>
      </c>
      <c r="Q48" s="5" t="s">
        <v>116</v>
      </c>
      <c r="R48" s="7"/>
      <c r="S48" s="7"/>
      <c r="T48" s="1">
        <v>1.2</v>
      </c>
    </row>
    <row r="49">
      <c r="C49" s="1">
        <v>4.0</v>
      </c>
      <c r="D49" s="9"/>
      <c r="E49" s="11" t="s">
        <v>890</v>
      </c>
      <c r="F49" s="12" t="s">
        <v>900</v>
      </c>
      <c r="G49" s="13" t="s">
        <v>123</v>
      </c>
      <c r="H49" s="14">
        <v>39.29663244</v>
      </c>
      <c r="I49" s="14">
        <v>-77.83255298</v>
      </c>
      <c r="L49" s="5">
        <v>39.29663244</v>
      </c>
      <c r="M49" s="5">
        <v>-77.83255298</v>
      </c>
      <c r="N49" s="7"/>
      <c r="O49" s="5">
        <v>1.0</v>
      </c>
      <c r="P49" s="5">
        <v>0.0</v>
      </c>
      <c r="Q49" s="5" t="s">
        <v>116</v>
      </c>
      <c r="R49" s="7"/>
      <c r="S49" s="7"/>
      <c r="T49" s="1">
        <v>0.2</v>
      </c>
    </row>
    <row r="50">
      <c r="C50" s="1">
        <v>4.0</v>
      </c>
      <c r="D50" s="9"/>
      <c r="E50" s="11" t="s">
        <v>905</v>
      </c>
      <c r="F50" s="12">
        <v>25414.0</v>
      </c>
      <c r="G50" s="13" t="s">
        <v>123</v>
      </c>
      <c r="H50" s="14">
        <v>39.27275191</v>
      </c>
      <c r="I50" s="14">
        <v>-77.84585142</v>
      </c>
      <c r="L50" s="5">
        <v>39.27275191</v>
      </c>
      <c r="M50" s="5">
        <v>-77.84585142</v>
      </c>
      <c r="N50" s="7"/>
      <c r="O50" s="5">
        <v>1.0</v>
      </c>
      <c r="P50" s="5">
        <v>0.0</v>
      </c>
      <c r="Q50" s="5" t="s">
        <v>116</v>
      </c>
      <c r="R50" s="7"/>
      <c r="S50" s="7"/>
      <c r="T50" s="1">
        <v>1.3</v>
      </c>
    </row>
    <row r="51">
      <c r="C51" s="1">
        <v>2.0</v>
      </c>
      <c r="D51" s="9"/>
      <c r="E51" s="11" t="s">
        <v>910</v>
      </c>
      <c r="F51" s="12" t="s">
        <v>922</v>
      </c>
      <c r="G51" s="13" t="s">
        <v>128</v>
      </c>
      <c r="H51" s="14">
        <v>38.317517</v>
      </c>
      <c r="I51" s="14">
        <v>-81.52037084</v>
      </c>
      <c r="L51" s="5">
        <v>38.317517</v>
      </c>
      <c r="M51" s="5">
        <v>-81.52037084</v>
      </c>
      <c r="N51" s="7"/>
      <c r="O51" s="5">
        <v>0.0</v>
      </c>
      <c r="P51" s="5">
        <v>0.0</v>
      </c>
      <c r="Q51" s="5" t="s">
        <v>116</v>
      </c>
      <c r="R51" s="7"/>
      <c r="S51" s="7"/>
      <c r="T51" s="1">
        <v>2.5</v>
      </c>
    </row>
    <row r="52">
      <c r="C52" s="1">
        <v>1.0</v>
      </c>
      <c r="D52" s="9"/>
      <c r="E52" s="11" t="s">
        <v>927</v>
      </c>
      <c r="F52" s="12" t="s">
        <v>928</v>
      </c>
      <c r="G52" s="13" t="s">
        <v>128</v>
      </c>
      <c r="H52" s="14">
        <v>38.34190815</v>
      </c>
      <c r="I52" s="14">
        <v>-81.61971927</v>
      </c>
      <c r="L52" s="5">
        <v>38.34190815</v>
      </c>
      <c r="M52" s="5">
        <v>-81.61971927</v>
      </c>
      <c r="N52" s="7"/>
      <c r="O52" s="5">
        <v>0.0</v>
      </c>
      <c r="P52" s="5">
        <v>0.0</v>
      </c>
      <c r="Q52" s="5" t="s">
        <v>116</v>
      </c>
      <c r="R52" s="7"/>
      <c r="S52" s="7"/>
      <c r="T52" s="1">
        <v>1.2</v>
      </c>
    </row>
    <row r="53">
      <c r="C53" s="1">
        <v>1.0</v>
      </c>
      <c r="D53" s="9"/>
      <c r="E53" s="11" t="s">
        <v>932</v>
      </c>
      <c r="F53" s="12" t="s">
        <v>936</v>
      </c>
      <c r="G53" s="13" t="s">
        <v>128</v>
      </c>
      <c r="H53" s="14">
        <v>38.42606353</v>
      </c>
      <c r="I53" s="14">
        <v>-81.78533365</v>
      </c>
      <c r="L53" s="5">
        <v>38.42606353</v>
      </c>
      <c r="M53" s="5">
        <v>-81.78533365</v>
      </c>
      <c r="N53" s="7"/>
      <c r="O53" s="5">
        <v>0.0</v>
      </c>
      <c r="P53" s="5">
        <v>0.0</v>
      </c>
      <c r="Q53" s="5" t="s">
        <v>116</v>
      </c>
      <c r="R53" s="7"/>
      <c r="S53" s="7"/>
      <c r="T53" s="1">
        <v>0.1</v>
      </c>
    </row>
    <row r="54">
      <c r="C54" s="1">
        <v>1.0</v>
      </c>
      <c r="D54" s="9"/>
      <c r="E54" s="11" t="s">
        <v>943</v>
      </c>
      <c r="F54" s="12">
        <v>25302.0</v>
      </c>
      <c r="G54" s="13" t="s">
        <v>128</v>
      </c>
      <c r="H54" s="14">
        <v>38.38537343</v>
      </c>
      <c r="I54" s="14">
        <v>-81.59361718</v>
      </c>
      <c r="L54" s="5">
        <v>38.38537343</v>
      </c>
      <c r="M54" s="5">
        <v>-81.59361718</v>
      </c>
      <c r="N54" s="7"/>
      <c r="O54" s="5">
        <v>0.0</v>
      </c>
      <c r="P54" s="5">
        <v>0.0</v>
      </c>
      <c r="Q54" s="5" t="s">
        <v>116</v>
      </c>
      <c r="R54" s="7"/>
      <c r="S54" s="7"/>
      <c r="T54" s="1">
        <v>2.5</v>
      </c>
    </row>
    <row r="55">
      <c r="C55" s="1">
        <v>2.0</v>
      </c>
      <c r="D55" s="9"/>
      <c r="E55" s="11" t="s">
        <v>953</v>
      </c>
      <c r="F55" s="12" t="s">
        <v>954</v>
      </c>
      <c r="G55" s="13" t="s">
        <v>128</v>
      </c>
      <c r="H55" s="14">
        <v>38.28870138</v>
      </c>
      <c r="I55" s="14">
        <v>-81.56139572</v>
      </c>
      <c r="L55" s="5">
        <v>38.28870138</v>
      </c>
      <c r="M55" s="5">
        <v>-81.56139572</v>
      </c>
      <c r="N55" s="7"/>
      <c r="O55" s="5">
        <v>0.0</v>
      </c>
      <c r="P55" s="5">
        <v>0.0</v>
      </c>
      <c r="Q55" s="5" t="s">
        <v>116</v>
      </c>
      <c r="R55" s="7"/>
      <c r="S55" s="7"/>
      <c r="T55" s="1">
        <v>1.6</v>
      </c>
    </row>
    <row r="56">
      <c r="C56" s="1">
        <v>1.0</v>
      </c>
      <c r="D56" s="9"/>
      <c r="E56" s="11" t="s">
        <v>964</v>
      </c>
      <c r="F56" s="12" t="s">
        <v>965</v>
      </c>
      <c r="G56" s="13" t="s">
        <v>128</v>
      </c>
      <c r="H56" s="14">
        <v>38.36436259</v>
      </c>
      <c r="I56" s="14">
        <v>-81.65067832</v>
      </c>
      <c r="L56" s="5">
        <v>38.36436259</v>
      </c>
      <c r="M56" s="5">
        <v>-81.65067832</v>
      </c>
      <c r="N56" s="7"/>
      <c r="O56" s="5">
        <v>0.0</v>
      </c>
      <c r="P56" s="5">
        <v>0.0</v>
      </c>
      <c r="Q56" s="5" t="s">
        <v>116</v>
      </c>
      <c r="R56" s="7"/>
      <c r="S56" s="7"/>
      <c r="T56" s="1">
        <v>0.3</v>
      </c>
    </row>
    <row r="57">
      <c r="C57" s="1">
        <v>1.0</v>
      </c>
      <c r="D57" s="9"/>
      <c r="E57" s="11" t="s">
        <v>972</v>
      </c>
      <c r="F57" s="12" t="s">
        <v>973</v>
      </c>
      <c r="G57" s="13" t="s">
        <v>128</v>
      </c>
      <c r="H57" s="14">
        <v>38.38945296</v>
      </c>
      <c r="I57" s="14">
        <v>-81.65823048</v>
      </c>
      <c r="L57" s="5">
        <v>38.38945296</v>
      </c>
      <c r="M57" s="5">
        <v>-81.65823048</v>
      </c>
      <c r="N57" s="7"/>
      <c r="O57" s="5">
        <v>0.0</v>
      </c>
      <c r="P57" s="5">
        <v>0.0</v>
      </c>
      <c r="Q57" s="5" t="s">
        <v>116</v>
      </c>
      <c r="R57" s="7"/>
      <c r="S57" s="7"/>
      <c r="T57" s="1">
        <v>2.0</v>
      </c>
    </row>
    <row r="58">
      <c r="C58" s="1">
        <v>1.0</v>
      </c>
      <c r="D58" s="9"/>
      <c r="E58" s="11" t="s">
        <v>983</v>
      </c>
      <c r="F58" s="12" t="s">
        <v>987</v>
      </c>
      <c r="G58" s="13" t="s">
        <v>128</v>
      </c>
      <c r="H58" s="14">
        <v>38.37350644</v>
      </c>
      <c r="I58" s="14">
        <v>-81.663761</v>
      </c>
      <c r="L58" s="5">
        <v>38.37350644</v>
      </c>
      <c r="M58" s="5">
        <v>-81.663761</v>
      </c>
      <c r="N58" s="7"/>
      <c r="O58" s="5">
        <v>0.0</v>
      </c>
      <c r="P58" s="5">
        <v>0.0</v>
      </c>
      <c r="Q58" s="5" t="s">
        <v>116</v>
      </c>
      <c r="R58" s="7"/>
      <c r="S58" s="7"/>
      <c r="T58" s="1">
        <v>1.3</v>
      </c>
    </row>
    <row r="59">
      <c r="C59" s="1">
        <v>2.0</v>
      </c>
      <c r="D59" s="9"/>
      <c r="E59" s="11" t="s">
        <v>996</v>
      </c>
      <c r="F59" s="12" t="s">
        <v>998</v>
      </c>
      <c r="G59" s="13" t="s">
        <v>128</v>
      </c>
      <c r="H59" s="14">
        <v>38.47272677</v>
      </c>
      <c r="I59" s="14">
        <v>-81.67107675</v>
      </c>
      <c r="L59" s="5">
        <v>38.47272677</v>
      </c>
      <c r="M59" s="5">
        <v>-81.67107675</v>
      </c>
      <c r="N59" s="7"/>
      <c r="O59" s="5">
        <v>0.0</v>
      </c>
      <c r="P59" s="5">
        <v>0.0</v>
      </c>
      <c r="Q59" s="5" t="s">
        <v>116</v>
      </c>
      <c r="R59" s="7"/>
      <c r="S59" s="7"/>
      <c r="T59" s="1">
        <v>0.3</v>
      </c>
    </row>
    <row r="60">
      <c r="C60" s="1">
        <v>1.0</v>
      </c>
      <c r="D60" s="9"/>
      <c r="E60" s="11" t="s">
        <v>1007</v>
      </c>
      <c r="F60" s="12" t="s">
        <v>1022</v>
      </c>
      <c r="G60" s="13" t="s">
        <v>128</v>
      </c>
      <c r="H60" s="14">
        <v>38.19520732</v>
      </c>
      <c r="I60" s="14">
        <v>-81.489955</v>
      </c>
      <c r="L60" s="5">
        <v>38.19520732</v>
      </c>
      <c r="M60" s="5">
        <v>-81.489955</v>
      </c>
      <c r="N60" s="7"/>
      <c r="O60" s="5">
        <v>0.0</v>
      </c>
      <c r="P60" s="5">
        <v>0.0</v>
      </c>
      <c r="Q60" s="5" t="s">
        <v>116</v>
      </c>
      <c r="R60" s="7"/>
      <c r="S60" s="7"/>
      <c r="T60" s="1">
        <v>1.0</v>
      </c>
    </row>
    <row r="61">
      <c r="C61" s="1">
        <v>1.0</v>
      </c>
      <c r="D61" s="9"/>
      <c r="E61" s="11" t="s">
        <v>1033</v>
      </c>
      <c r="F61" s="12" t="s">
        <v>1045</v>
      </c>
      <c r="G61" s="13" t="s">
        <v>128</v>
      </c>
      <c r="H61" s="14">
        <v>38.22267752</v>
      </c>
      <c r="I61" s="14">
        <v>-81.53511708</v>
      </c>
      <c r="L61" s="5">
        <v>38.22267752</v>
      </c>
      <c r="M61" s="5">
        <v>-81.53511708</v>
      </c>
      <c r="N61" s="7"/>
      <c r="O61" s="5">
        <v>0.0</v>
      </c>
      <c r="P61" s="5">
        <v>0.0</v>
      </c>
      <c r="Q61" s="5" t="s">
        <v>116</v>
      </c>
      <c r="R61" s="7"/>
      <c r="S61" s="7"/>
      <c r="T61" s="1">
        <v>1.8</v>
      </c>
    </row>
    <row r="62">
      <c r="C62" s="1">
        <v>4.0</v>
      </c>
      <c r="D62" s="9"/>
      <c r="E62" s="11" t="s">
        <v>1054</v>
      </c>
      <c r="F62" s="12" t="s">
        <v>1066</v>
      </c>
      <c r="G62" s="13" t="s">
        <v>921</v>
      </c>
      <c r="H62" s="14">
        <v>40.59858914</v>
      </c>
      <c r="I62" s="14">
        <v>-80.53857443</v>
      </c>
      <c r="L62" s="5">
        <v>40.59858914</v>
      </c>
      <c r="M62" s="5">
        <v>-80.53857443</v>
      </c>
      <c r="N62" s="7"/>
      <c r="O62" s="5">
        <v>1.0</v>
      </c>
      <c r="P62" s="5">
        <v>0.0</v>
      </c>
      <c r="Q62" s="5" t="s">
        <v>116</v>
      </c>
      <c r="R62" s="7"/>
      <c r="S62" s="7"/>
      <c r="T62" s="1">
        <v>2.0</v>
      </c>
    </row>
    <row r="63">
      <c r="C63" s="1">
        <v>4.0</v>
      </c>
      <c r="D63" s="9"/>
      <c r="E63" s="11" t="s">
        <v>1075</v>
      </c>
      <c r="F63" s="12" t="s">
        <v>1086</v>
      </c>
      <c r="G63" s="13" t="s">
        <v>101</v>
      </c>
      <c r="H63" s="27"/>
      <c r="I63" s="27"/>
      <c r="L63" s="5">
        <v>39.26636238</v>
      </c>
      <c r="M63" s="5">
        <v>-80.30894367</v>
      </c>
      <c r="N63" s="7"/>
      <c r="O63" s="5">
        <v>1.0</v>
      </c>
      <c r="P63" s="5">
        <v>0.0</v>
      </c>
      <c r="Q63" s="5" t="s">
        <v>116</v>
      </c>
      <c r="R63" s="7"/>
      <c r="S63" s="7"/>
      <c r="T63" s="1">
        <v>1.0</v>
      </c>
    </row>
    <row r="64">
      <c r="C64" s="1">
        <v>4.0</v>
      </c>
      <c r="D64" s="9"/>
      <c r="E64" s="11" t="s">
        <v>1095</v>
      </c>
      <c r="F64" s="12">
        <v>26301.0</v>
      </c>
      <c r="G64" s="13" t="s">
        <v>101</v>
      </c>
      <c r="H64" s="14">
        <v>39.26857087</v>
      </c>
      <c r="I64" s="14">
        <v>-80.35364846</v>
      </c>
      <c r="L64" s="5">
        <v>39.26857087</v>
      </c>
      <c r="M64" s="5">
        <v>-80.35364846</v>
      </c>
      <c r="N64" s="7"/>
      <c r="O64" s="5">
        <v>1.0</v>
      </c>
      <c r="P64" s="5">
        <v>0.0</v>
      </c>
      <c r="Q64" s="5" t="s">
        <v>116</v>
      </c>
      <c r="R64" s="7"/>
      <c r="S64" s="7"/>
      <c r="T64" s="1">
        <v>0.9</v>
      </c>
    </row>
    <row r="65">
      <c r="C65" s="1">
        <v>4.0</v>
      </c>
      <c r="D65" s="9"/>
      <c r="E65" s="11" t="s">
        <v>1104</v>
      </c>
      <c r="F65" s="12">
        <v>26301.0</v>
      </c>
      <c r="G65" s="13" t="s">
        <v>101</v>
      </c>
      <c r="H65" s="27"/>
      <c r="I65" s="27"/>
      <c r="L65" s="5">
        <v>39.268356</v>
      </c>
      <c r="M65" s="5">
        <v>-80.37305212</v>
      </c>
      <c r="N65" s="7"/>
      <c r="O65" s="5">
        <v>1.0</v>
      </c>
      <c r="P65" s="5">
        <v>0.0</v>
      </c>
      <c r="Q65" s="5" t="s">
        <v>116</v>
      </c>
      <c r="R65" s="7"/>
      <c r="S65" s="7"/>
      <c r="T65" s="1">
        <v>0.1</v>
      </c>
    </row>
    <row r="66">
      <c r="C66" s="1">
        <v>4.0</v>
      </c>
      <c r="D66" s="9"/>
      <c r="E66" s="11" t="s">
        <v>1112</v>
      </c>
      <c r="F66" s="12" t="s">
        <v>1113</v>
      </c>
      <c r="G66" s="13" t="s">
        <v>101</v>
      </c>
      <c r="H66" s="14">
        <v>39.28093442</v>
      </c>
      <c r="I66" s="14">
        <v>-80.35147292</v>
      </c>
      <c r="L66" s="5">
        <v>39.28093442</v>
      </c>
      <c r="M66" s="5">
        <v>-80.35147292</v>
      </c>
      <c r="N66" s="7"/>
      <c r="O66" s="5">
        <v>1.0</v>
      </c>
      <c r="P66" s="5">
        <v>0.0</v>
      </c>
      <c r="Q66" s="5" t="s">
        <v>116</v>
      </c>
      <c r="R66" s="7"/>
      <c r="S66" s="7"/>
      <c r="T66" s="1">
        <v>0.9</v>
      </c>
    </row>
    <row r="67">
      <c r="C67" s="1">
        <v>4.0</v>
      </c>
      <c r="D67" s="9"/>
      <c r="E67" s="11" t="s">
        <v>1118</v>
      </c>
      <c r="F67" s="12">
        <v>26301.0</v>
      </c>
      <c r="G67" s="13" t="s">
        <v>101</v>
      </c>
      <c r="H67" s="14">
        <v>39.290145</v>
      </c>
      <c r="I67" s="14">
        <v>-80.39185071</v>
      </c>
      <c r="L67" s="5">
        <v>39.290145</v>
      </c>
      <c r="M67" s="5">
        <v>-80.39185071</v>
      </c>
      <c r="N67" s="7"/>
      <c r="O67" s="5">
        <v>1.0</v>
      </c>
      <c r="P67" s="5">
        <v>0.0</v>
      </c>
      <c r="Q67" s="5" t="s">
        <v>116</v>
      </c>
      <c r="R67" s="7"/>
      <c r="S67" s="7"/>
      <c r="T67" s="1">
        <v>1.7</v>
      </c>
    </row>
    <row r="68">
      <c r="C68" s="1">
        <v>4.0</v>
      </c>
      <c r="D68" s="9"/>
      <c r="E68" s="11" t="s">
        <v>1125</v>
      </c>
      <c r="F68" s="12" t="s">
        <v>1126</v>
      </c>
      <c r="G68" s="13" t="s">
        <v>101</v>
      </c>
      <c r="H68" s="27"/>
      <c r="I68" s="27"/>
      <c r="L68" s="5">
        <v>39.305968</v>
      </c>
      <c r="M68" s="5">
        <v>-80.35358401</v>
      </c>
      <c r="N68" s="7"/>
      <c r="O68" s="5">
        <v>1.0</v>
      </c>
      <c r="P68" s="5">
        <v>0.0</v>
      </c>
      <c r="Q68" s="5" t="s">
        <v>116</v>
      </c>
      <c r="R68" s="7"/>
      <c r="S68" s="7"/>
      <c r="T68" s="1">
        <v>1.0</v>
      </c>
    </row>
    <row r="69">
      <c r="C69" s="1">
        <v>10.0</v>
      </c>
      <c r="D69" s="9"/>
      <c r="E69" s="11" t="s">
        <v>1127</v>
      </c>
      <c r="F69" s="12" t="s">
        <v>1128</v>
      </c>
      <c r="G69" s="13" t="s">
        <v>906</v>
      </c>
      <c r="H69" s="14">
        <v>38.46036969</v>
      </c>
      <c r="I69" s="14">
        <v>-81.08475337</v>
      </c>
      <c r="L69" s="5">
        <v>38.46036969</v>
      </c>
      <c r="M69" s="5">
        <v>-81.08475337</v>
      </c>
      <c r="N69" s="7"/>
      <c r="O69" s="5">
        <v>3.0</v>
      </c>
      <c r="P69" s="5">
        <v>0.0</v>
      </c>
      <c r="Q69" s="5" t="s">
        <v>116</v>
      </c>
      <c r="R69" s="7"/>
      <c r="S69" s="7"/>
      <c r="T69" s="1">
        <v>13.5</v>
      </c>
    </row>
    <row r="70">
      <c r="C70" s="1">
        <v>2.0</v>
      </c>
      <c r="D70" s="9"/>
      <c r="E70" s="11" t="s">
        <v>1129</v>
      </c>
      <c r="F70" s="12" t="s">
        <v>1132</v>
      </c>
      <c r="G70" s="13" t="s">
        <v>128</v>
      </c>
      <c r="H70" s="14">
        <v>38.48825057</v>
      </c>
      <c r="I70" s="14">
        <v>-81.34981275</v>
      </c>
      <c r="L70" s="5">
        <v>38.48825057</v>
      </c>
      <c r="M70" s="5">
        <v>-81.34981275</v>
      </c>
      <c r="N70" s="7"/>
      <c r="O70" s="5">
        <v>0.0</v>
      </c>
      <c r="P70" s="5">
        <v>0.0</v>
      </c>
      <c r="Q70" s="5" t="s">
        <v>116</v>
      </c>
      <c r="R70" s="7"/>
      <c r="S70" s="7"/>
      <c r="T70" s="1">
        <v>0.2</v>
      </c>
    </row>
    <row r="71">
      <c r="C71" s="1">
        <v>2.0</v>
      </c>
      <c r="D71" s="9"/>
      <c r="E71" s="11" t="s">
        <v>1134</v>
      </c>
      <c r="F71" s="12" t="s">
        <v>1136</v>
      </c>
      <c r="G71" s="13" t="s">
        <v>225</v>
      </c>
      <c r="H71" s="14">
        <v>37.68326735</v>
      </c>
      <c r="I71" s="14">
        <v>-81.21065041</v>
      </c>
      <c r="L71" s="5">
        <v>37.68326735</v>
      </c>
      <c r="M71" s="5">
        <v>-81.21065041</v>
      </c>
      <c r="N71" s="7"/>
      <c r="O71" s="5">
        <v>0.0</v>
      </c>
      <c r="P71" s="5">
        <v>0.0</v>
      </c>
      <c r="Q71" s="5" t="s">
        <v>116</v>
      </c>
      <c r="R71" s="7"/>
      <c r="S71" s="7"/>
      <c r="T71" s="1">
        <v>3.4</v>
      </c>
    </row>
    <row r="72">
      <c r="C72" s="1">
        <v>2.0</v>
      </c>
      <c r="D72" s="9"/>
      <c r="E72" s="11" t="s">
        <v>1137</v>
      </c>
      <c r="F72" s="12" t="s">
        <v>1140</v>
      </c>
      <c r="G72" s="13" t="s">
        <v>225</v>
      </c>
      <c r="H72" s="14">
        <v>37.65805994</v>
      </c>
      <c r="I72" s="14">
        <v>-81.0957474</v>
      </c>
      <c r="L72" s="5">
        <v>37.65805994</v>
      </c>
      <c r="M72" s="5">
        <v>-81.0957474</v>
      </c>
      <c r="N72" s="7"/>
      <c r="O72" s="5">
        <v>0.0</v>
      </c>
      <c r="P72" s="5">
        <v>0.0</v>
      </c>
      <c r="Q72" s="5" t="s">
        <v>116</v>
      </c>
      <c r="R72" s="7"/>
      <c r="S72" s="7"/>
      <c r="T72" s="1">
        <v>4.9</v>
      </c>
    </row>
    <row r="73">
      <c r="C73" s="1">
        <v>10.0</v>
      </c>
      <c r="D73" s="9"/>
      <c r="E73" s="11" t="s">
        <v>1141</v>
      </c>
      <c r="F73" s="12">
        <v>26206.0</v>
      </c>
      <c r="G73" s="13" t="s">
        <v>1034</v>
      </c>
      <c r="H73" s="14">
        <v>38.40682168</v>
      </c>
      <c r="I73" s="14">
        <v>-80.56024685</v>
      </c>
      <c r="L73" s="5">
        <v>38.40682168</v>
      </c>
      <c r="M73" s="5">
        <v>-80.56024685</v>
      </c>
      <c r="N73" s="7"/>
      <c r="O73" s="5">
        <v>3.0</v>
      </c>
      <c r="P73" s="5">
        <v>0.0</v>
      </c>
      <c r="Q73" s="5" t="s">
        <v>116</v>
      </c>
      <c r="R73" s="7"/>
      <c r="S73" s="7"/>
      <c r="T73" s="1">
        <v>0.2</v>
      </c>
    </row>
    <row r="74">
      <c r="C74" s="1">
        <v>10.0</v>
      </c>
      <c r="D74" s="9"/>
      <c r="E74" s="11" t="s">
        <v>1144</v>
      </c>
      <c r="F74" s="12">
        <v>26205.0</v>
      </c>
      <c r="G74" s="13" t="s">
        <v>198</v>
      </c>
      <c r="H74" s="27"/>
      <c r="I74" s="27"/>
      <c r="L74" s="5">
        <v>38.33553402</v>
      </c>
      <c r="M74" s="5">
        <v>-80.63742306</v>
      </c>
      <c r="N74" s="7"/>
      <c r="O74" s="5">
        <v>3.0</v>
      </c>
      <c r="P74" s="5">
        <v>0.0</v>
      </c>
      <c r="Q74" s="5" t="s">
        <v>116</v>
      </c>
      <c r="R74" s="7"/>
      <c r="S74" s="7"/>
      <c r="T74" s="1">
        <v>0.1</v>
      </c>
    </row>
    <row r="75">
      <c r="C75" s="1">
        <v>10.0</v>
      </c>
      <c r="D75" s="9"/>
      <c r="E75" s="11" t="s">
        <v>1165</v>
      </c>
      <c r="F75" s="12" t="s">
        <v>1166</v>
      </c>
      <c r="G75" s="13" t="s">
        <v>198</v>
      </c>
      <c r="H75" s="27"/>
      <c r="I75" s="27"/>
      <c r="L75" s="5">
        <v>38.33447035</v>
      </c>
      <c r="M75" s="5">
        <v>-80.63837107</v>
      </c>
      <c r="N75" s="7"/>
      <c r="O75" s="5">
        <v>3.0</v>
      </c>
      <c r="P75" s="5">
        <v>0.0</v>
      </c>
      <c r="Q75" s="5" t="s">
        <v>116</v>
      </c>
      <c r="R75" s="7"/>
      <c r="S75" s="7"/>
      <c r="T75" s="1">
        <v>0.0</v>
      </c>
    </row>
    <row r="76">
      <c r="C76" s="1">
        <v>1.0</v>
      </c>
      <c r="D76" s="9"/>
      <c r="E76" s="11" t="s">
        <v>1169</v>
      </c>
      <c r="F76" s="12" t="s">
        <v>1172</v>
      </c>
      <c r="G76" s="13" t="s">
        <v>59</v>
      </c>
      <c r="H76" s="27"/>
      <c r="I76" s="27"/>
      <c r="L76" s="5">
        <v>38.41901999</v>
      </c>
      <c r="M76" s="5">
        <v>-82.07697497</v>
      </c>
      <c r="N76" s="7"/>
      <c r="O76" s="5">
        <v>0.0</v>
      </c>
      <c r="P76" s="5">
        <v>0.0</v>
      </c>
      <c r="Q76" s="5" t="s">
        <v>116</v>
      </c>
      <c r="R76" s="7"/>
      <c r="S76" s="7"/>
      <c r="T76" s="1">
        <v>3.1</v>
      </c>
    </row>
    <row r="77">
      <c r="C77" s="1">
        <v>10.0</v>
      </c>
      <c r="D77" s="9"/>
      <c r="E77" s="11" t="s">
        <v>1174</v>
      </c>
      <c r="F77" s="12" t="s">
        <v>1176</v>
      </c>
      <c r="G77" s="13" t="s">
        <v>74</v>
      </c>
      <c r="H77" s="27"/>
      <c r="I77" s="27"/>
      <c r="L77" s="5">
        <v>37.92966122</v>
      </c>
      <c r="M77" s="5">
        <v>-80.90323712</v>
      </c>
      <c r="N77" s="7"/>
      <c r="O77" s="5">
        <v>3.0</v>
      </c>
      <c r="P77" s="5">
        <v>0.0</v>
      </c>
      <c r="Q77" s="5" t="s">
        <v>116</v>
      </c>
      <c r="R77" s="7"/>
      <c r="S77" s="7"/>
      <c r="T77" s="1">
        <v>7.4</v>
      </c>
    </row>
    <row r="78">
      <c r="C78" s="1">
        <v>1.0</v>
      </c>
      <c r="D78" s="9"/>
      <c r="E78" s="11" t="s">
        <v>1177</v>
      </c>
      <c r="F78" s="12" t="s">
        <v>1178</v>
      </c>
      <c r="G78" s="13" t="s">
        <v>225</v>
      </c>
      <c r="H78" s="14">
        <v>37.74075398</v>
      </c>
      <c r="I78" s="14">
        <v>-81.11700125</v>
      </c>
      <c r="L78" s="5">
        <v>37.74075398</v>
      </c>
      <c r="M78" s="5">
        <v>-81.11700125</v>
      </c>
      <c r="N78" s="7"/>
      <c r="O78" s="5">
        <v>0.0</v>
      </c>
      <c r="P78" s="5">
        <v>0.0</v>
      </c>
      <c r="Q78" s="5" t="s">
        <v>116</v>
      </c>
      <c r="R78" s="7"/>
      <c r="S78" s="7"/>
      <c r="T78" s="1">
        <v>0.8</v>
      </c>
    </row>
    <row r="79">
      <c r="C79" s="1">
        <v>10.0</v>
      </c>
      <c r="D79" s="9"/>
      <c r="E79" s="11" t="s">
        <v>1181</v>
      </c>
      <c r="F79" s="12" t="s">
        <v>1183</v>
      </c>
      <c r="G79" s="13" t="s">
        <v>288</v>
      </c>
      <c r="H79" s="14">
        <v>37.99443095</v>
      </c>
      <c r="I79" s="14">
        <v>-81.81397016</v>
      </c>
      <c r="L79" s="5">
        <v>37.99443095</v>
      </c>
      <c r="M79" s="5">
        <v>-81.81397016</v>
      </c>
      <c r="N79" s="7"/>
      <c r="O79" s="5">
        <v>3.0</v>
      </c>
      <c r="P79" s="5">
        <v>0.0</v>
      </c>
      <c r="Q79" s="5" t="s">
        <v>116</v>
      </c>
      <c r="R79" s="7"/>
      <c r="S79" s="7"/>
      <c r="T79" s="1">
        <v>4.3</v>
      </c>
    </row>
    <row r="80">
      <c r="C80" s="1">
        <v>10.0</v>
      </c>
      <c r="D80" s="9"/>
      <c r="E80" s="11" t="s">
        <v>1185</v>
      </c>
      <c r="F80" s="12" t="s">
        <v>1189</v>
      </c>
      <c r="G80" s="13" t="s">
        <v>839</v>
      </c>
      <c r="H80" s="27"/>
      <c r="I80" s="27"/>
      <c r="L80" s="5">
        <v>39.1291746</v>
      </c>
      <c r="M80" s="5">
        <v>-79.46176183</v>
      </c>
      <c r="N80" s="7"/>
      <c r="O80" s="5">
        <v>3.0</v>
      </c>
      <c r="P80" s="5">
        <v>4.0</v>
      </c>
      <c r="Q80" s="5" t="s">
        <v>1190</v>
      </c>
      <c r="R80" s="7"/>
      <c r="S80" s="7"/>
      <c r="T80" s="1">
        <v>0.0</v>
      </c>
    </row>
    <row r="81">
      <c r="C81" s="1">
        <v>10.0</v>
      </c>
      <c r="D81" s="9"/>
      <c r="E81" s="11" t="s">
        <v>1191</v>
      </c>
      <c r="F81" s="12">
        <v>25670.0</v>
      </c>
      <c r="G81" s="13" t="s">
        <v>978</v>
      </c>
      <c r="H81" s="27"/>
      <c r="I81" s="27"/>
      <c r="L81" s="5">
        <v>37.712417</v>
      </c>
      <c r="M81" s="5">
        <v>-82.18525197</v>
      </c>
      <c r="N81" s="7"/>
      <c r="O81" s="5">
        <v>3.0</v>
      </c>
      <c r="P81" s="5">
        <v>4.0</v>
      </c>
      <c r="Q81" s="5" t="s">
        <v>1190</v>
      </c>
      <c r="R81" s="7"/>
      <c r="S81" s="7"/>
      <c r="T81" s="1">
        <v>5.9</v>
      </c>
    </row>
    <row r="82">
      <c r="C82" s="1">
        <v>10.0</v>
      </c>
      <c r="D82" s="9"/>
      <c r="E82" s="11" t="s">
        <v>1193</v>
      </c>
      <c r="F82" s="12">
        <v>25670.0</v>
      </c>
      <c r="G82" s="13" t="s">
        <v>978</v>
      </c>
      <c r="H82" s="27"/>
      <c r="I82" s="27"/>
      <c r="L82" s="5">
        <v>37.66934475</v>
      </c>
      <c r="M82" s="5">
        <v>-82.12124734</v>
      </c>
      <c r="N82" s="7"/>
      <c r="O82" s="5">
        <v>3.0</v>
      </c>
      <c r="P82" s="5">
        <v>4.0</v>
      </c>
      <c r="Q82" s="5" t="s">
        <v>1190</v>
      </c>
      <c r="R82" s="7"/>
      <c r="S82" s="7"/>
      <c r="T82" s="1">
        <v>4.2</v>
      </c>
    </row>
    <row r="83">
      <c r="C83" s="1">
        <v>10.0</v>
      </c>
      <c r="D83" s="9"/>
      <c r="E83" s="11" t="s">
        <v>1194</v>
      </c>
      <c r="F83" s="12" t="s">
        <v>1198</v>
      </c>
      <c r="G83" s="13" t="s">
        <v>198</v>
      </c>
      <c r="H83" s="27"/>
      <c r="I83" s="27"/>
      <c r="L83" s="5">
        <v>38.24463482</v>
      </c>
      <c r="M83" s="5">
        <v>-81.19327015</v>
      </c>
      <c r="N83" s="7"/>
      <c r="O83" s="5">
        <v>3.0</v>
      </c>
      <c r="P83" s="5">
        <v>0.0</v>
      </c>
      <c r="Q83" s="5" t="s">
        <v>116</v>
      </c>
      <c r="R83" s="7"/>
      <c r="S83" s="7"/>
      <c r="T83" s="1">
        <v>7.9</v>
      </c>
    </row>
    <row r="84">
      <c r="C84" s="1">
        <v>1.0</v>
      </c>
      <c r="D84" s="9"/>
      <c r="E84" s="11" t="s">
        <v>1199</v>
      </c>
      <c r="F84" s="12" t="s">
        <v>1200</v>
      </c>
      <c r="G84" s="13" t="s">
        <v>128</v>
      </c>
      <c r="H84" s="14">
        <v>38.3608822</v>
      </c>
      <c r="I84" s="14">
        <v>-81.74342202</v>
      </c>
      <c r="L84" s="5">
        <v>38.3608822</v>
      </c>
      <c r="M84" s="5">
        <v>-81.74342202</v>
      </c>
      <c r="N84" s="7"/>
      <c r="O84" s="5">
        <v>0.0</v>
      </c>
      <c r="P84" s="5">
        <v>0.0</v>
      </c>
      <c r="Q84" s="5" t="s">
        <v>116</v>
      </c>
      <c r="R84" s="7"/>
      <c r="S84" s="7"/>
      <c r="T84" s="1">
        <v>0.3</v>
      </c>
    </row>
    <row r="85">
      <c r="C85" s="1">
        <v>2.0</v>
      </c>
      <c r="D85" s="9"/>
      <c r="E85" s="11" t="s">
        <v>1202</v>
      </c>
      <c r="F85" s="12" t="s">
        <v>1203</v>
      </c>
      <c r="G85" s="13" t="s">
        <v>128</v>
      </c>
      <c r="H85" s="14">
        <v>38.21644894</v>
      </c>
      <c r="I85" s="14">
        <v>-81.44113834</v>
      </c>
      <c r="L85" s="5">
        <v>38.21644894</v>
      </c>
      <c r="M85" s="5">
        <v>-81.44113834</v>
      </c>
      <c r="N85" s="7"/>
      <c r="O85" s="5">
        <v>0.0</v>
      </c>
      <c r="P85" s="5">
        <v>0.0</v>
      </c>
      <c r="Q85" s="5" t="s">
        <v>116</v>
      </c>
      <c r="R85" s="7"/>
      <c r="S85" s="7"/>
      <c r="T85" s="1">
        <v>0.9</v>
      </c>
    </row>
    <row r="86">
      <c r="C86" s="1">
        <v>2.0</v>
      </c>
      <c r="D86" s="9"/>
      <c r="E86" s="11" t="s">
        <v>1204</v>
      </c>
      <c r="F86" s="12">
        <v>25070.0</v>
      </c>
      <c r="G86" s="13" t="s">
        <v>218</v>
      </c>
      <c r="H86" s="14">
        <v>38.53393543</v>
      </c>
      <c r="I86" s="14">
        <v>-81.92276989</v>
      </c>
      <c r="L86" s="5">
        <v>38.53393543</v>
      </c>
      <c r="M86" s="5">
        <v>-81.92276989</v>
      </c>
      <c r="N86" s="7"/>
      <c r="O86" s="5">
        <v>0.0</v>
      </c>
      <c r="P86" s="5">
        <v>0.0</v>
      </c>
      <c r="Q86" s="5" t="s">
        <v>116</v>
      </c>
      <c r="R86" s="7"/>
      <c r="S86" s="7"/>
      <c r="T86" s="1">
        <v>0.2</v>
      </c>
    </row>
    <row r="87">
      <c r="C87" s="1">
        <v>2.0</v>
      </c>
      <c r="D87" s="9"/>
      <c r="E87" s="11" t="s">
        <v>1208</v>
      </c>
      <c r="F87" s="12" t="s">
        <v>1210</v>
      </c>
      <c r="G87" s="13" t="s">
        <v>1043</v>
      </c>
      <c r="H87" s="27"/>
      <c r="I87" s="27"/>
      <c r="L87" s="5">
        <v>39.05745947</v>
      </c>
      <c r="M87" s="5">
        <v>-81.39682099</v>
      </c>
      <c r="N87" s="7"/>
      <c r="O87" s="5">
        <v>0.0</v>
      </c>
      <c r="P87" s="5">
        <v>0.0</v>
      </c>
      <c r="Q87" s="5" t="s">
        <v>116</v>
      </c>
      <c r="R87" s="7"/>
      <c r="S87" s="7"/>
      <c r="T87" s="1">
        <v>0.7</v>
      </c>
    </row>
    <row r="88">
      <c r="C88" s="1">
        <v>4.0</v>
      </c>
      <c r="D88" s="9"/>
      <c r="E88" s="11" t="s">
        <v>1213</v>
      </c>
      <c r="F88" s="12" t="s">
        <v>1214</v>
      </c>
      <c r="G88" s="13" t="s">
        <v>236</v>
      </c>
      <c r="H88" s="14">
        <v>38.93111861</v>
      </c>
      <c r="I88" s="14">
        <v>-79.86280306</v>
      </c>
      <c r="L88" s="5">
        <v>38.93111861</v>
      </c>
      <c r="M88" s="5">
        <v>-79.86280306</v>
      </c>
      <c r="N88" s="7"/>
      <c r="O88" s="5">
        <v>1.0</v>
      </c>
      <c r="P88" s="5">
        <v>2.0</v>
      </c>
      <c r="Q88" s="5" t="s">
        <v>619</v>
      </c>
      <c r="R88" s="7"/>
      <c r="S88" s="7"/>
      <c r="T88" s="1">
        <v>0.4</v>
      </c>
    </row>
    <row r="89">
      <c r="C89" s="1">
        <v>4.0</v>
      </c>
      <c r="D89" s="9"/>
      <c r="E89" s="11" t="s">
        <v>1215</v>
      </c>
      <c r="F89" s="12" t="s">
        <v>1216</v>
      </c>
      <c r="G89" s="13" t="s">
        <v>236</v>
      </c>
      <c r="H89" s="14">
        <v>38.92525661</v>
      </c>
      <c r="I89" s="14">
        <v>-79.84964839</v>
      </c>
      <c r="L89" s="5">
        <v>38.92525661</v>
      </c>
      <c r="M89" s="5">
        <v>-79.84964839</v>
      </c>
      <c r="N89" s="7"/>
      <c r="O89" s="5">
        <v>1.0</v>
      </c>
      <c r="P89" s="5">
        <v>2.0</v>
      </c>
      <c r="Q89" s="5" t="s">
        <v>619</v>
      </c>
      <c r="R89" s="7"/>
      <c r="S89" s="7"/>
      <c r="T89" s="1">
        <v>0.1</v>
      </c>
    </row>
    <row r="90">
      <c r="C90" s="1">
        <v>1.0</v>
      </c>
      <c r="D90" s="9"/>
      <c r="E90" s="11" t="s">
        <v>1219</v>
      </c>
      <c r="F90" s="12" t="s">
        <v>1220</v>
      </c>
      <c r="G90" s="13" t="s">
        <v>128</v>
      </c>
      <c r="H90" s="14">
        <v>38.4090594</v>
      </c>
      <c r="I90" s="14">
        <v>-81.51493288</v>
      </c>
      <c r="L90" s="5">
        <v>38.4090594</v>
      </c>
      <c r="M90" s="5">
        <v>-81.51493288</v>
      </c>
      <c r="N90" s="7"/>
      <c r="O90" s="5">
        <v>0.0</v>
      </c>
      <c r="P90" s="5">
        <v>0.0</v>
      </c>
      <c r="Q90" s="5" t="s">
        <v>116</v>
      </c>
      <c r="R90" s="7"/>
      <c r="S90" s="7"/>
      <c r="T90" s="1">
        <v>1.4</v>
      </c>
    </row>
    <row r="91">
      <c r="C91" s="1">
        <v>1.0</v>
      </c>
      <c r="D91" s="9"/>
      <c r="E91" s="11" t="s">
        <v>1221</v>
      </c>
      <c r="F91" s="12">
        <v>25071.0</v>
      </c>
      <c r="G91" s="13" t="s">
        <v>128</v>
      </c>
      <c r="H91" s="27"/>
      <c r="I91" s="27"/>
      <c r="L91" s="5">
        <v>38.40150206</v>
      </c>
      <c r="M91" s="5">
        <v>-81.48289048</v>
      </c>
      <c r="N91" s="7"/>
      <c r="O91" s="5">
        <v>0.0</v>
      </c>
      <c r="P91" s="5">
        <v>0.0</v>
      </c>
      <c r="Q91" s="5" t="s">
        <v>116</v>
      </c>
      <c r="R91" s="7"/>
      <c r="S91" s="7"/>
      <c r="T91" s="1">
        <v>2.7</v>
      </c>
    </row>
    <row r="92">
      <c r="C92" s="1">
        <v>8.0</v>
      </c>
      <c r="D92" s="9"/>
      <c r="E92" s="11" t="s">
        <v>1222</v>
      </c>
      <c r="F92" s="12">
        <v>26568.0</v>
      </c>
      <c r="G92" s="13" t="s">
        <v>101</v>
      </c>
      <c r="H92" s="14">
        <v>39.42485</v>
      </c>
      <c r="I92" s="14">
        <v>-80.27789284</v>
      </c>
      <c r="L92" s="5">
        <v>39.42485</v>
      </c>
      <c r="M92" s="5">
        <v>-80.27789284</v>
      </c>
      <c r="N92" s="7"/>
      <c r="O92" s="5">
        <v>2.0</v>
      </c>
      <c r="P92" s="5">
        <v>0.0</v>
      </c>
      <c r="Q92" s="5" t="s">
        <v>116</v>
      </c>
      <c r="R92" s="7"/>
      <c r="S92" s="7"/>
      <c r="T92" s="1">
        <v>2.8</v>
      </c>
    </row>
    <row r="93">
      <c r="C93" s="1">
        <v>4.0</v>
      </c>
      <c r="D93" s="9"/>
      <c r="E93" s="11" t="s">
        <v>1226</v>
      </c>
      <c r="F93" s="12" t="s">
        <v>1227</v>
      </c>
      <c r="G93" s="13" t="s">
        <v>159</v>
      </c>
      <c r="H93" s="14">
        <v>39.47828073</v>
      </c>
      <c r="I93" s="14">
        <v>-80.1204214</v>
      </c>
      <c r="L93" s="5">
        <v>39.47828073</v>
      </c>
      <c r="M93" s="5">
        <v>-80.1204214</v>
      </c>
      <c r="N93" s="7"/>
      <c r="O93" s="5">
        <v>1.0</v>
      </c>
      <c r="P93" s="5">
        <v>0.0</v>
      </c>
      <c r="Q93" s="5" t="s">
        <v>116</v>
      </c>
      <c r="R93" s="7"/>
      <c r="S93" s="7"/>
      <c r="T93" s="1">
        <v>0.0</v>
      </c>
    </row>
    <row r="94">
      <c r="C94" s="1">
        <v>4.0</v>
      </c>
      <c r="D94" s="9"/>
      <c r="E94" s="11" t="s">
        <v>1228</v>
      </c>
      <c r="F94" s="12" t="s">
        <v>1229</v>
      </c>
      <c r="G94" s="13" t="s">
        <v>159</v>
      </c>
      <c r="H94" s="14">
        <v>39.47149474</v>
      </c>
      <c r="I94" s="14">
        <v>-80.17066753</v>
      </c>
      <c r="L94" s="5">
        <v>39.47149474</v>
      </c>
      <c r="M94" s="5">
        <v>-80.17066753</v>
      </c>
      <c r="N94" s="7"/>
      <c r="O94" s="5">
        <v>1.0</v>
      </c>
      <c r="P94" s="5">
        <v>0.0</v>
      </c>
      <c r="Q94" s="5" t="s">
        <v>116</v>
      </c>
      <c r="R94" s="7"/>
      <c r="S94" s="7"/>
      <c r="T94" s="1">
        <v>0.3</v>
      </c>
    </row>
    <row r="95">
      <c r="C95" s="1">
        <v>4.0</v>
      </c>
      <c r="D95" s="9"/>
      <c r="E95" s="11" t="s">
        <v>1232</v>
      </c>
      <c r="F95" s="12" t="s">
        <v>1233</v>
      </c>
      <c r="G95" s="13" t="s">
        <v>159</v>
      </c>
      <c r="H95" s="14">
        <v>39.4844261</v>
      </c>
      <c r="I95" s="14">
        <v>-80.14360507</v>
      </c>
      <c r="L95" s="5">
        <v>39.4844261</v>
      </c>
      <c r="M95" s="5">
        <v>-80.14360507</v>
      </c>
      <c r="N95" s="7"/>
      <c r="O95" s="5">
        <v>1.0</v>
      </c>
      <c r="P95" s="5">
        <v>0.0</v>
      </c>
      <c r="Q95" s="5" t="s">
        <v>116</v>
      </c>
      <c r="R95" s="7"/>
      <c r="S95" s="7"/>
      <c r="T95" s="1">
        <v>1.0</v>
      </c>
    </row>
    <row r="96">
      <c r="C96" s="1">
        <v>1.0</v>
      </c>
      <c r="D96" s="9"/>
      <c r="E96" s="11" t="s">
        <v>1234</v>
      </c>
      <c r="F96" s="12">
        <v>25419.0</v>
      </c>
      <c r="G96" s="13" t="s">
        <v>28</v>
      </c>
      <c r="H96" s="27"/>
      <c r="I96" s="27"/>
      <c r="L96" s="5">
        <v>39.57589098</v>
      </c>
      <c r="M96" s="5">
        <v>-77.87925457</v>
      </c>
      <c r="N96" s="7"/>
      <c r="O96" s="5">
        <v>0.0</v>
      </c>
      <c r="P96" s="5">
        <v>0.0</v>
      </c>
      <c r="Q96" s="5" t="s">
        <v>116</v>
      </c>
      <c r="R96" s="7"/>
      <c r="S96" s="7"/>
      <c r="T96" s="1">
        <v>0.2</v>
      </c>
    </row>
    <row r="97">
      <c r="C97" s="1">
        <v>1.0</v>
      </c>
      <c r="D97" s="9"/>
      <c r="E97" s="11" t="s">
        <v>1236</v>
      </c>
      <c r="F97" s="12">
        <v>25840.0</v>
      </c>
      <c r="G97" s="13" t="s">
        <v>74</v>
      </c>
      <c r="H97" s="14">
        <v>38.05242444</v>
      </c>
      <c r="I97" s="14">
        <v>-81.10940125</v>
      </c>
      <c r="L97" s="5">
        <v>38.05242444</v>
      </c>
      <c r="M97" s="5">
        <v>-81.10940125</v>
      </c>
      <c r="N97" s="7"/>
      <c r="O97" s="5">
        <v>0.0</v>
      </c>
      <c r="P97" s="5">
        <v>0.0</v>
      </c>
      <c r="Q97" s="5" t="s">
        <v>116</v>
      </c>
      <c r="R97" s="7"/>
      <c r="S97" s="7"/>
      <c r="T97" s="1">
        <v>1.4</v>
      </c>
    </row>
    <row r="98">
      <c r="C98" s="1">
        <v>3.0</v>
      </c>
      <c r="D98" s="9"/>
      <c r="E98" s="11" t="s">
        <v>1239</v>
      </c>
      <c r="F98" s="12" t="s">
        <v>1240</v>
      </c>
      <c r="G98" s="13" t="s">
        <v>247</v>
      </c>
      <c r="H98" s="14">
        <v>39.26827143</v>
      </c>
      <c r="I98" s="14">
        <v>-80.14148094</v>
      </c>
      <c r="L98" s="5">
        <v>39.26827143</v>
      </c>
      <c r="M98" s="5">
        <v>-80.14148094</v>
      </c>
      <c r="N98" s="7"/>
      <c r="O98" s="5">
        <v>0.0</v>
      </c>
      <c r="P98" s="5">
        <v>0.0</v>
      </c>
      <c r="Q98" s="5" t="s">
        <v>116</v>
      </c>
      <c r="R98" s="7"/>
      <c r="S98" s="7"/>
      <c r="T98" s="1">
        <v>5.6</v>
      </c>
    </row>
    <row r="99">
      <c r="C99" s="1">
        <v>5.0</v>
      </c>
      <c r="D99" s="9"/>
      <c r="E99" s="11" t="s">
        <v>1241</v>
      </c>
      <c r="F99" s="12" t="s">
        <v>1244</v>
      </c>
      <c r="G99" s="13" t="s">
        <v>181</v>
      </c>
      <c r="H99" s="27"/>
      <c r="I99" s="27"/>
      <c r="L99" s="5">
        <v>39.50878705</v>
      </c>
      <c r="M99" s="5">
        <v>-78.77245101</v>
      </c>
      <c r="N99" s="7"/>
      <c r="O99" s="5">
        <v>1.0</v>
      </c>
      <c r="P99" s="5">
        <v>1.0</v>
      </c>
      <c r="Q99" s="5" t="s">
        <v>471</v>
      </c>
      <c r="R99" s="7"/>
      <c r="S99" s="7"/>
      <c r="T99" s="1">
        <v>8.5</v>
      </c>
    </row>
    <row r="100">
      <c r="C100" s="1">
        <v>9.0</v>
      </c>
      <c r="D100" s="9"/>
      <c r="E100" s="11" t="s">
        <v>1245</v>
      </c>
      <c r="F100" s="12" t="s">
        <v>1246</v>
      </c>
      <c r="G100" s="13" t="s">
        <v>256</v>
      </c>
      <c r="H100" s="14">
        <v>38.11891626</v>
      </c>
      <c r="I100" s="14">
        <v>-82.58876562</v>
      </c>
      <c r="L100" s="5">
        <v>38.11891626</v>
      </c>
      <c r="M100" s="5">
        <v>-82.58876562</v>
      </c>
      <c r="N100" s="7"/>
      <c r="O100" s="5">
        <v>2.0</v>
      </c>
      <c r="P100" s="5">
        <v>0.0</v>
      </c>
      <c r="Q100" s="5" t="s">
        <v>116</v>
      </c>
      <c r="R100" s="7"/>
      <c r="S100" s="7"/>
      <c r="T100" s="1">
        <v>2.2</v>
      </c>
    </row>
    <row r="101">
      <c r="C101" s="1">
        <v>2.0</v>
      </c>
      <c r="D101" s="9"/>
      <c r="E101" s="11" t="s">
        <v>1248</v>
      </c>
      <c r="F101" s="12">
        <v>25081.0</v>
      </c>
      <c r="G101" s="13" t="s">
        <v>288</v>
      </c>
      <c r="H101" s="14">
        <v>38.09963333</v>
      </c>
      <c r="I101" s="14">
        <v>-81.830931</v>
      </c>
      <c r="L101" s="5">
        <v>38.09963333</v>
      </c>
      <c r="M101" s="5">
        <v>-81.830931</v>
      </c>
      <c r="N101" s="7"/>
      <c r="O101" s="5">
        <v>0.0</v>
      </c>
      <c r="P101" s="5">
        <v>0.0</v>
      </c>
      <c r="Q101" s="5" t="s">
        <v>116</v>
      </c>
      <c r="R101" s="7"/>
      <c r="S101" s="7"/>
      <c r="T101" s="1">
        <v>0.9</v>
      </c>
    </row>
    <row r="102">
      <c r="C102" s="1">
        <v>8.0</v>
      </c>
      <c r="D102" s="9"/>
      <c r="E102" s="11" t="s">
        <v>1250</v>
      </c>
      <c r="F102" s="12">
        <v>24938.0</v>
      </c>
      <c r="G102" s="13" t="s">
        <v>82</v>
      </c>
      <c r="H102" s="14">
        <v>37.92858621</v>
      </c>
      <c r="I102" s="14">
        <v>-80.38479417</v>
      </c>
      <c r="L102" s="5">
        <v>37.92858621</v>
      </c>
      <c r="M102" s="5">
        <v>-80.38479417</v>
      </c>
      <c r="N102" s="7"/>
      <c r="O102" s="5">
        <v>2.0</v>
      </c>
      <c r="P102" s="5">
        <v>0.0</v>
      </c>
      <c r="Q102" s="5" t="s">
        <v>116</v>
      </c>
      <c r="R102" s="7"/>
      <c r="S102" s="7"/>
      <c r="T102" s="1">
        <v>8.4</v>
      </c>
    </row>
    <row r="103">
      <c r="C103" s="1">
        <v>8.0</v>
      </c>
      <c r="D103" s="9"/>
      <c r="E103" s="11" t="s">
        <v>1252</v>
      </c>
      <c r="F103" s="12" t="s">
        <v>1253</v>
      </c>
      <c r="G103" s="13" t="s">
        <v>252</v>
      </c>
      <c r="H103" s="14">
        <v>38.8941901</v>
      </c>
      <c r="I103" s="14">
        <v>-80.28942689</v>
      </c>
      <c r="L103" s="5">
        <v>38.8941901</v>
      </c>
      <c r="M103" s="5">
        <v>-80.28942689</v>
      </c>
      <c r="N103" s="7"/>
      <c r="O103" s="5">
        <v>2.0</v>
      </c>
      <c r="P103" s="5">
        <v>3.0</v>
      </c>
      <c r="Q103" s="5" t="s">
        <v>1255</v>
      </c>
      <c r="R103" s="7"/>
      <c r="S103" s="7"/>
      <c r="T103" s="1">
        <v>4.6</v>
      </c>
    </row>
    <row r="104">
      <c r="C104" s="1">
        <v>6.0</v>
      </c>
      <c r="D104" s="9"/>
      <c r="E104" s="11" t="s">
        <v>1257</v>
      </c>
      <c r="F104" s="12" t="s">
        <v>1258</v>
      </c>
      <c r="G104" s="13" t="s">
        <v>168</v>
      </c>
      <c r="H104" s="14">
        <v>38.76984676</v>
      </c>
      <c r="I104" s="14">
        <v>-82.19832994</v>
      </c>
      <c r="L104" s="5">
        <v>38.76984676</v>
      </c>
      <c r="M104" s="5">
        <v>-82.19832994</v>
      </c>
      <c r="N104" s="7"/>
      <c r="O104" s="5">
        <v>1.0</v>
      </c>
      <c r="P104" s="5">
        <v>0.0</v>
      </c>
      <c r="Q104" s="5" t="s">
        <v>116</v>
      </c>
      <c r="R104" s="7"/>
      <c r="S104" s="7"/>
      <c r="T104" s="1">
        <v>2.6</v>
      </c>
    </row>
    <row r="105">
      <c r="C105" s="1">
        <v>10.0</v>
      </c>
      <c r="D105" s="9"/>
      <c r="E105" s="11" t="s">
        <v>1259</v>
      </c>
      <c r="F105" s="12" t="s">
        <v>1260</v>
      </c>
      <c r="G105" s="13" t="s">
        <v>48</v>
      </c>
      <c r="H105" s="27"/>
      <c r="I105" s="27"/>
      <c r="L105" s="5">
        <v>38.67531441</v>
      </c>
      <c r="M105" s="5">
        <v>-80.76644429</v>
      </c>
      <c r="N105" s="7"/>
      <c r="O105" s="5">
        <v>3.0</v>
      </c>
      <c r="P105" s="5">
        <v>0.0</v>
      </c>
      <c r="Q105" s="5" t="s">
        <v>116</v>
      </c>
      <c r="R105" s="7"/>
      <c r="S105" s="7"/>
      <c r="T105" s="1">
        <v>1.5</v>
      </c>
    </row>
    <row r="106">
      <c r="C106" s="1">
        <v>9.0</v>
      </c>
      <c r="D106" s="9"/>
      <c r="E106" s="11" t="s">
        <v>1261</v>
      </c>
      <c r="F106" s="12" t="s">
        <v>1263</v>
      </c>
      <c r="G106" s="13" t="s">
        <v>256</v>
      </c>
      <c r="H106" s="27"/>
      <c r="I106" s="27"/>
      <c r="L106" s="5">
        <v>38.07961733</v>
      </c>
      <c r="M106" s="5">
        <v>-82.45581302</v>
      </c>
      <c r="N106" s="7"/>
      <c r="O106" s="5">
        <v>2.0</v>
      </c>
      <c r="P106" s="5">
        <v>0.0</v>
      </c>
      <c r="Q106" s="5" t="s">
        <v>116</v>
      </c>
      <c r="R106" s="7"/>
      <c r="S106" s="7"/>
      <c r="T106" s="1">
        <v>9.3</v>
      </c>
    </row>
    <row r="107">
      <c r="C107" s="1">
        <v>2.0</v>
      </c>
      <c r="D107" s="9"/>
      <c r="E107" s="11" t="s">
        <v>1264</v>
      </c>
      <c r="F107" s="12">
        <v>25420.0</v>
      </c>
      <c r="G107" s="13" t="s">
        <v>28</v>
      </c>
      <c r="H107" s="27"/>
      <c r="I107" s="27"/>
      <c r="L107" s="5">
        <v>39.38294309</v>
      </c>
      <c r="M107" s="5">
        <v>-78.1529129</v>
      </c>
      <c r="N107" s="7"/>
      <c r="O107" s="5">
        <v>0.0</v>
      </c>
      <c r="P107" s="5">
        <v>0.0</v>
      </c>
      <c r="Q107" s="5" t="s">
        <v>116</v>
      </c>
      <c r="R107" s="7"/>
      <c r="S107" s="7"/>
      <c r="T107" s="1">
        <v>3.2</v>
      </c>
    </row>
    <row r="108">
      <c r="C108" s="1">
        <v>2.0</v>
      </c>
      <c r="D108" s="9"/>
      <c r="E108" s="11" t="s">
        <v>1265</v>
      </c>
      <c r="F108" s="12">
        <v>25843.0</v>
      </c>
      <c r="G108" s="13" t="s">
        <v>225</v>
      </c>
      <c r="H108" s="14">
        <v>37.61707162</v>
      </c>
      <c r="I108" s="14">
        <v>-81.11473423</v>
      </c>
      <c r="L108" s="5">
        <v>37.61707162</v>
      </c>
      <c r="M108" s="5">
        <v>-81.11473423</v>
      </c>
      <c r="N108" s="7"/>
      <c r="O108" s="5">
        <v>0.0</v>
      </c>
      <c r="P108" s="5">
        <v>0.0</v>
      </c>
      <c r="Q108" s="5" t="s">
        <v>116</v>
      </c>
      <c r="R108" s="7"/>
      <c r="S108" s="7"/>
      <c r="T108" s="1">
        <v>7.7</v>
      </c>
    </row>
    <row r="109">
      <c r="C109" s="1">
        <v>10.0</v>
      </c>
      <c r="D109" s="9"/>
      <c r="E109" s="11" t="s">
        <v>1266</v>
      </c>
      <c r="F109" s="12" t="s">
        <v>1267</v>
      </c>
      <c r="G109" s="13" t="s">
        <v>978</v>
      </c>
      <c r="H109" s="27"/>
      <c r="I109" s="27"/>
      <c r="L109" s="5">
        <v>37.59094824</v>
      </c>
      <c r="M109" s="5">
        <v>-81.84191635</v>
      </c>
      <c r="N109" s="7"/>
      <c r="O109" s="5">
        <v>3.0</v>
      </c>
      <c r="P109" s="5">
        <v>4.0</v>
      </c>
      <c r="Q109" s="5" t="s">
        <v>1190</v>
      </c>
      <c r="R109" s="7"/>
      <c r="S109" s="7"/>
      <c r="T109" s="1">
        <v>1.6</v>
      </c>
    </row>
    <row r="110">
      <c r="C110" s="1">
        <v>2.0</v>
      </c>
      <c r="D110" s="9"/>
      <c r="E110" s="11" t="s">
        <v>1268</v>
      </c>
      <c r="F110" s="12">
        <v>25086.0</v>
      </c>
      <c r="G110" s="13" t="s">
        <v>128</v>
      </c>
      <c r="H110" s="27"/>
      <c r="I110" s="27"/>
      <c r="L110" s="5">
        <v>38.21087554</v>
      </c>
      <c r="M110" s="5">
        <v>-81.42297136</v>
      </c>
      <c r="N110" s="7"/>
      <c r="O110" s="5">
        <v>0.0</v>
      </c>
      <c r="P110" s="5">
        <v>0.0</v>
      </c>
      <c r="Q110" s="5" t="s">
        <v>116</v>
      </c>
      <c r="R110" s="7"/>
      <c r="S110" s="7"/>
      <c r="T110" s="1">
        <v>0.4</v>
      </c>
    </row>
    <row r="111">
      <c r="C111" s="1">
        <v>2.0</v>
      </c>
      <c r="D111" s="9"/>
      <c r="E111" s="11" t="s">
        <v>1269</v>
      </c>
      <c r="F111" s="12" t="s">
        <v>1270</v>
      </c>
      <c r="G111" s="13" t="s">
        <v>225</v>
      </c>
      <c r="H111" s="27"/>
      <c r="I111" s="27"/>
      <c r="L111" s="5">
        <v>37.77845353</v>
      </c>
      <c r="M111" s="5">
        <v>-81.34128896</v>
      </c>
      <c r="N111" s="7"/>
      <c r="O111" s="5">
        <v>0.0</v>
      </c>
      <c r="P111" s="5">
        <v>0.0</v>
      </c>
      <c r="Q111" s="5" t="s">
        <v>116</v>
      </c>
      <c r="R111" s="7"/>
      <c r="S111" s="7"/>
      <c r="T111" s="1">
        <v>0.3</v>
      </c>
    </row>
    <row r="112">
      <c r="C112" s="1">
        <v>1.0</v>
      </c>
      <c r="D112" s="9"/>
      <c r="E112" s="11" t="s">
        <v>1271</v>
      </c>
      <c r="F112" s="12">
        <v>25846.0</v>
      </c>
      <c r="G112" s="13" t="s">
        <v>74</v>
      </c>
      <c r="H112" s="27"/>
      <c r="I112" s="27"/>
      <c r="L112" s="5">
        <v>37.92370391</v>
      </c>
      <c r="M112" s="5">
        <v>-81.16079909</v>
      </c>
      <c r="N112" s="7"/>
      <c r="O112" s="5">
        <v>0.0</v>
      </c>
      <c r="P112" s="5">
        <v>0.0</v>
      </c>
      <c r="Q112" s="5" t="s">
        <v>116</v>
      </c>
      <c r="R112" s="7"/>
      <c r="S112" s="7"/>
      <c r="T112" s="1">
        <v>3.6</v>
      </c>
    </row>
    <row r="113">
      <c r="C113" s="1">
        <v>10.0</v>
      </c>
      <c r="D113" s="9"/>
      <c r="E113" s="11" t="s">
        <v>1272</v>
      </c>
      <c r="F113" s="43"/>
      <c r="G113" s="13" t="s">
        <v>710</v>
      </c>
      <c r="H113" s="27"/>
      <c r="I113" s="27"/>
      <c r="L113" s="5">
        <v>38.93615089</v>
      </c>
      <c r="M113" s="5">
        <v>-80.815117</v>
      </c>
      <c r="N113" s="7"/>
      <c r="O113" s="5">
        <v>3.0</v>
      </c>
      <c r="P113" s="5">
        <v>4.0</v>
      </c>
      <c r="Q113" s="5" t="s">
        <v>1190</v>
      </c>
      <c r="R113" s="7"/>
      <c r="S113" s="7"/>
      <c r="T113" s="1">
        <v>0.3</v>
      </c>
    </row>
    <row r="114">
      <c r="C114" s="1">
        <v>7.0</v>
      </c>
      <c r="D114" s="9"/>
      <c r="E114" s="11" t="s">
        <v>1274</v>
      </c>
      <c r="F114" s="12" t="s">
        <v>1277</v>
      </c>
      <c r="G114" s="13" t="s">
        <v>247</v>
      </c>
      <c r="H114" s="14">
        <v>39.34533741</v>
      </c>
      <c r="I114" s="14">
        <v>-80.00336726</v>
      </c>
      <c r="L114" s="5">
        <v>39.34533741</v>
      </c>
      <c r="M114" s="5">
        <v>-80.00336726</v>
      </c>
      <c r="N114" s="7"/>
      <c r="O114" s="5">
        <v>2.0</v>
      </c>
      <c r="P114" s="5">
        <v>0.0</v>
      </c>
      <c r="Q114" s="5" t="s">
        <v>116</v>
      </c>
      <c r="R114" s="7"/>
      <c r="S114" s="7"/>
      <c r="T114" s="1">
        <v>1.0</v>
      </c>
    </row>
    <row r="115">
      <c r="C115" s="1">
        <v>7.0</v>
      </c>
      <c r="D115" s="9"/>
      <c r="E115" s="11" t="s">
        <v>1278</v>
      </c>
      <c r="F115" s="12">
        <v>26354.0</v>
      </c>
      <c r="G115" s="13" t="s">
        <v>247</v>
      </c>
      <c r="H115" s="14">
        <v>39.33431154</v>
      </c>
      <c r="I115" s="14">
        <v>-80.07659986</v>
      </c>
      <c r="L115" s="5">
        <v>39.33431154</v>
      </c>
      <c r="M115" s="5">
        <v>-80.07659986</v>
      </c>
      <c r="N115" s="7"/>
      <c r="O115" s="5">
        <v>2.0</v>
      </c>
      <c r="P115" s="5">
        <v>0.0</v>
      </c>
      <c r="Q115" s="5" t="s">
        <v>116</v>
      </c>
      <c r="R115" s="7"/>
      <c r="S115" s="7"/>
      <c r="T115" s="1">
        <v>2.8</v>
      </c>
    </row>
    <row r="116">
      <c r="C116" s="1">
        <v>10.0</v>
      </c>
      <c r="D116" s="9"/>
      <c r="E116" s="11" t="s">
        <v>1280</v>
      </c>
      <c r="F116" s="12" t="s">
        <v>1281</v>
      </c>
      <c r="G116" s="13" t="s">
        <v>1002</v>
      </c>
      <c r="H116" s="14">
        <v>38.41729988</v>
      </c>
      <c r="I116" s="14">
        <v>-79.83835485</v>
      </c>
      <c r="L116" s="5">
        <v>38.41729988</v>
      </c>
      <c r="M116" s="5">
        <v>-79.83835485</v>
      </c>
      <c r="N116" s="7"/>
      <c r="O116" s="5">
        <v>3.0</v>
      </c>
      <c r="P116" s="5">
        <v>4.0</v>
      </c>
      <c r="Q116" s="5" t="s">
        <v>1190</v>
      </c>
      <c r="R116" s="7"/>
      <c r="S116" s="7"/>
      <c r="T116" s="1">
        <v>8.5</v>
      </c>
    </row>
    <row r="117">
      <c r="C117" s="1">
        <v>10.0</v>
      </c>
      <c r="D117" s="9"/>
      <c r="E117" s="11" t="s">
        <v>1282</v>
      </c>
      <c r="F117" s="12" t="s">
        <v>1285</v>
      </c>
      <c r="G117" s="13" t="s">
        <v>585</v>
      </c>
      <c r="H117" s="27"/>
      <c r="I117" s="27"/>
      <c r="L117" s="5">
        <v>38.2794375</v>
      </c>
      <c r="M117" s="5">
        <v>-82.1232253</v>
      </c>
      <c r="N117" s="7"/>
      <c r="O117" s="5">
        <v>3.0</v>
      </c>
      <c r="P117" s="5">
        <v>0.0</v>
      </c>
      <c r="Q117" s="5" t="s">
        <v>116</v>
      </c>
      <c r="R117" s="7"/>
      <c r="S117" s="7"/>
      <c r="T117" s="1">
        <v>0.1</v>
      </c>
    </row>
    <row r="118">
      <c r="C118" s="1">
        <v>10.0</v>
      </c>
      <c r="D118" s="9"/>
      <c r="E118" s="11" t="s">
        <v>1286</v>
      </c>
      <c r="F118" s="12"/>
      <c r="G118" s="13"/>
      <c r="H118" s="27"/>
      <c r="I118" s="27"/>
      <c r="L118" s="5">
        <v>38.28020566</v>
      </c>
      <c r="M118" s="5">
        <v>-82.09337349</v>
      </c>
      <c r="N118" s="7"/>
      <c r="O118" s="5">
        <v>3.0</v>
      </c>
      <c r="P118" s="5">
        <v>0.0</v>
      </c>
      <c r="Q118" s="5" t="s">
        <v>116</v>
      </c>
      <c r="R118" s="7"/>
      <c r="S118" s="7"/>
      <c r="T118" s="1">
        <v>0.1</v>
      </c>
    </row>
    <row r="119">
      <c r="C119" s="1">
        <v>5.0</v>
      </c>
      <c r="D119" s="9"/>
      <c r="E119" s="11" t="s">
        <v>1287</v>
      </c>
      <c r="F119" s="12">
        <v>26270.0</v>
      </c>
      <c r="G119" s="13" t="s">
        <v>236</v>
      </c>
      <c r="H119" s="27"/>
      <c r="I119" s="27"/>
      <c r="L119" s="5">
        <v>38.92051039</v>
      </c>
      <c r="M119" s="5">
        <v>-79.5230229</v>
      </c>
      <c r="N119" s="7"/>
      <c r="O119" s="5">
        <v>1.0</v>
      </c>
      <c r="P119" s="5">
        <v>2.0</v>
      </c>
      <c r="Q119" s="5" t="s">
        <v>619</v>
      </c>
      <c r="R119" s="7"/>
      <c r="S119" s="7"/>
      <c r="T119" s="1">
        <v>14.8</v>
      </c>
    </row>
    <row r="120">
      <c r="C120" s="1">
        <v>2.0</v>
      </c>
      <c r="D120" s="9"/>
      <c r="E120" s="11" t="s">
        <v>1289</v>
      </c>
      <c r="F120" s="12">
        <v>25425.0</v>
      </c>
      <c r="G120" s="13" t="s">
        <v>123</v>
      </c>
      <c r="H120" s="27"/>
      <c r="I120" s="27"/>
      <c r="L120" s="5">
        <v>39.31671775</v>
      </c>
      <c r="M120" s="5">
        <v>-77.79951963</v>
      </c>
      <c r="N120" s="7"/>
      <c r="O120" s="5">
        <v>0.0</v>
      </c>
      <c r="P120" s="5">
        <v>0.0</v>
      </c>
      <c r="Q120" s="5" t="s">
        <v>116</v>
      </c>
      <c r="R120" s="7"/>
      <c r="S120" s="7"/>
      <c r="T120" s="1">
        <v>1.3</v>
      </c>
    </row>
    <row r="121">
      <c r="C121" s="1">
        <v>10.0</v>
      </c>
      <c r="D121" s="9"/>
      <c r="E121" s="11" t="s">
        <v>1292</v>
      </c>
      <c r="F121" s="12" t="s">
        <v>1293</v>
      </c>
      <c r="G121" s="13" t="s">
        <v>826</v>
      </c>
      <c r="H121" s="14">
        <v>39.21457428</v>
      </c>
      <c r="I121" s="14">
        <v>-81.04067076</v>
      </c>
      <c r="L121" s="5">
        <v>39.21457428</v>
      </c>
      <c r="M121" s="5">
        <v>-81.04067076</v>
      </c>
      <c r="N121" s="7"/>
      <c r="O121" s="5">
        <v>3.0</v>
      </c>
      <c r="P121" s="5">
        <v>0.0</v>
      </c>
      <c r="Q121" s="5" t="s">
        <v>116</v>
      </c>
      <c r="R121" s="7"/>
      <c r="S121" s="7"/>
      <c r="T121" s="1">
        <v>0.1</v>
      </c>
    </row>
    <row r="122">
      <c r="C122" s="1">
        <v>10.0</v>
      </c>
      <c r="D122" s="9"/>
      <c r="E122" s="11" t="s">
        <v>1294</v>
      </c>
      <c r="F122" s="12" t="s">
        <v>1297</v>
      </c>
      <c r="G122" s="13" t="s">
        <v>585</v>
      </c>
      <c r="H122" s="27"/>
      <c r="I122" s="27"/>
      <c r="L122" s="5">
        <v>38.03060695</v>
      </c>
      <c r="M122" s="5">
        <v>-82.13063893</v>
      </c>
      <c r="N122" s="7"/>
      <c r="O122" s="5">
        <v>3.0</v>
      </c>
      <c r="P122" s="5">
        <v>0.0</v>
      </c>
      <c r="Q122" s="5" t="s">
        <v>116</v>
      </c>
      <c r="R122" s="7"/>
      <c r="S122" s="7"/>
      <c r="T122" s="1">
        <v>0.1</v>
      </c>
    </row>
    <row r="123">
      <c r="C123" s="1">
        <v>2.0</v>
      </c>
      <c r="D123" s="9"/>
      <c r="E123" s="11" t="s">
        <v>1298</v>
      </c>
      <c r="F123" s="12" t="s">
        <v>1299</v>
      </c>
      <c r="G123" s="13" t="s">
        <v>28</v>
      </c>
      <c r="H123" s="14">
        <v>39.58001052</v>
      </c>
      <c r="I123" s="14">
        <v>-78.04141704</v>
      </c>
      <c r="L123" s="5">
        <v>39.58001052</v>
      </c>
      <c r="M123" s="5">
        <v>-78.04141704</v>
      </c>
      <c r="N123" s="7"/>
      <c r="O123" s="5">
        <v>0.0</v>
      </c>
      <c r="P123" s="5">
        <v>0.0</v>
      </c>
      <c r="Q123" s="5" t="s">
        <v>116</v>
      </c>
      <c r="R123" s="7"/>
      <c r="S123" s="7"/>
      <c r="T123" s="1">
        <v>3.8</v>
      </c>
    </row>
    <row r="124">
      <c r="C124" s="1">
        <v>2.0</v>
      </c>
      <c r="D124" s="9"/>
      <c r="E124" s="11" t="s">
        <v>1301</v>
      </c>
      <c r="F124" s="12" t="s">
        <v>1302</v>
      </c>
      <c r="G124" s="13" t="s">
        <v>28</v>
      </c>
      <c r="H124" s="14">
        <v>39.54162335</v>
      </c>
      <c r="I124" s="14">
        <v>-77.98717226</v>
      </c>
      <c r="L124" s="5">
        <v>39.54162335</v>
      </c>
      <c r="M124" s="5">
        <v>-77.98717226</v>
      </c>
      <c r="N124" s="7"/>
      <c r="O124" s="5">
        <v>0.0</v>
      </c>
      <c r="P124" s="5">
        <v>0.0</v>
      </c>
      <c r="Q124" s="5" t="s">
        <v>116</v>
      </c>
      <c r="R124" s="7"/>
      <c r="S124" s="7"/>
      <c r="T124" s="1">
        <v>0.1</v>
      </c>
    </row>
    <row r="125">
      <c r="C125" s="1">
        <v>2.0</v>
      </c>
      <c r="D125" s="9"/>
      <c r="E125" s="11" t="s">
        <v>1303</v>
      </c>
      <c r="F125" s="12">
        <v>25427.0</v>
      </c>
      <c r="G125" s="13" t="s">
        <v>28</v>
      </c>
      <c r="H125" s="27"/>
      <c r="I125" s="27"/>
      <c r="L125" s="5">
        <v>39.55753356</v>
      </c>
      <c r="M125" s="5">
        <v>-77.99990838</v>
      </c>
      <c r="N125" s="7"/>
      <c r="O125" s="5">
        <v>0.0</v>
      </c>
      <c r="P125" s="5">
        <v>0.0</v>
      </c>
      <c r="Q125" s="5" t="s">
        <v>116</v>
      </c>
      <c r="R125" s="7"/>
      <c r="S125" s="7"/>
      <c r="T125" s="1">
        <v>1.2</v>
      </c>
    </row>
    <row r="126">
      <c r="C126" s="1">
        <v>10.0</v>
      </c>
      <c r="D126" s="9"/>
      <c r="E126" s="11" t="s">
        <v>1304</v>
      </c>
      <c r="F126" s="12">
        <v>24946.0</v>
      </c>
      <c r="G126" s="13" t="s">
        <v>1002</v>
      </c>
      <c r="H126" s="27"/>
      <c r="I126" s="27"/>
      <c r="L126" s="5">
        <v>38.13927883</v>
      </c>
      <c r="M126" s="5">
        <v>-80.20584995</v>
      </c>
      <c r="N126" s="7"/>
      <c r="O126" s="5">
        <v>3.0</v>
      </c>
      <c r="P126" s="5">
        <v>4.0</v>
      </c>
      <c r="Q126" s="5" t="s">
        <v>1190</v>
      </c>
      <c r="R126" s="7"/>
      <c r="S126" s="7"/>
      <c r="T126" s="1">
        <v>9.0</v>
      </c>
    </row>
    <row r="127">
      <c r="C127" s="1">
        <v>10.0</v>
      </c>
      <c r="D127" s="9"/>
      <c r="E127" s="11" t="s">
        <v>1308</v>
      </c>
      <c r="F127" s="12" t="s">
        <v>1309</v>
      </c>
      <c r="G127" s="13" t="s">
        <v>486</v>
      </c>
      <c r="H127" s="14">
        <v>37.66686715</v>
      </c>
      <c r="I127" s="14">
        <v>-80.89398342</v>
      </c>
      <c r="L127" s="5">
        <v>37.66686715</v>
      </c>
      <c r="M127" s="5">
        <v>-80.89398342</v>
      </c>
      <c r="N127" s="7"/>
      <c r="O127" s="5">
        <v>3.0</v>
      </c>
      <c r="P127" s="5">
        <v>0.0</v>
      </c>
      <c r="Q127" s="5" t="s">
        <v>116</v>
      </c>
      <c r="R127" s="7"/>
      <c r="S127" s="7"/>
      <c r="T127" s="1">
        <v>0.1</v>
      </c>
    </row>
    <row r="128">
      <c r="C128" s="1">
        <v>10.0</v>
      </c>
      <c r="D128" s="9"/>
      <c r="E128" s="11" t="s">
        <v>1312</v>
      </c>
      <c r="F128" s="12">
        <v>25951.0</v>
      </c>
      <c r="G128" s="13" t="s">
        <v>486</v>
      </c>
      <c r="H128" s="27"/>
      <c r="I128" s="27"/>
      <c r="L128" s="5">
        <v>37.63831691</v>
      </c>
      <c r="M128" s="5">
        <v>-80.78805845</v>
      </c>
      <c r="N128" s="7"/>
      <c r="O128" s="5">
        <v>3.0</v>
      </c>
      <c r="P128" s="5">
        <v>0.0</v>
      </c>
      <c r="Q128" s="5" t="s">
        <v>116</v>
      </c>
      <c r="R128" s="7"/>
      <c r="S128" s="7"/>
      <c r="T128" s="1">
        <v>5.4</v>
      </c>
    </row>
    <row r="129">
      <c r="C129" s="1">
        <v>1.0</v>
      </c>
      <c r="D129" s="9"/>
      <c r="E129" s="11" t="s">
        <v>1313</v>
      </c>
      <c r="F129" s="12">
        <v>25704.0</v>
      </c>
      <c r="G129" s="13" t="s">
        <v>59</v>
      </c>
      <c r="H129" s="14">
        <v>38.398687</v>
      </c>
      <c r="I129" s="14">
        <v>-82.51995465</v>
      </c>
      <c r="L129" s="5">
        <v>38.398687</v>
      </c>
      <c r="M129" s="5">
        <v>-82.51995465</v>
      </c>
      <c r="N129" s="7"/>
      <c r="O129" s="5">
        <v>0.0</v>
      </c>
      <c r="P129" s="5">
        <v>0.0</v>
      </c>
      <c r="Q129" s="5" t="s">
        <v>116</v>
      </c>
      <c r="R129" s="7"/>
      <c r="S129" s="7"/>
      <c r="T129" s="1">
        <v>0.9</v>
      </c>
    </row>
    <row r="130">
      <c r="C130" s="1">
        <v>1.0</v>
      </c>
      <c r="D130" s="9"/>
      <c r="E130" s="11" t="s">
        <v>1314</v>
      </c>
      <c r="F130" s="12" t="s">
        <v>1315</v>
      </c>
      <c r="G130" s="13" t="s">
        <v>59</v>
      </c>
      <c r="H130" s="14">
        <v>38.40718798</v>
      </c>
      <c r="I130" s="14">
        <v>-82.40767574</v>
      </c>
      <c r="L130" s="5">
        <v>38.40718798</v>
      </c>
      <c r="M130" s="5">
        <v>-82.40767574</v>
      </c>
      <c r="N130" s="7"/>
      <c r="O130" s="5">
        <v>0.0</v>
      </c>
      <c r="P130" s="5">
        <v>0.0</v>
      </c>
      <c r="Q130" s="5" t="s">
        <v>116</v>
      </c>
      <c r="R130" s="7"/>
      <c r="S130" s="7"/>
      <c r="T130" s="1">
        <v>1.2</v>
      </c>
    </row>
    <row r="131">
      <c r="C131" s="1">
        <v>1.0</v>
      </c>
      <c r="D131" s="9"/>
      <c r="E131" s="11" t="s">
        <v>1316</v>
      </c>
      <c r="F131" s="12" t="s">
        <v>1318</v>
      </c>
      <c r="G131" s="13" t="s">
        <v>59</v>
      </c>
      <c r="H131" s="14">
        <v>38.42609683</v>
      </c>
      <c r="I131" s="14">
        <v>-82.40456204</v>
      </c>
      <c r="L131" s="5">
        <v>38.42609683</v>
      </c>
      <c r="M131" s="5">
        <v>-82.40456204</v>
      </c>
      <c r="N131" s="7"/>
      <c r="O131" s="5">
        <v>0.0</v>
      </c>
      <c r="P131" s="5">
        <v>0.0</v>
      </c>
      <c r="Q131" s="5" t="s">
        <v>116</v>
      </c>
      <c r="R131" s="7"/>
      <c r="S131" s="7"/>
      <c r="T131" s="1">
        <v>0.1</v>
      </c>
    </row>
    <row r="132">
      <c r="C132" s="1">
        <v>1.0</v>
      </c>
      <c r="D132" s="9"/>
      <c r="E132" s="11" t="s">
        <v>1320</v>
      </c>
      <c r="F132" s="12" t="s">
        <v>1321</v>
      </c>
      <c r="G132" s="13" t="s">
        <v>59</v>
      </c>
      <c r="H132" s="27"/>
      <c r="I132" s="27"/>
      <c r="L132" s="5">
        <v>38.41158935</v>
      </c>
      <c r="M132" s="5">
        <v>-82.36521185</v>
      </c>
      <c r="N132" s="7"/>
      <c r="O132" s="5">
        <v>0.0</v>
      </c>
      <c r="P132" s="5">
        <v>0.0</v>
      </c>
      <c r="Q132" s="5" t="s">
        <v>116</v>
      </c>
      <c r="R132" s="7"/>
      <c r="S132" s="7"/>
      <c r="T132" s="1">
        <v>0.0</v>
      </c>
    </row>
    <row r="133">
      <c r="C133" s="1">
        <v>1.0</v>
      </c>
      <c r="D133" s="9"/>
      <c r="E133" s="11" t="s">
        <v>1322</v>
      </c>
      <c r="F133" s="12">
        <v>25704.0</v>
      </c>
      <c r="G133" s="13" t="s">
        <v>59</v>
      </c>
      <c r="H133" s="14">
        <v>38.41836815</v>
      </c>
      <c r="I133" s="14">
        <v>-82.45734034</v>
      </c>
      <c r="L133" s="5">
        <v>38.41836815</v>
      </c>
      <c r="M133" s="5">
        <v>-82.45734034</v>
      </c>
      <c r="N133" s="7"/>
      <c r="O133" s="5">
        <v>0.0</v>
      </c>
      <c r="P133" s="5">
        <v>0.0</v>
      </c>
      <c r="Q133" s="5" t="s">
        <v>116</v>
      </c>
      <c r="R133" s="7"/>
      <c r="S133" s="7"/>
      <c r="T133" s="1">
        <v>0.3</v>
      </c>
    </row>
    <row r="134">
      <c r="C134" s="1">
        <v>1.0</v>
      </c>
      <c r="D134" s="9"/>
      <c r="E134" s="11" t="s">
        <v>1323</v>
      </c>
      <c r="F134" s="12" t="s">
        <v>1325</v>
      </c>
      <c r="G134" s="13" t="s">
        <v>59</v>
      </c>
      <c r="H134" s="14">
        <v>38.40860532</v>
      </c>
      <c r="I134" s="14">
        <v>-82.47831347</v>
      </c>
      <c r="L134" s="5">
        <v>38.40860532</v>
      </c>
      <c r="M134" s="5">
        <v>-82.47831347</v>
      </c>
      <c r="N134" s="7"/>
      <c r="O134" s="5">
        <v>0.0</v>
      </c>
      <c r="P134" s="5">
        <v>0.0</v>
      </c>
      <c r="Q134" s="5" t="s">
        <v>116</v>
      </c>
      <c r="R134" s="7"/>
      <c r="S134" s="7"/>
      <c r="T134" s="1">
        <v>0.1</v>
      </c>
    </row>
    <row r="135">
      <c r="C135" s="1">
        <v>1.0</v>
      </c>
      <c r="D135" s="9"/>
      <c r="E135" s="11" t="s">
        <v>1326</v>
      </c>
      <c r="F135" s="12" t="s">
        <v>1327</v>
      </c>
      <c r="G135" s="13" t="s">
        <v>59</v>
      </c>
      <c r="H135" s="14">
        <v>38.35542112</v>
      </c>
      <c r="I135" s="14">
        <v>-82.50460914</v>
      </c>
      <c r="L135" s="5">
        <v>38.35542112</v>
      </c>
      <c r="M135" s="5">
        <v>-82.50460914</v>
      </c>
      <c r="N135" s="7"/>
      <c r="O135" s="5">
        <v>0.0</v>
      </c>
      <c r="P135" s="5">
        <v>0.0</v>
      </c>
      <c r="Q135" s="5" t="s">
        <v>116</v>
      </c>
      <c r="R135" s="7"/>
      <c r="S135" s="7"/>
      <c r="T135" s="1">
        <v>3.0</v>
      </c>
    </row>
    <row r="136">
      <c r="C136" s="1">
        <v>1.0</v>
      </c>
      <c r="D136" s="9"/>
      <c r="E136" s="11" t="s">
        <v>1329</v>
      </c>
      <c r="F136" s="12">
        <v>25526.0</v>
      </c>
      <c r="G136" s="13"/>
      <c r="H136" s="14"/>
      <c r="I136" s="14"/>
      <c r="L136" s="5">
        <v>38.44559364</v>
      </c>
      <c r="M136" s="5">
        <v>-81.96144343</v>
      </c>
      <c r="N136" s="7"/>
      <c r="O136" s="5">
        <v>0.0</v>
      </c>
      <c r="P136" s="5">
        <v>0.0</v>
      </c>
      <c r="Q136" s="5" t="s">
        <v>116</v>
      </c>
      <c r="R136" s="7"/>
      <c r="S136" s="7"/>
      <c r="T136" s="1">
        <v>1.5</v>
      </c>
    </row>
    <row r="137">
      <c r="C137" s="1">
        <v>1.0</v>
      </c>
      <c r="D137" s="9"/>
      <c r="E137" s="11" t="s">
        <v>1333</v>
      </c>
      <c r="F137" s="12" t="s">
        <v>1334</v>
      </c>
      <c r="G137" s="13" t="s">
        <v>218</v>
      </c>
      <c r="H137" s="14">
        <v>38.44186303</v>
      </c>
      <c r="I137" s="14">
        <v>-81.98610976</v>
      </c>
      <c r="L137" s="5">
        <v>38.44186303</v>
      </c>
      <c r="M137" s="5">
        <v>-81.98610976</v>
      </c>
      <c r="N137" s="7"/>
      <c r="O137" s="5">
        <v>0.0</v>
      </c>
      <c r="P137" s="5">
        <v>0.0</v>
      </c>
      <c r="Q137" s="5" t="s">
        <v>116</v>
      </c>
      <c r="R137" s="7"/>
      <c r="S137" s="7"/>
      <c r="T137" s="1">
        <v>0.5</v>
      </c>
    </row>
    <row r="138">
      <c r="C138" s="1">
        <v>1.0</v>
      </c>
      <c r="D138" s="9"/>
      <c r="E138" s="11" t="s">
        <v>1335</v>
      </c>
      <c r="F138" s="12">
        <v>25526.0</v>
      </c>
      <c r="G138" s="13" t="s">
        <v>218</v>
      </c>
      <c r="H138" s="27"/>
      <c r="I138" s="27"/>
      <c r="L138" s="5">
        <v>38.45696985</v>
      </c>
      <c r="M138" s="5">
        <v>-81.92911962</v>
      </c>
      <c r="N138" s="7"/>
      <c r="O138" s="5">
        <v>0.0</v>
      </c>
      <c r="P138" s="5">
        <v>0.0</v>
      </c>
      <c r="Q138" s="5" t="s">
        <v>116</v>
      </c>
      <c r="R138" s="7"/>
      <c r="S138" s="7"/>
      <c r="T138" s="1">
        <v>0.2</v>
      </c>
    </row>
    <row r="139">
      <c r="C139" s="1">
        <v>10.0</v>
      </c>
      <c r="D139" s="9"/>
      <c r="E139" s="11" t="s">
        <v>1336</v>
      </c>
      <c r="F139" s="12" t="s">
        <v>1339</v>
      </c>
      <c r="G139" s="13" t="s">
        <v>726</v>
      </c>
      <c r="H139" s="14">
        <v>37.46921255</v>
      </c>
      <c r="I139" s="14">
        <v>-81.79394646</v>
      </c>
      <c r="L139" s="5">
        <v>37.46921255</v>
      </c>
      <c r="M139" s="5">
        <v>-81.79394646</v>
      </c>
      <c r="N139" s="7"/>
      <c r="O139" s="5">
        <v>3.0</v>
      </c>
      <c r="P139" s="5">
        <v>4.0</v>
      </c>
      <c r="Q139" s="5" t="s">
        <v>1190</v>
      </c>
      <c r="R139" s="7"/>
      <c r="S139" s="7"/>
      <c r="T139" s="1">
        <v>9.4</v>
      </c>
    </row>
    <row r="140">
      <c r="C140" s="1">
        <v>1.0</v>
      </c>
      <c r="D140" s="9"/>
      <c r="E140" s="11" t="s">
        <v>1340</v>
      </c>
      <c r="F140" s="12" t="s">
        <v>1341</v>
      </c>
      <c r="G140" s="13" t="s">
        <v>28</v>
      </c>
      <c r="H140" s="14">
        <v>39.35343162</v>
      </c>
      <c r="I140" s="14">
        <v>-78.0318069</v>
      </c>
      <c r="L140" s="5">
        <v>39.35343162</v>
      </c>
      <c r="M140" s="5">
        <v>-78.0318069</v>
      </c>
      <c r="N140" s="7"/>
      <c r="O140" s="5">
        <v>0.0</v>
      </c>
      <c r="P140" s="5">
        <v>0.0</v>
      </c>
      <c r="Q140" s="5" t="s">
        <v>116</v>
      </c>
      <c r="R140" s="7"/>
      <c r="S140" s="7"/>
      <c r="T140" s="1">
        <v>0.6</v>
      </c>
    </row>
    <row r="141">
      <c r="C141" s="1">
        <v>9.0</v>
      </c>
      <c r="D141" s="9"/>
      <c r="E141" s="11" t="s">
        <v>1342</v>
      </c>
      <c r="F141" s="12" t="s">
        <v>1343</v>
      </c>
      <c r="G141" s="13" t="s">
        <v>147</v>
      </c>
      <c r="H141" s="14">
        <v>39.10639552</v>
      </c>
      <c r="I141" s="14">
        <v>-80.39393051</v>
      </c>
      <c r="L141" s="5">
        <v>39.10639552</v>
      </c>
      <c r="M141" s="5">
        <v>-80.39393051</v>
      </c>
      <c r="N141" s="7"/>
      <c r="O141" s="5">
        <v>2.0</v>
      </c>
      <c r="P141" s="5">
        <v>0.0</v>
      </c>
      <c r="Q141" s="5" t="s">
        <v>116</v>
      </c>
      <c r="R141" s="7"/>
      <c r="S141" s="7"/>
      <c r="T141" s="1">
        <v>5.5</v>
      </c>
    </row>
    <row r="142">
      <c r="C142" s="1">
        <v>10.0</v>
      </c>
      <c r="D142" s="9"/>
      <c r="E142" s="11" t="s">
        <v>1344</v>
      </c>
      <c r="F142" s="12">
        <v>25430.0</v>
      </c>
      <c r="G142" s="13" t="s">
        <v>123</v>
      </c>
      <c r="H142" s="14">
        <v>39.31221882</v>
      </c>
      <c r="I142" s="14">
        <v>-77.97990528</v>
      </c>
      <c r="L142" s="5">
        <v>39.31221882</v>
      </c>
      <c r="M142" s="5">
        <v>-77.97990528</v>
      </c>
      <c r="N142" s="7"/>
      <c r="O142" s="5">
        <v>3.0</v>
      </c>
      <c r="P142" s="5">
        <v>0.0</v>
      </c>
      <c r="Q142" s="5" t="s">
        <v>116</v>
      </c>
      <c r="R142" s="7"/>
      <c r="S142" s="7"/>
      <c r="T142" s="1">
        <v>4.5</v>
      </c>
    </row>
    <row r="143">
      <c r="C143" s="1">
        <v>10.0</v>
      </c>
      <c r="D143" s="9"/>
      <c r="E143" s="11" t="s">
        <v>1349</v>
      </c>
      <c r="F143" s="12" t="s">
        <v>1350</v>
      </c>
      <c r="G143" s="13" t="s">
        <v>123</v>
      </c>
      <c r="H143" s="27"/>
      <c r="I143" s="27"/>
      <c r="L143" s="5">
        <v>39.41137832</v>
      </c>
      <c r="M143" s="5">
        <v>-77.91576371</v>
      </c>
      <c r="N143" s="7"/>
      <c r="O143" s="5">
        <v>3.0</v>
      </c>
      <c r="P143" s="5">
        <v>0.0</v>
      </c>
      <c r="Q143" s="5" t="s">
        <v>116</v>
      </c>
      <c r="R143" s="7"/>
      <c r="S143" s="7"/>
      <c r="T143" s="1">
        <v>4.1</v>
      </c>
    </row>
    <row r="144">
      <c r="C144" s="1">
        <v>1.0</v>
      </c>
      <c r="D144" s="9"/>
      <c r="E144" s="11" t="s">
        <v>1353</v>
      </c>
      <c r="F144" s="12" t="s">
        <v>1355</v>
      </c>
      <c r="G144" s="13" t="s">
        <v>256</v>
      </c>
      <c r="H144" s="14">
        <v>38.40093424</v>
      </c>
      <c r="I144" s="14">
        <v>-82.57659759</v>
      </c>
      <c r="L144" s="5">
        <v>38.40093424</v>
      </c>
      <c r="M144" s="5">
        <v>-82.57659759</v>
      </c>
      <c r="N144" s="7"/>
      <c r="O144" s="5">
        <v>0.0</v>
      </c>
      <c r="P144" s="5">
        <v>0.0</v>
      </c>
      <c r="Q144" s="5" t="s">
        <v>116</v>
      </c>
      <c r="R144" s="7"/>
      <c r="S144" s="7"/>
      <c r="T144" s="1">
        <v>0.2</v>
      </c>
    </row>
    <row r="145">
      <c r="C145" s="1">
        <v>10.0</v>
      </c>
      <c r="D145" s="9"/>
      <c r="E145" s="11" t="s">
        <v>1358</v>
      </c>
      <c r="F145" s="12" t="s">
        <v>1360</v>
      </c>
      <c r="G145" s="13" t="s">
        <v>978</v>
      </c>
      <c r="H145" s="27"/>
      <c r="I145" s="27"/>
      <c r="L145" s="5">
        <v>37.81869973</v>
      </c>
      <c r="M145" s="5">
        <v>-82.38595137</v>
      </c>
      <c r="N145" s="7"/>
      <c r="O145" s="5">
        <v>3.0</v>
      </c>
      <c r="P145" s="5">
        <v>4.0</v>
      </c>
      <c r="Q145" s="5" t="s">
        <v>1190</v>
      </c>
      <c r="R145" s="7"/>
      <c r="S145" s="7"/>
      <c r="T145" s="1">
        <v>2.4</v>
      </c>
    </row>
    <row r="146">
      <c r="C146" s="1">
        <v>5.0</v>
      </c>
      <c r="D146" s="9"/>
      <c r="E146" s="11" t="s">
        <v>1363</v>
      </c>
      <c r="F146" s="12" t="s">
        <v>1364</v>
      </c>
      <c r="G146" s="13" t="s">
        <v>181</v>
      </c>
      <c r="H146" s="14">
        <v>39.42096547</v>
      </c>
      <c r="I146" s="14">
        <v>-78.99417258</v>
      </c>
      <c r="L146" s="5">
        <v>39.42096547</v>
      </c>
      <c r="M146" s="5">
        <v>-78.99417258</v>
      </c>
      <c r="N146" s="7"/>
      <c r="O146" s="5">
        <v>1.0</v>
      </c>
      <c r="P146" s="5">
        <v>1.0</v>
      </c>
      <c r="Q146" s="5" t="s">
        <v>471</v>
      </c>
      <c r="R146" s="7"/>
      <c r="S146" s="7"/>
      <c r="T146" s="1">
        <v>0.1</v>
      </c>
    </row>
    <row r="147">
      <c r="C147" s="1">
        <v>5.0</v>
      </c>
      <c r="D147" s="9"/>
      <c r="E147" s="11" t="s">
        <v>1365</v>
      </c>
      <c r="F147" s="12" t="s">
        <v>1367</v>
      </c>
      <c r="G147" s="13" t="s">
        <v>181</v>
      </c>
      <c r="H147" s="27"/>
      <c r="I147" s="27"/>
      <c r="L147" s="5">
        <v>39.42838419</v>
      </c>
      <c r="M147" s="5">
        <v>-78.92691636</v>
      </c>
      <c r="N147" s="7"/>
      <c r="O147" s="5">
        <v>1.0</v>
      </c>
      <c r="P147" s="5">
        <v>1.0</v>
      </c>
      <c r="Q147" s="5" t="s">
        <v>471</v>
      </c>
      <c r="R147" s="7"/>
      <c r="S147" s="7"/>
      <c r="T147" s="1">
        <v>0.8</v>
      </c>
    </row>
    <row r="148">
      <c r="C148" s="1">
        <v>2.0</v>
      </c>
      <c r="D148" s="9"/>
      <c r="E148" s="11" t="s">
        <v>1369</v>
      </c>
      <c r="F148" s="12" t="s">
        <v>1372</v>
      </c>
      <c r="G148" s="13" t="s">
        <v>105</v>
      </c>
      <c r="H148" s="14">
        <v>39.4719174</v>
      </c>
      <c r="I148" s="14">
        <v>-79.68357113</v>
      </c>
      <c r="L148" s="5">
        <v>39.4719174</v>
      </c>
      <c r="M148" s="5">
        <v>-79.68357113</v>
      </c>
      <c r="N148" s="7"/>
      <c r="O148" s="5">
        <v>0.0</v>
      </c>
      <c r="P148" s="5">
        <v>0.0</v>
      </c>
      <c r="Q148" s="5" t="s">
        <v>116</v>
      </c>
      <c r="R148" s="7"/>
      <c r="S148" s="7"/>
      <c r="T148" s="1">
        <v>0.8</v>
      </c>
    </row>
    <row r="149">
      <c r="C149" s="1">
        <v>2.0</v>
      </c>
      <c r="D149" s="9"/>
      <c r="E149" s="11" t="s">
        <v>1373</v>
      </c>
      <c r="F149" s="12" t="s">
        <v>1375</v>
      </c>
      <c r="G149" s="13" t="s">
        <v>256</v>
      </c>
      <c r="H149" s="27"/>
      <c r="I149" s="27"/>
      <c r="L149" s="5">
        <v>38.3221549</v>
      </c>
      <c r="M149" s="5">
        <v>-82.44693902</v>
      </c>
      <c r="N149" s="7"/>
      <c r="O149" s="5">
        <v>0.0</v>
      </c>
      <c r="P149" s="5">
        <v>0.0</v>
      </c>
      <c r="Q149" s="5" t="s">
        <v>116</v>
      </c>
      <c r="R149" s="7"/>
      <c r="S149" s="7"/>
      <c r="T149" s="1">
        <v>1.1</v>
      </c>
    </row>
    <row r="150">
      <c r="C150" s="1">
        <v>10.0</v>
      </c>
      <c r="D150" s="9"/>
      <c r="E150" s="11" t="s">
        <v>1376</v>
      </c>
      <c r="F150" s="12">
        <v>25123.0</v>
      </c>
      <c r="G150" s="13" t="s">
        <v>168</v>
      </c>
      <c r="H150" s="27"/>
      <c r="I150" s="27"/>
      <c r="L150" s="5">
        <v>38.70525037</v>
      </c>
      <c r="M150" s="5">
        <v>-81.94929637</v>
      </c>
      <c r="N150" s="7"/>
      <c r="O150" s="5">
        <v>3.0</v>
      </c>
      <c r="P150" s="5">
        <v>0.0</v>
      </c>
      <c r="Q150" s="5" t="s">
        <v>116</v>
      </c>
      <c r="R150" s="7"/>
      <c r="S150" s="7"/>
      <c r="T150" s="1">
        <v>6.4</v>
      </c>
    </row>
    <row r="151">
      <c r="C151" s="1">
        <v>5.0</v>
      </c>
      <c r="D151" s="9"/>
      <c r="E151" s="11" t="s">
        <v>1379</v>
      </c>
      <c r="F151" s="12">
        <v>25971.0</v>
      </c>
      <c r="G151" s="13" t="s">
        <v>175</v>
      </c>
      <c r="H151" s="14">
        <v>37.498886</v>
      </c>
      <c r="I151" s="14">
        <v>-80.979744</v>
      </c>
      <c r="L151" s="5">
        <v>37.498886</v>
      </c>
      <c r="M151" s="5">
        <v>-80.979744</v>
      </c>
      <c r="N151" s="7"/>
      <c r="O151" s="5">
        <v>1.0</v>
      </c>
      <c r="P151" s="5">
        <v>0.0</v>
      </c>
      <c r="Q151" s="5" t="s">
        <v>116</v>
      </c>
      <c r="R151" s="7"/>
      <c r="S151" s="7"/>
      <c r="T151" s="1">
        <v>10.2</v>
      </c>
    </row>
    <row r="152">
      <c r="C152" s="1">
        <v>2.0</v>
      </c>
      <c r="D152" s="9"/>
      <c r="E152" s="11" t="s">
        <v>1381</v>
      </c>
      <c r="F152" s="12" t="s">
        <v>1385</v>
      </c>
      <c r="G152" s="13" t="s">
        <v>59</v>
      </c>
      <c r="H152" s="27"/>
      <c r="I152" s="27"/>
      <c r="L152" s="5">
        <v>38.48665516</v>
      </c>
      <c r="M152" s="5">
        <v>-82.301916</v>
      </c>
      <c r="N152" s="7"/>
      <c r="O152" s="5">
        <v>0.0</v>
      </c>
      <c r="P152" s="5">
        <v>0.0</v>
      </c>
      <c r="Q152" s="5" t="s">
        <v>116</v>
      </c>
      <c r="R152" s="7"/>
      <c r="S152" s="7"/>
      <c r="T152" s="1">
        <v>4.6</v>
      </c>
    </row>
    <row r="153">
      <c r="C153" s="1">
        <v>2.0</v>
      </c>
      <c r="D153" s="9"/>
      <c r="E153" s="11" t="s">
        <v>1386</v>
      </c>
      <c r="F153" s="12">
        <v>25865.0</v>
      </c>
      <c r="G153" s="13" t="s">
        <v>225</v>
      </c>
      <c r="H153" s="14">
        <v>37.72904259</v>
      </c>
      <c r="I153" s="14">
        <v>-81.30687496</v>
      </c>
      <c r="L153" s="5">
        <v>37.72904259</v>
      </c>
      <c r="M153" s="5">
        <v>-81.30687496</v>
      </c>
      <c r="N153" s="7"/>
      <c r="O153" s="5">
        <v>0.0</v>
      </c>
      <c r="P153" s="5">
        <v>0.0</v>
      </c>
      <c r="Q153" s="5" t="s">
        <v>116</v>
      </c>
      <c r="R153" s="7"/>
      <c r="S153" s="7"/>
      <c r="T153" s="1">
        <v>3.5</v>
      </c>
    </row>
    <row r="154">
      <c r="C154" s="1">
        <v>7.0</v>
      </c>
      <c r="D154" s="9"/>
      <c r="E154" s="11" t="s">
        <v>1389</v>
      </c>
      <c r="F154" s="12">
        <v>24901.0</v>
      </c>
      <c r="G154" s="13" t="s">
        <v>82</v>
      </c>
      <c r="H154" s="14">
        <v>37.81853201</v>
      </c>
      <c r="I154" s="14">
        <v>-80.42586007</v>
      </c>
      <c r="L154" s="5">
        <v>37.81853201</v>
      </c>
      <c r="M154" s="5">
        <v>-80.42586007</v>
      </c>
      <c r="N154" s="7"/>
      <c r="O154" s="5">
        <v>2.0</v>
      </c>
      <c r="P154" s="5">
        <v>0.0</v>
      </c>
      <c r="Q154" s="5" t="s">
        <v>116</v>
      </c>
      <c r="R154" s="7"/>
      <c r="S154" s="7"/>
      <c r="T154" s="1">
        <v>0.5</v>
      </c>
    </row>
    <row r="155">
      <c r="C155" s="1">
        <v>10.0</v>
      </c>
      <c r="D155" s="9"/>
      <c r="E155" s="11" t="s">
        <v>1390</v>
      </c>
      <c r="F155" s="12">
        <v>24951.0</v>
      </c>
      <c r="G155" s="13" t="s">
        <v>982</v>
      </c>
      <c r="H155" s="27"/>
      <c r="I155" s="27"/>
      <c r="L155" s="5">
        <v>37.45031661</v>
      </c>
      <c r="M155" s="5">
        <v>-80.67392434</v>
      </c>
      <c r="N155" s="7"/>
      <c r="O155" s="5">
        <v>3.0</v>
      </c>
      <c r="P155" s="5">
        <v>0.0</v>
      </c>
      <c r="Q155" s="5" t="s">
        <v>116</v>
      </c>
      <c r="R155" s="7"/>
      <c r="S155" s="7"/>
      <c r="T155" s="1">
        <v>8.1</v>
      </c>
    </row>
    <row r="156">
      <c r="C156" s="1">
        <v>10.0</v>
      </c>
      <c r="D156" s="9"/>
      <c r="E156" s="11" t="s">
        <v>1393</v>
      </c>
      <c r="F156" s="12" t="s">
        <v>1395</v>
      </c>
      <c r="G156" s="13" t="s">
        <v>153</v>
      </c>
      <c r="H156" s="14">
        <v>37.84798973</v>
      </c>
      <c r="I156" s="14">
        <v>-81.99358257</v>
      </c>
      <c r="L156" s="5">
        <v>37.84798973</v>
      </c>
      <c r="M156" s="5">
        <v>-81.99358257</v>
      </c>
      <c r="N156" s="7"/>
      <c r="O156" s="5">
        <v>3.0</v>
      </c>
      <c r="P156" s="5">
        <v>0.0</v>
      </c>
      <c r="Q156" s="5" t="s">
        <v>116</v>
      </c>
      <c r="R156" s="7"/>
      <c r="S156" s="7"/>
      <c r="T156" s="1">
        <v>1.2</v>
      </c>
    </row>
    <row r="157">
      <c r="C157" s="1">
        <v>2.0</v>
      </c>
      <c r="D157" s="9"/>
      <c r="E157" s="11" t="s">
        <v>1396</v>
      </c>
      <c r="F157" s="12">
        <v>25868.0</v>
      </c>
      <c r="G157" s="13" t="s">
        <v>74</v>
      </c>
      <c r="H157" s="14">
        <v>38.05908026</v>
      </c>
      <c r="I157" s="14">
        <v>-80.96400244</v>
      </c>
      <c r="L157" s="5">
        <v>38.05908026</v>
      </c>
      <c r="M157" s="5">
        <v>-80.96400244</v>
      </c>
      <c r="N157" s="7"/>
      <c r="O157" s="5">
        <v>0.0</v>
      </c>
      <c r="P157" s="5">
        <v>0.0</v>
      </c>
      <c r="Q157" s="5" t="s">
        <v>116</v>
      </c>
      <c r="R157" s="7"/>
      <c r="S157" s="7"/>
      <c r="T157" s="1">
        <v>5.7</v>
      </c>
    </row>
    <row r="158">
      <c r="C158" s="1">
        <v>5.0</v>
      </c>
      <c r="D158" s="9"/>
      <c r="E158" s="11" t="s">
        <v>1400</v>
      </c>
      <c r="F158" s="12">
        <v>26385.0</v>
      </c>
      <c r="G158" s="13" t="s">
        <v>101</v>
      </c>
      <c r="H158" s="27"/>
      <c r="I158" s="27"/>
      <c r="L158" s="5">
        <v>39.16619352</v>
      </c>
      <c r="M158" s="5">
        <v>-80.34689433</v>
      </c>
      <c r="N158" s="7"/>
      <c r="O158" s="5">
        <v>1.0</v>
      </c>
      <c r="P158" s="5">
        <v>0.0</v>
      </c>
      <c r="Q158" s="5" t="s">
        <v>116</v>
      </c>
      <c r="R158" s="7"/>
      <c r="S158" s="7"/>
      <c r="T158" s="1">
        <v>6.7</v>
      </c>
    </row>
    <row r="159">
      <c r="C159" s="1">
        <v>10.0</v>
      </c>
      <c r="D159" s="9"/>
      <c r="E159" s="11" t="s">
        <v>1401</v>
      </c>
      <c r="F159" s="12" t="s">
        <v>1404</v>
      </c>
      <c r="G159" s="13" t="s">
        <v>288</v>
      </c>
      <c r="H159" s="14">
        <v>38.06322901</v>
      </c>
      <c r="I159" s="14">
        <v>-81.82273078</v>
      </c>
      <c r="L159" s="5">
        <v>38.06322901</v>
      </c>
      <c r="M159" s="5">
        <v>-81.82273078</v>
      </c>
      <c r="N159" s="7"/>
      <c r="O159" s="5">
        <v>3.0</v>
      </c>
      <c r="P159" s="5">
        <v>0.0</v>
      </c>
      <c r="Q159" s="5" t="s">
        <v>116</v>
      </c>
      <c r="R159" s="7"/>
      <c r="S159" s="7"/>
      <c r="T159" s="1">
        <v>0.5</v>
      </c>
    </row>
    <row r="160">
      <c r="C160" s="1">
        <v>10.0</v>
      </c>
      <c r="D160" s="9"/>
      <c r="E160" s="11" t="s">
        <v>1405</v>
      </c>
      <c r="F160" s="12" t="s">
        <v>1406</v>
      </c>
      <c r="G160" s="13" t="s">
        <v>153</v>
      </c>
      <c r="H160" s="14">
        <v>37.73028718</v>
      </c>
      <c r="I160" s="14">
        <v>-81.87073759</v>
      </c>
      <c r="L160" s="5">
        <v>37.73028718</v>
      </c>
      <c r="M160" s="5">
        <v>-81.87073759</v>
      </c>
      <c r="N160" s="7"/>
      <c r="O160" s="5">
        <v>3.0</v>
      </c>
      <c r="P160" s="5">
        <v>3.0</v>
      </c>
      <c r="Q160" s="5" t="s">
        <v>1255</v>
      </c>
      <c r="R160" s="7"/>
      <c r="S160" s="7"/>
      <c r="T160" s="1">
        <v>0.1</v>
      </c>
    </row>
    <row r="161">
      <c r="C161" s="1">
        <v>3.0</v>
      </c>
      <c r="D161" s="9"/>
      <c r="E161" s="11" t="s">
        <v>1409</v>
      </c>
      <c r="F161" s="12" t="s">
        <v>1410</v>
      </c>
      <c r="G161" s="13" t="s">
        <v>159</v>
      </c>
      <c r="H161" s="14">
        <v>39.52541725</v>
      </c>
      <c r="I161" s="14">
        <v>-80.33533768</v>
      </c>
      <c r="L161" s="5">
        <v>39.52541725</v>
      </c>
      <c r="M161" s="5">
        <v>-80.33533768</v>
      </c>
      <c r="N161" s="7"/>
      <c r="O161" s="5">
        <v>0.0</v>
      </c>
      <c r="P161" s="5">
        <v>0.0</v>
      </c>
      <c r="Q161" s="5" t="s">
        <v>116</v>
      </c>
      <c r="R161" s="7"/>
      <c r="S161" s="7"/>
      <c r="T161" s="1">
        <v>0.9</v>
      </c>
    </row>
    <row r="162">
      <c r="C162" s="1">
        <v>10.0</v>
      </c>
      <c r="D162" s="9"/>
      <c r="E162" s="11" t="s">
        <v>1411</v>
      </c>
      <c r="F162" s="12">
        <v>24954.0</v>
      </c>
      <c r="G162" s="13" t="s">
        <v>1002</v>
      </c>
      <c r="H162" s="27"/>
      <c r="I162" s="27"/>
      <c r="L162" s="5">
        <v>38.23329856</v>
      </c>
      <c r="M162" s="5">
        <v>-80.09034405</v>
      </c>
      <c r="N162" s="7"/>
      <c r="O162" s="5">
        <v>3.0</v>
      </c>
      <c r="P162" s="5">
        <v>4.0</v>
      </c>
      <c r="Q162" s="5" t="s">
        <v>1190</v>
      </c>
      <c r="R162" s="7"/>
      <c r="S162" s="7"/>
      <c r="T162" s="1">
        <v>0.1</v>
      </c>
    </row>
    <row r="163">
      <c r="C163" s="1">
        <v>1.0</v>
      </c>
      <c r="D163" s="9"/>
      <c r="E163" s="11" t="s">
        <v>1415</v>
      </c>
      <c r="F163" s="12" t="s">
        <v>1416</v>
      </c>
      <c r="G163" s="13" t="s">
        <v>128</v>
      </c>
      <c r="H163" s="27"/>
      <c r="I163" s="27"/>
      <c r="L163" s="5">
        <v>38.24721306</v>
      </c>
      <c r="M163" s="5">
        <v>-81.56802053</v>
      </c>
      <c r="N163" s="7"/>
      <c r="O163" s="5">
        <v>0.0</v>
      </c>
      <c r="P163" s="5">
        <v>0.0</v>
      </c>
      <c r="Q163" s="5" t="s">
        <v>116</v>
      </c>
      <c r="R163" s="7"/>
      <c r="S163" s="7"/>
      <c r="T163" s="1">
        <v>0.7</v>
      </c>
    </row>
    <row r="164">
      <c r="C164" s="1">
        <v>1.0</v>
      </c>
      <c r="D164" s="9"/>
      <c r="E164" s="11" t="s">
        <v>1419</v>
      </c>
      <c r="F164" s="12" t="s">
        <v>1420</v>
      </c>
      <c r="G164" s="13" t="s">
        <v>28</v>
      </c>
      <c r="H164" s="27"/>
      <c r="I164" s="27"/>
      <c r="L164" s="5">
        <v>39.42803157</v>
      </c>
      <c r="M164" s="5">
        <v>-77.98552194</v>
      </c>
      <c r="N164" s="7"/>
      <c r="O164" s="5">
        <v>0.0</v>
      </c>
      <c r="P164" s="5">
        <v>0.0</v>
      </c>
      <c r="Q164" s="5" t="s">
        <v>116</v>
      </c>
      <c r="R164" s="7"/>
      <c r="S164" s="7"/>
      <c r="T164" s="1">
        <v>0.9</v>
      </c>
    </row>
    <row r="165">
      <c r="C165" s="1">
        <v>1.0</v>
      </c>
      <c r="D165" s="9"/>
      <c r="E165" s="11" t="s">
        <v>1421</v>
      </c>
      <c r="F165" s="12" t="s">
        <v>1422</v>
      </c>
      <c r="G165" s="13" t="s">
        <v>28</v>
      </c>
      <c r="H165" s="14">
        <v>39.47376334</v>
      </c>
      <c r="I165" s="14">
        <v>-77.95341915</v>
      </c>
      <c r="L165" s="5">
        <v>39.47376334</v>
      </c>
      <c r="M165" s="5">
        <v>-77.95341915</v>
      </c>
      <c r="N165" s="7"/>
      <c r="O165" s="5">
        <v>0.0</v>
      </c>
      <c r="P165" s="5">
        <v>0.0</v>
      </c>
      <c r="Q165" s="5" t="s">
        <v>116</v>
      </c>
      <c r="R165" s="7"/>
      <c r="S165" s="7"/>
      <c r="T165" s="1">
        <v>0.1</v>
      </c>
    </row>
    <row r="166">
      <c r="C166" s="1">
        <v>1.0</v>
      </c>
      <c r="D166" s="9"/>
      <c r="E166" s="11" t="s">
        <v>1423</v>
      </c>
      <c r="F166" s="12">
        <v>25404.0</v>
      </c>
      <c r="G166" s="13" t="s">
        <v>28</v>
      </c>
      <c r="H166" s="27"/>
      <c r="I166" s="27"/>
      <c r="L166" s="5">
        <v>39.46258206</v>
      </c>
      <c r="M166" s="5">
        <v>-77.9281945</v>
      </c>
      <c r="N166" s="7"/>
      <c r="O166" s="5">
        <v>0.0</v>
      </c>
      <c r="P166" s="5">
        <v>0.0</v>
      </c>
      <c r="Q166" s="5" t="s">
        <v>116</v>
      </c>
      <c r="R166" s="7"/>
      <c r="S166" s="7"/>
      <c r="T166" s="1">
        <v>1.6</v>
      </c>
    </row>
    <row r="167">
      <c r="C167" s="1">
        <v>1.0</v>
      </c>
      <c r="D167" s="9"/>
      <c r="E167" s="11" t="s">
        <v>1424</v>
      </c>
      <c r="F167" s="12">
        <v>25404.0</v>
      </c>
      <c r="G167" s="13" t="s">
        <v>28</v>
      </c>
      <c r="H167" s="14">
        <v>39.38545298</v>
      </c>
      <c r="I167" s="14">
        <v>-78.01408783</v>
      </c>
      <c r="L167" s="5">
        <v>39.38545298</v>
      </c>
      <c r="M167" s="5">
        <v>-78.01408783</v>
      </c>
      <c r="N167" s="7"/>
      <c r="O167" s="5">
        <v>0.0</v>
      </c>
      <c r="P167" s="5">
        <v>0.0</v>
      </c>
      <c r="Q167" s="5" t="s">
        <v>116</v>
      </c>
      <c r="R167" s="7"/>
      <c r="S167" s="7"/>
      <c r="T167" s="1">
        <v>1.9</v>
      </c>
    </row>
    <row r="168">
      <c r="C168" s="1">
        <v>7.0</v>
      </c>
      <c r="D168" s="9"/>
      <c r="E168" s="11" t="s">
        <v>1427</v>
      </c>
      <c r="F168" s="12" t="s">
        <v>1429</v>
      </c>
      <c r="G168" s="13" t="s">
        <v>168</v>
      </c>
      <c r="H168" s="14">
        <v>39.02571699</v>
      </c>
      <c r="I168" s="14">
        <v>-82.02031098</v>
      </c>
      <c r="L168" s="5">
        <v>39.02571699</v>
      </c>
      <c r="M168" s="5">
        <v>-82.02031098</v>
      </c>
      <c r="N168" s="7"/>
      <c r="O168" s="5">
        <v>2.0</v>
      </c>
      <c r="P168" s="5">
        <v>0.0</v>
      </c>
      <c r="Q168" s="5" t="s">
        <v>116</v>
      </c>
      <c r="R168" s="7"/>
      <c r="S168" s="7"/>
      <c r="T168" s="1">
        <v>1.3</v>
      </c>
    </row>
    <row r="169">
      <c r="C169" s="1">
        <v>10.0</v>
      </c>
      <c r="D169" s="9"/>
      <c r="E169" s="11" t="s">
        <v>1430</v>
      </c>
      <c r="F169" s="12" t="s">
        <v>1431</v>
      </c>
      <c r="G169" s="13" t="s">
        <v>978</v>
      </c>
      <c r="H169" s="27"/>
      <c r="I169" s="27"/>
      <c r="L169" s="5">
        <v>37.62574594</v>
      </c>
      <c r="M169" s="5">
        <v>-82.1796943</v>
      </c>
      <c r="N169" s="7"/>
      <c r="O169" s="5">
        <v>3.0</v>
      </c>
      <c r="P169" s="5">
        <v>4.0</v>
      </c>
      <c r="Q169" s="5" t="s">
        <v>1190</v>
      </c>
      <c r="R169" s="7"/>
      <c r="S169" s="7"/>
      <c r="T169" s="1">
        <v>0.8</v>
      </c>
    </row>
    <row r="170">
      <c r="C170" s="1">
        <v>1.0</v>
      </c>
      <c r="D170" s="9"/>
      <c r="E170" s="11" t="s">
        <v>1434</v>
      </c>
      <c r="F170" s="12" t="s">
        <v>1435</v>
      </c>
      <c r="G170" s="13" t="s">
        <v>164</v>
      </c>
      <c r="H170" s="14">
        <v>39.98771609</v>
      </c>
      <c r="I170" s="14">
        <v>-80.73246799</v>
      </c>
      <c r="L170" s="5">
        <v>39.98771609</v>
      </c>
      <c r="M170" s="5">
        <v>-80.73246799</v>
      </c>
      <c r="N170" s="7"/>
      <c r="O170" s="5">
        <v>0.0</v>
      </c>
      <c r="P170" s="5">
        <v>0.0</v>
      </c>
      <c r="Q170" s="5" t="s">
        <v>116</v>
      </c>
      <c r="R170" s="7"/>
      <c r="S170" s="7"/>
      <c r="T170" s="1">
        <v>1.8</v>
      </c>
    </row>
    <row r="171">
      <c r="C171" s="1">
        <v>10.0</v>
      </c>
      <c r="D171" s="9"/>
      <c r="E171" s="11" t="s">
        <v>1437</v>
      </c>
      <c r="F171" s="12">
        <v>25976.0</v>
      </c>
      <c r="G171" s="13" t="s">
        <v>74</v>
      </c>
      <c r="H171" s="14">
        <v>37.85750801</v>
      </c>
      <c r="I171" s="14">
        <v>-80.85470211</v>
      </c>
      <c r="L171" s="5">
        <v>37.85750801</v>
      </c>
      <c r="M171" s="5">
        <v>-80.85470211</v>
      </c>
      <c r="N171" s="7"/>
      <c r="O171" s="5">
        <v>3.0</v>
      </c>
      <c r="P171" s="5">
        <v>0.0</v>
      </c>
      <c r="Q171" s="5" t="s">
        <v>116</v>
      </c>
      <c r="R171" s="7"/>
      <c r="S171" s="7"/>
      <c r="T171" s="1">
        <v>8.7</v>
      </c>
    </row>
    <row r="172">
      <c r="C172" s="1">
        <v>1.0</v>
      </c>
      <c r="D172" s="9"/>
      <c r="E172" s="11" t="s">
        <v>1438</v>
      </c>
      <c r="F172" s="12">
        <v>25134.0</v>
      </c>
      <c r="G172" s="13" t="s">
        <v>128</v>
      </c>
      <c r="H172" s="14">
        <v>38.15021197</v>
      </c>
      <c r="I172" s="14">
        <v>-81.44792341</v>
      </c>
      <c r="L172" s="5">
        <v>38.15021197</v>
      </c>
      <c r="M172" s="5">
        <v>-81.44792341</v>
      </c>
      <c r="N172" s="7"/>
      <c r="O172" s="5">
        <v>0.0</v>
      </c>
      <c r="P172" s="5">
        <v>0.0</v>
      </c>
      <c r="Q172" s="5" t="s">
        <v>116</v>
      </c>
      <c r="R172" s="7"/>
      <c r="S172" s="7"/>
      <c r="T172" s="1">
        <v>4.7</v>
      </c>
    </row>
    <row r="173">
      <c r="C173" s="1">
        <v>10.0</v>
      </c>
      <c r="D173" s="9"/>
      <c r="E173" s="11" t="s">
        <v>1441</v>
      </c>
      <c r="F173" s="12" t="s">
        <v>1442</v>
      </c>
      <c r="G173" s="13" t="s">
        <v>851</v>
      </c>
      <c r="H173" s="14">
        <v>39.49087145</v>
      </c>
      <c r="I173" s="14">
        <v>-80.904437</v>
      </c>
      <c r="L173" s="5">
        <v>39.49087145</v>
      </c>
      <c r="M173" s="5">
        <v>-80.904437</v>
      </c>
      <c r="N173" s="7"/>
      <c r="O173" s="5">
        <v>3.0</v>
      </c>
      <c r="P173" s="5">
        <v>0.0</v>
      </c>
      <c r="Q173" s="5" t="s">
        <v>116</v>
      </c>
      <c r="R173" s="7"/>
      <c r="S173" s="7"/>
      <c r="T173" s="1">
        <v>0.6</v>
      </c>
    </row>
    <row r="174">
      <c r="C174" s="1">
        <v>5.0</v>
      </c>
      <c r="D174" s="9"/>
      <c r="E174" s="11" t="s">
        <v>1445</v>
      </c>
      <c r="F174" s="12">
        <v>26280.0</v>
      </c>
      <c r="G174" s="13" t="s">
        <v>236</v>
      </c>
      <c r="H174" s="27"/>
      <c r="I174" s="27"/>
      <c r="L174" s="5">
        <v>38.72983919</v>
      </c>
      <c r="M174" s="5">
        <v>-79.97188312</v>
      </c>
      <c r="N174" s="7"/>
      <c r="O174" s="5">
        <v>1.0</v>
      </c>
      <c r="P174" s="5">
        <v>2.0</v>
      </c>
      <c r="Q174" s="5" t="s">
        <v>619</v>
      </c>
      <c r="R174" s="7"/>
      <c r="S174" s="7"/>
      <c r="T174" s="1">
        <v>0.3</v>
      </c>
    </row>
    <row r="175">
      <c r="C175" s="1">
        <v>10.0</v>
      </c>
      <c r="D175" s="9"/>
      <c r="E175" s="11" t="s">
        <v>1449</v>
      </c>
      <c r="F175" s="12" t="s">
        <v>1450</v>
      </c>
      <c r="G175" s="13" t="s">
        <v>111</v>
      </c>
      <c r="H175" s="14">
        <v>38.89120751</v>
      </c>
      <c r="I175" s="14">
        <v>-81.83730104</v>
      </c>
      <c r="L175" s="5">
        <v>38.89120751</v>
      </c>
      <c r="M175" s="5">
        <v>-81.83730104</v>
      </c>
      <c r="N175" s="7"/>
      <c r="O175" s="5">
        <v>3.0</v>
      </c>
      <c r="P175" s="5">
        <v>0.0</v>
      </c>
      <c r="Q175" s="5" t="s">
        <v>116</v>
      </c>
      <c r="R175" s="7"/>
      <c r="S175" s="7"/>
      <c r="T175" s="1">
        <v>5.9</v>
      </c>
    </row>
    <row r="176">
      <c r="C176" s="1">
        <v>1.0</v>
      </c>
      <c r="D176" s="9"/>
      <c r="E176" s="11" t="s">
        <v>1453</v>
      </c>
      <c r="F176" s="12" t="s">
        <v>1455</v>
      </c>
      <c r="G176" s="13" t="s">
        <v>59</v>
      </c>
      <c r="H176" s="14">
        <v>38.4341614</v>
      </c>
      <c r="I176" s="14">
        <v>-82.13270794</v>
      </c>
      <c r="L176" s="5">
        <v>38.4341614</v>
      </c>
      <c r="M176" s="5">
        <v>-82.13270794</v>
      </c>
      <c r="N176" s="7"/>
      <c r="O176" s="5">
        <v>0.0</v>
      </c>
      <c r="P176" s="5">
        <v>0.0</v>
      </c>
      <c r="Q176" s="5" t="s">
        <v>116</v>
      </c>
      <c r="R176" s="7"/>
      <c r="S176" s="7"/>
      <c r="T176" s="1">
        <v>0.2</v>
      </c>
    </row>
    <row r="177">
      <c r="C177" s="1">
        <v>2.0</v>
      </c>
      <c r="D177" s="9"/>
      <c r="E177" s="11" t="s">
        <v>1456</v>
      </c>
      <c r="F177" s="12" t="s">
        <v>1457</v>
      </c>
      <c r="G177" s="13" t="s">
        <v>268</v>
      </c>
      <c r="H177" s="14">
        <v>39.17964518</v>
      </c>
      <c r="I177" s="14">
        <v>-81.51682578</v>
      </c>
      <c r="L177" s="5">
        <v>39.17964518</v>
      </c>
      <c r="M177" s="5">
        <v>-81.51682578</v>
      </c>
      <c r="N177" s="7"/>
      <c r="O177" s="5">
        <v>0.0</v>
      </c>
      <c r="P177" s="5">
        <v>0.0</v>
      </c>
      <c r="Q177" s="5" t="s">
        <v>116</v>
      </c>
      <c r="R177" s="7"/>
      <c r="S177" s="7"/>
      <c r="T177" s="1">
        <v>3.0</v>
      </c>
    </row>
    <row r="178">
      <c r="C178" s="1">
        <v>2.0</v>
      </c>
      <c r="D178" s="9"/>
      <c r="E178" s="11" t="s">
        <v>1460</v>
      </c>
      <c r="F178" s="12" t="s">
        <v>1461</v>
      </c>
      <c r="G178" s="13" t="s">
        <v>74</v>
      </c>
      <c r="H178" s="14">
        <v>38.17904378</v>
      </c>
      <c r="I178" s="14">
        <v>-81.33522718</v>
      </c>
      <c r="L178" s="5">
        <v>38.17904378</v>
      </c>
      <c r="M178" s="5">
        <v>-81.33522718</v>
      </c>
      <c r="N178" s="7"/>
      <c r="O178" s="5">
        <v>0.0</v>
      </c>
      <c r="P178" s="5">
        <v>0.0</v>
      </c>
      <c r="Q178" s="5" t="s">
        <v>116</v>
      </c>
      <c r="R178" s="7"/>
      <c r="S178" s="7"/>
      <c r="T178" s="1">
        <v>1.8</v>
      </c>
    </row>
    <row r="179">
      <c r="C179" s="1">
        <v>10.0</v>
      </c>
      <c r="D179" s="9"/>
      <c r="E179" s="11" t="s">
        <v>1462</v>
      </c>
      <c r="F179" s="12" t="s">
        <v>1465</v>
      </c>
      <c r="G179" s="13" t="s">
        <v>90</v>
      </c>
      <c r="H179" s="14">
        <v>39.07385523</v>
      </c>
      <c r="I179" s="14">
        <v>-78.96647713</v>
      </c>
      <c r="L179" s="5">
        <v>39.07385523</v>
      </c>
      <c r="M179" s="5">
        <v>-78.96647713</v>
      </c>
      <c r="N179" s="7"/>
      <c r="O179" s="5">
        <v>3.0</v>
      </c>
      <c r="P179" s="5">
        <v>0.0</v>
      </c>
      <c r="Q179" s="5" t="s">
        <v>116</v>
      </c>
      <c r="R179" s="7"/>
      <c r="S179" s="7"/>
      <c r="T179" s="1">
        <v>0.1</v>
      </c>
    </row>
    <row r="180">
      <c r="C180" s="1">
        <v>1.0</v>
      </c>
      <c r="D180" s="9"/>
      <c r="E180" s="11" t="s">
        <v>1466</v>
      </c>
      <c r="F180" s="12">
        <v>26508.0</v>
      </c>
      <c r="G180" s="13" t="s">
        <v>169</v>
      </c>
      <c r="H180" s="14">
        <v>39.67400821</v>
      </c>
      <c r="I180" s="14">
        <v>-79.85214135</v>
      </c>
      <c r="L180" s="5">
        <v>39.67400821</v>
      </c>
      <c r="M180" s="5">
        <v>-79.85214135</v>
      </c>
      <c r="N180" s="7"/>
      <c r="O180" s="5">
        <v>0.0</v>
      </c>
      <c r="P180" s="5">
        <v>0.0</v>
      </c>
      <c r="Q180" s="5" t="s">
        <v>116</v>
      </c>
      <c r="R180" s="7"/>
      <c r="S180" s="7"/>
      <c r="T180" s="1">
        <v>2.9</v>
      </c>
    </row>
    <row r="181">
      <c r="C181" s="1">
        <v>1.0</v>
      </c>
      <c r="D181" s="9"/>
      <c r="E181" s="11" t="s">
        <v>1470</v>
      </c>
      <c r="F181" s="12" t="s">
        <v>1471</v>
      </c>
      <c r="G181" s="13" t="s">
        <v>169</v>
      </c>
      <c r="H181" s="14">
        <v>39.60741721</v>
      </c>
      <c r="I181" s="14">
        <v>-79.8919219</v>
      </c>
      <c r="L181" s="5">
        <v>39.60741721</v>
      </c>
      <c r="M181" s="5">
        <v>-79.8919219</v>
      </c>
      <c r="N181" s="7"/>
      <c r="O181" s="5">
        <v>0.0</v>
      </c>
      <c r="P181" s="5">
        <v>0.0</v>
      </c>
      <c r="Q181" s="5" t="s">
        <v>116</v>
      </c>
      <c r="R181" s="7"/>
      <c r="S181" s="7"/>
      <c r="T181" s="1">
        <v>2.0</v>
      </c>
    </row>
    <row r="182">
      <c r="C182" s="1">
        <v>1.0</v>
      </c>
      <c r="D182" s="9"/>
      <c r="E182" s="11" t="s">
        <v>1472</v>
      </c>
      <c r="F182" s="12" t="s">
        <v>1473</v>
      </c>
      <c r="G182" s="13" t="s">
        <v>169</v>
      </c>
      <c r="H182" s="14">
        <v>39.61121609</v>
      </c>
      <c r="I182" s="14">
        <v>-79.92199798</v>
      </c>
      <c r="L182" s="5">
        <v>39.61121609</v>
      </c>
      <c r="M182" s="5">
        <v>-79.92199798</v>
      </c>
      <c r="N182" s="7"/>
      <c r="O182" s="5">
        <v>0.0</v>
      </c>
      <c r="P182" s="5">
        <v>0.0</v>
      </c>
      <c r="Q182" s="5" t="s">
        <v>116</v>
      </c>
      <c r="R182" s="7"/>
      <c r="S182" s="7"/>
      <c r="T182" s="1">
        <v>0.8</v>
      </c>
    </row>
    <row r="183">
      <c r="C183" s="1">
        <v>1.0</v>
      </c>
      <c r="D183" s="9"/>
      <c r="E183" s="11" t="s">
        <v>1474</v>
      </c>
      <c r="F183" s="12" t="s">
        <v>1475</v>
      </c>
      <c r="G183" s="13" t="s">
        <v>169</v>
      </c>
      <c r="H183" s="14">
        <v>39.51521952</v>
      </c>
      <c r="I183" s="14">
        <v>-79.90999673</v>
      </c>
      <c r="L183" s="5">
        <v>39.51521952</v>
      </c>
      <c r="M183" s="5">
        <v>-79.90999673</v>
      </c>
      <c r="N183" s="7"/>
      <c r="O183" s="5">
        <v>0.0</v>
      </c>
      <c r="P183" s="5">
        <v>0.0</v>
      </c>
      <c r="Q183" s="5" t="s">
        <v>116</v>
      </c>
      <c r="R183" s="7"/>
      <c r="S183" s="7"/>
      <c r="T183" s="1">
        <v>5.1</v>
      </c>
    </row>
    <row r="184">
      <c r="C184" s="1">
        <v>1.0</v>
      </c>
      <c r="D184" s="9"/>
      <c r="E184" s="11" t="s">
        <v>1477</v>
      </c>
      <c r="F184" s="12" t="s">
        <v>1478</v>
      </c>
      <c r="G184" s="13" t="s">
        <v>169</v>
      </c>
      <c r="H184" s="14">
        <v>39.62907455</v>
      </c>
      <c r="I184" s="14">
        <v>-79.95642501</v>
      </c>
      <c r="L184" s="5">
        <v>39.62907455</v>
      </c>
      <c r="M184" s="5">
        <v>-79.95642501</v>
      </c>
      <c r="N184" s="7"/>
      <c r="O184" s="5">
        <v>0.0</v>
      </c>
      <c r="P184" s="5">
        <v>0.0</v>
      </c>
      <c r="Q184" s="5" t="s">
        <v>116</v>
      </c>
      <c r="R184" s="7"/>
      <c r="S184" s="7"/>
      <c r="T184" s="1">
        <v>1.3</v>
      </c>
    </row>
    <row r="185">
      <c r="C185" s="1">
        <v>4.0</v>
      </c>
      <c r="D185" s="9"/>
      <c r="E185" s="11" t="s">
        <v>1479</v>
      </c>
      <c r="F185" s="12" t="s">
        <v>1482</v>
      </c>
      <c r="G185" s="13" t="s">
        <v>164</v>
      </c>
      <c r="H185" s="14">
        <v>39.9256084</v>
      </c>
      <c r="I185" s="14">
        <v>-80.73698743</v>
      </c>
      <c r="L185" s="5">
        <v>39.9256084</v>
      </c>
      <c r="M185" s="5">
        <v>-80.73698743</v>
      </c>
      <c r="N185" s="7"/>
      <c r="O185" s="5">
        <v>1.0</v>
      </c>
      <c r="P185" s="5">
        <v>0.0</v>
      </c>
      <c r="Q185" s="5" t="s">
        <v>116</v>
      </c>
      <c r="R185" s="7"/>
      <c r="S185" s="7"/>
      <c r="T185" s="1">
        <v>0.6</v>
      </c>
    </row>
    <row r="186">
      <c r="C186" s="1">
        <v>5.0</v>
      </c>
      <c r="D186" s="9"/>
      <c r="E186" s="11" t="s">
        <v>1483</v>
      </c>
      <c r="F186" s="12" t="s">
        <v>1485</v>
      </c>
      <c r="G186" s="13" t="s">
        <v>101</v>
      </c>
      <c r="H186" s="14">
        <v>39.20792774</v>
      </c>
      <c r="I186" s="14">
        <v>-80.28689329</v>
      </c>
      <c r="L186" s="5">
        <v>39.20792774</v>
      </c>
      <c r="M186" s="5">
        <v>-80.28689329</v>
      </c>
      <c r="N186" s="7"/>
      <c r="O186" s="5">
        <v>1.0</v>
      </c>
      <c r="P186" s="5">
        <v>0.0</v>
      </c>
      <c r="Q186" s="5" t="s">
        <v>116</v>
      </c>
      <c r="R186" s="7"/>
      <c r="S186" s="7"/>
      <c r="T186" s="1">
        <v>3.6</v>
      </c>
    </row>
    <row r="187">
      <c r="C187" s="1">
        <v>1.0</v>
      </c>
      <c r="D187" s="9"/>
      <c r="E187" s="11" t="s">
        <v>1486</v>
      </c>
      <c r="F187" s="12">
        <v>25880.0</v>
      </c>
      <c r="G187" s="13" t="s">
        <v>74</v>
      </c>
      <c r="H187" s="27"/>
      <c r="I187" s="27"/>
      <c r="L187" s="5">
        <v>37.89221176</v>
      </c>
      <c r="M187" s="5">
        <v>-81.16150367</v>
      </c>
      <c r="N187" s="7"/>
      <c r="O187" s="5">
        <v>0.0</v>
      </c>
      <c r="P187" s="5">
        <v>0.0</v>
      </c>
      <c r="Q187" s="5" t="s">
        <v>116</v>
      </c>
      <c r="R187" s="7"/>
      <c r="S187" s="7"/>
      <c r="T187" s="1">
        <v>5.8</v>
      </c>
    </row>
    <row r="188">
      <c r="C188" s="1">
        <v>1.0</v>
      </c>
      <c r="D188" s="9"/>
      <c r="E188" s="11" t="s">
        <v>1489</v>
      </c>
      <c r="F188" s="12" t="s">
        <v>1490</v>
      </c>
      <c r="G188" s="13" t="s">
        <v>198</v>
      </c>
      <c r="H188" s="14">
        <v>37.86285877</v>
      </c>
      <c r="I188" s="14">
        <v>-81.19580876</v>
      </c>
      <c r="L188" s="5">
        <v>37.86285877</v>
      </c>
      <c r="M188" s="5">
        <v>-81.19580876</v>
      </c>
      <c r="N188" s="7"/>
      <c r="O188" s="5">
        <v>0.0</v>
      </c>
      <c r="P188" s="5">
        <v>0.0</v>
      </c>
      <c r="Q188" s="5" t="s">
        <v>116</v>
      </c>
      <c r="R188" s="7"/>
      <c r="S188" s="7"/>
      <c r="T188" s="1">
        <v>3.8</v>
      </c>
    </row>
    <row r="189">
      <c r="C189" s="1">
        <v>10.0</v>
      </c>
      <c r="D189" s="9"/>
      <c r="E189" s="11" t="s">
        <v>1491</v>
      </c>
      <c r="F189" s="12" t="s">
        <v>1492</v>
      </c>
      <c r="G189" s="13" t="s">
        <v>198</v>
      </c>
      <c r="H189" s="14">
        <v>38.19719533</v>
      </c>
      <c r="I189" s="14">
        <v>-80.85823667</v>
      </c>
      <c r="L189" s="5">
        <v>38.19719533</v>
      </c>
      <c r="M189" s="5">
        <v>-80.85823667</v>
      </c>
      <c r="N189" s="7"/>
      <c r="O189" s="5">
        <v>3.0</v>
      </c>
      <c r="P189" s="5">
        <v>0.0</v>
      </c>
      <c r="Q189" s="5" t="s">
        <v>116</v>
      </c>
      <c r="R189" s="7"/>
      <c r="S189" s="7"/>
      <c r="T189" s="1">
        <v>5.3</v>
      </c>
    </row>
    <row r="190">
      <c r="C190" s="1">
        <v>10.0</v>
      </c>
      <c r="D190" s="9"/>
      <c r="E190" s="11" t="s">
        <v>1495</v>
      </c>
      <c r="F190" s="12">
        <v>26739.0</v>
      </c>
      <c r="G190" s="13" t="s">
        <v>717</v>
      </c>
      <c r="H190" s="27"/>
      <c r="I190" s="27"/>
      <c r="L190" s="5">
        <v>39.27668578</v>
      </c>
      <c r="M190" s="5">
        <v>-79.24147653</v>
      </c>
      <c r="N190" s="7"/>
      <c r="O190" s="5">
        <v>3.0</v>
      </c>
      <c r="P190" s="5">
        <v>4.0</v>
      </c>
      <c r="Q190" s="5" t="s">
        <v>1190</v>
      </c>
      <c r="R190" s="7"/>
      <c r="S190" s="7"/>
      <c r="T190" s="1">
        <v>11.4</v>
      </c>
    </row>
    <row r="191">
      <c r="C191" s="1">
        <v>2.0</v>
      </c>
      <c r="D191" s="9"/>
      <c r="E191" s="11" t="s">
        <v>1496</v>
      </c>
      <c r="F191" s="12" t="s">
        <v>1507</v>
      </c>
      <c r="G191" s="13" t="s">
        <v>895</v>
      </c>
      <c r="H191" s="14">
        <v>37.58351309</v>
      </c>
      <c r="I191" s="14">
        <v>-81.38119924</v>
      </c>
      <c r="L191" s="5">
        <v>37.58351309</v>
      </c>
      <c r="M191" s="5">
        <v>-81.38119924</v>
      </c>
      <c r="N191" s="7"/>
      <c r="O191" s="5">
        <v>0.0</v>
      </c>
      <c r="P191" s="5">
        <v>0.0</v>
      </c>
      <c r="Q191" s="5" t="s">
        <v>116</v>
      </c>
      <c r="R191" s="7"/>
      <c r="S191" s="7"/>
      <c r="T191" s="1">
        <v>0.3</v>
      </c>
    </row>
    <row r="192">
      <c r="C192" s="1">
        <v>10.0</v>
      </c>
      <c r="D192" s="9"/>
      <c r="E192" s="11" t="s">
        <v>1508</v>
      </c>
      <c r="F192" s="12">
        <v>26681.0</v>
      </c>
      <c r="G192" s="13" t="s">
        <v>198</v>
      </c>
      <c r="H192" s="27"/>
      <c r="I192" s="27"/>
      <c r="L192" s="5">
        <v>38.22408575</v>
      </c>
      <c r="M192" s="5">
        <v>-80.6867795</v>
      </c>
      <c r="N192" s="7"/>
      <c r="O192" s="5">
        <v>3.0</v>
      </c>
      <c r="P192" s="5">
        <v>0.0</v>
      </c>
      <c r="Q192" s="5" t="s">
        <v>116</v>
      </c>
      <c r="R192" s="7"/>
      <c r="S192" s="7"/>
      <c r="T192" s="1">
        <v>7.5</v>
      </c>
    </row>
    <row r="193">
      <c r="C193" s="1">
        <v>2.0</v>
      </c>
      <c r="D193" s="9"/>
      <c r="E193" s="11" t="s">
        <v>1509</v>
      </c>
      <c r="F193" s="12" t="s">
        <v>1510</v>
      </c>
      <c r="G193" s="13" t="s">
        <v>921</v>
      </c>
      <c r="H193" s="14">
        <v>40.4948375</v>
      </c>
      <c r="I193" s="14">
        <v>-80.60495438</v>
      </c>
      <c r="L193" s="5">
        <v>40.4948375</v>
      </c>
      <c r="M193" s="5">
        <v>-80.60495438</v>
      </c>
      <c r="N193" s="7"/>
      <c r="O193" s="5">
        <v>0.0</v>
      </c>
      <c r="P193" s="5">
        <v>0.0</v>
      </c>
      <c r="Q193" s="5" t="s">
        <v>116</v>
      </c>
      <c r="R193" s="7"/>
      <c r="S193" s="7"/>
      <c r="T193" s="1">
        <v>1.0</v>
      </c>
    </row>
    <row r="194">
      <c r="C194" s="1">
        <v>5.0</v>
      </c>
      <c r="D194" s="9"/>
      <c r="E194" s="11" t="s">
        <v>1511</v>
      </c>
      <c r="F194" s="12" t="s">
        <v>1514</v>
      </c>
      <c r="G194" s="13" t="s">
        <v>168</v>
      </c>
      <c r="H194" s="14">
        <v>38.98701895</v>
      </c>
      <c r="I194" s="14">
        <v>-81.97445497</v>
      </c>
      <c r="L194" s="5">
        <v>38.98701895</v>
      </c>
      <c r="M194" s="5">
        <v>-81.97445497</v>
      </c>
      <c r="N194" s="7"/>
      <c r="O194" s="5">
        <v>1.0</v>
      </c>
      <c r="P194" s="5">
        <v>0.0</v>
      </c>
      <c r="Q194" s="5" t="s">
        <v>116</v>
      </c>
      <c r="R194" s="7"/>
      <c r="S194" s="7"/>
      <c r="T194" s="1">
        <v>3.6</v>
      </c>
    </row>
    <row r="195">
      <c r="C195" s="1">
        <v>2.0</v>
      </c>
      <c r="D195" s="9"/>
      <c r="E195" s="11" t="s">
        <v>1515</v>
      </c>
      <c r="F195" s="12">
        <v>26056.0</v>
      </c>
      <c r="G195" s="13" t="s">
        <v>921</v>
      </c>
      <c r="H195" s="27"/>
      <c r="I195" s="27"/>
      <c r="L195" s="5">
        <v>40.53252075</v>
      </c>
      <c r="M195" s="5">
        <v>-80.58096011</v>
      </c>
      <c r="N195" s="7"/>
      <c r="O195" s="5">
        <v>0.0</v>
      </c>
      <c r="P195" s="5">
        <v>0.0</v>
      </c>
      <c r="Q195" s="5" t="s">
        <v>116</v>
      </c>
      <c r="R195" s="7"/>
      <c r="S195" s="7"/>
      <c r="T195" s="1">
        <v>2.5</v>
      </c>
    </row>
    <row r="196">
      <c r="C196" s="1">
        <v>7.0</v>
      </c>
      <c r="D196" s="9"/>
      <c r="E196" s="11" t="s">
        <v>1516</v>
      </c>
      <c r="F196" s="12" t="s">
        <v>1517</v>
      </c>
      <c r="G196" s="13" t="s">
        <v>263</v>
      </c>
      <c r="H196" s="14">
        <v>39.67608389</v>
      </c>
      <c r="I196" s="14">
        <v>-80.85746965</v>
      </c>
      <c r="L196" s="5">
        <v>39.67608389</v>
      </c>
      <c r="M196" s="5">
        <v>-80.85746965</v>
      </c>
      <c r="N196" s="7"/>
      <c r="O196" s="5">
        <v>2.0</v>
      </c>
      <c r="P196" s="5">
        <v>0.0</v>
      </c>
      <c r="Q196" s="5" t="s">
        <v>116</v>
      </c>
      <c r="R196" s="7"/>
      <c r="S196" s="7"/>
      <c r="T196" s="1">
        <v>1.3</v>
      </c>
    </row>
    <row r="197">
      <c r="C197" s="1">
        <v>10.0</v>
      </c>
      <c r="D197" s="9"/>
      <c r="E197" s="11" t="s">
        <v>1520</v>
      </c>
      <c r="F197" s="12" t="s">
        <v>1521</v>
      </c>
      <c r="G197" s="13" t="s">
        <v>921</v>
      </c>
      <c r="H197" s="14">
        <v>40.61564807</v>
      </c>
      <c r="I197" s="14">
        <v>-80.61809353</v>
      </c>
      <c r="L197" s="5">
        <v>40.61564807</v>
      </c>
      <c r="M197" s="5">
        <v>-80.61809353</v>
      </c>
      <c r="N197" s="7"/>
      <c r="O197" s="5">
        <v>3.0</v>
      </c>
      <c r="P197" s="5">
        <v>0.0</v>
      </c>
      <c r="Q197" s="5" t="s">
        <v>116</v>
      </c>
      <c r="R197" s="7"/>
      <c r="S197" s="7"/>
      <c r="T197" s="1">
        <v>1.0</v>
      </c>
    </row>
    <row r="198">
      <c r="C198" s="1">
        <v>3.0</v>
      </c>
      <c r="D198" s="9"/>
      <c r="E198" s="11" t="s">
        <v>1523</v>
      </c>
      <c r="F198" s="12">
        <v>25978.0</v>
      </c>
      <c r="G198" s="13" t="s">
        <v>486</v>
      </c>
      <c r="H198" s="27"/>
      <c r="I198" s="27"/>
      <c r="L198" s="5">
        <v>37.65095542</v>
      </c>
      <c r="M198" s="5">
        <v>-80.96845294</v>
      </c>
      <c r="N198" s="7"/>
      <c r="O198" s="5">
        <v>0.0</v>
      </c>
      <c r="P198" s="5">
        <v>0.0</v>
      </c>
      <c r="Q198" s="5" t="s">
        <v>116</v>
      </c>
      <c r="R198" s="7"/>
      <c r="S198" s="7"/>
      <c r="T198" s="1">
        <v>4.2</v>
      </c>
    </row>
    <row r="199">
      <c r="C199" s="1">
        <v>1.0</v>
      </c>
      <c r="D199" s="9"/>
      <c r="E199" s="11" t="s">
        <v>1526</v>
      </c>
      <c r="F199" s="12">
        <v>25143.0</v>
      </c>
      <c r="G199" s="13" t="s">
        <v>128</v>
      </c>
      <c r="H199" s="14">
        <v>38.39922313</v>
      </c>
      <c r="I199" s="14">
        <v>-81.83589191</v>
      </c>
      <c r="L199" s="5">
        <v>38.39922313</v>
      </c>
      <c r="M199" s="5">
        <v>-81.83589191</v>
      </c>
      <c r="N199" s="7"/>
      <c r="O199" s="5">
        <v>0.0</v>
      </c>
      <c r="P199" s="5">
        <v>0.0</v>
      </c>
      <c r="Q199" s="5" t="s">
        <v>116</v>
      </c>
      <c r="R199" s="7"/>
      <c r="S199" s="7"/>
      <c r="T199" s="1">
        <v>1.0</v>
      </c>
    </row>
    <row r="200">
      <c r="C200" s="1">
        <v>1.0</v>
      </c>
      <c r="D200" s="9"/>
      <c r="E200" s="11" t="s">
        <v>1528</v>
      </c>
      <c r="F200" s="12" t="s">
        <v>1529</v>
      </c>
      <c r="G200" s="13" t="s">
        <v>128</v>
      </c>
      <c r="H200" s="14">
        <v>38.43311339</v>
      </c>
      <c r="I200" s="14">
        <v>-81.83698595</v>
      </c>
      <c r="L200" s="5">
        <v>38.43311339</v>
      </c>
      <c r="M200" s="5">
        <v>-81.83698595</v>
      </c>
      <c r="N200" s="7"/>
      <c r="O200" s="5">
        <v>0.0</v>
      </c>
      <c r="P200" s="5">
        <v>0.0</v>
      </c>
      <c r="Q200" s="5" t="s">
        <v>116</v>
      </c>
      <c r="R200" s="7"/>
      <c r="S200" s="7"/>
      <c r="T200" s="1">
        <v>2.2</v>
      </c>
    </row>
    <row r="201">
      <c r="C201" s="1">
        <v>1.0</v>
      </c>
      <c r="D201" s="9"/>
      <c r="E201" s="11" t="s">
        <v>1530</v>
      </c>
      <c r="F201" s="12" t="s">
        <v>1531</v>
      </c>
      <c r="G201" s="13" t="s">
        <v>74</v>
      </c>
      <c r="H201" s="14">
        <v>37.97480537</v>
      </c>
      <c r="I201" s="14">
        <v>-81.15484564</v>
      </c>
      <c r="L201" s="5">
        <v>37.97480537</v>
      </c>
      <c r="M201" s="5">
        <v>-81.15484564</v>
      </c>
      <c r="N201" s="7"/>
      <c r="O201" s="5">
        <v>0.0</v>
      </c>
      <c r="P201" s="5">
        <v>0.0</v>
      </c>
      <c r="Q201" s="5" t="s">
        <v>116</v>
      </c>
      <c r="R201" s="7"/>
      <c r="S201" s="7"/>
      <c r="T201" s="1">
        <v>0.4</v>
      </c>
    </row>
    <row r="202">
      <c r="C202" s="1">
        <v>1.0</v>
      </c>
      <c r="D202" s="9"/>
      <c r="E202" s="11" t="s">
        <v>1534</v>
      </c>
      <c r="F202" s="12" t="s">
        <v>1535</v>
      </c>
      <c r="G202" s="13" t="s">
        <v>74</v>
      </c>
      <c r="H202" s="14">
        <v>37.99933276</v>
      </c>
      <c r="I202" s="14">
        <v>-81.13142896</v>
      </c>
      <c r="L202" s="5">
        <v>37.99933276</v>
      </c>
      <c r="M202" s="5">
        <v>-81.13142896</v>
      </c>
      <c r="N202" s="7"/>
      <c r="O202" s="5">
        <v>0.0</v>
      </c>
      <c r="P202" s="5">
        <v>0.0</v>
      </c>
      <c r="Q202" s="5" t="s">
        <v>116</v>
      </c>
      <c r="R202" s="7"/>
      <c r="S202" s="7"/>
      <c r="T202" s="1">
        <v>0.9</v>
      </c>
    </row>
    <row r="203">
      <c r="C203" s="1">
        <v>2.0</v>
      </c>
      <c r="D203" s="9"/>
      <c r="E203" s="11" t="s">
        <v>1536</v>
      </c>
      <c r="F203" s="12">
        <v>24870.0</v>
      </c>
      <c r="G203" s="13" t="s">
        <v>895</v>
      </c>
      <c r="H203" s="14">
        <v>37.69231833</v>
      </c>
      <c r="I203" s="14">
        <v>-81.623468</v>
      </c>
      <c r="L203" s="5">
        <v>37.69231833</v>
      </c>
      <c r="M203" s="5">
        <v>-81.623468</v>
      </c>
      <c r="N203" s="7"/>
      <c r="O203" s="5">
        <v>0.0</v>
      </c>
      <c r="P203" s="5">
        <v>0.0</v>
      </c>
      <c r="Q203" s="5" t="s">
        <v>116</v>
      </c>
      <c r="R203" s="7"/>
      <c r="S203" s="7"/>
      <c r="T203" s="1">
        <v>1.6</v>
      </c>
    </row>
    <row r="204">
      <c r="C204" s="1">
        <v>1.0</v>
      </c>
      <c r="D204" s="9"/>
      <c r="E204" s="11" t="s">
        <v>1537</v>
      </c>
      <c r="F204" s="12">
        <v>25545.0</v>
      </c>
      <c r="G204" s="13" t="s">
        <v>59</v>
      </c>
      <c r="H204" s="14">
        <v>38.41974016</v>
      </c>
      <c r="I204" s="14">
        <v>-82.22642721</v>
      </c>
      <c r="L204" s="5">
        <v>38.41974016</v>
      </c>
      <c r="M204" s="5">
        <v>-82.22642721</v>
      </c>
      <c r="N204" s="7"/>
      <c r="O204" s="5">
        <v>0.0</v>
      </c>
      <c r="P204" s="5">
        <v>0.0</v>
      </c>
      <c r="Q204" s="5" t="s">
        <v>116</v>
      </c>
      <c r="R204" s="7"/>
      <c r="S204" s="7"/>
      <c r="T204" s="1">
        <v>1.6</v>
      </c>
    </row>
    <row r="205">
      <c r="C205" s="1">
        <v>10.0</v>
      </c>
      <c r="D205" s="9"/>
      <c r="E205" s="45" t="s">
        <v>1538</v>
      </c>
      <c r="F205" s="12">
        <v>26159.0</v>
      </c>
      <c r="G205" s="13"/>
      <c r="H205" s="14"/>
      <c r="I205" s="14"/>
      <c r="L205" s="5">
        <v>39.60406292</v>
      </c>
      <c r="M205" s="5">
        <v>-80.93378573</v>
      </c>
      <c r="N205" s="7"/>
      <c r="O205" s="5">
        <v>3.0</v>
      </c>
      <c r="P205" s="5">
        <v>0.0</v>
      </c>
      <c r="Q205" s="5" t="s">
        <v>116</v>
      </c>
      <c r="R205" s="7"/>
      <c r="S205" s="7"/>
      <c r="T205" s="1">
        <v>4.4</v>
      </c>
    </row>
    <row r="206">
      <c r="C206" s="1">
        <v>1.0</v>
      </c>
      <c r="D206" s="9"/>
      <c r="E206" s="11" t="s">
        <v>1541</v>
      </c>
      <c r="F206" s="12" t="s">
        <v>1542</v>
      </c>
      <c r="G206" s="13" t="s">
        <v>268</v>
      </c>
      <c r="H206" s="14">
        <v>39.26399836</v>
      </c>
      <c r="I206" s="14">
        <v>-81.54831351</v>
      </c>
      <c r="L206" s="5">
        <v>39.26399836</v>
      </c>
      <c r="M206" s="5">
        <v>-81.54831351</v>
      </c>
      <c r="N206" s="7"/>
      <c r="O206" s="5">
        <v>0.0</v>
      </c>
      <c r="P206" s="5">
        <v>0.0</v>
      </c>
      <c r="Q206" s="5" t="s">
        <v>116</v>
      </c>
      <c r="R206" s="7"/>
      <c r="S206" s="7"/>
      <c r="T206" s="1">
        <v>0.5</v>
      </c>
    </row>
    <row r="207">
      <c r="C207" s="1">
        <v>1.0</v>
      </c>
      <c r="D207" s="9"/>
      <c r="E207" s="11" t="s">
        <v>1543</v>
      </c>
      <c r="F207" s="12" t="s">
        <v>1544</v>
      </c>
      <c r="G207" s="13" t="s">
        <v>268</v>
      </c>
      <c r="H207" s="14">
        <v>39.22170852</v>
      </c>
      <c r="I207" s="14">
        <v>-81.50483404</v>
      </c>
      <c r="L207" s="5">
        <v>39.22170852</v>
      </c>
      <c r="M207" s="5">
        <v>-81.50483404</v>
      </c>
      <c r="N207" s="7"/>
      <c r="O207" s="5">
        <v>0.0</v>
      </c>
      <c r="P207" s="5">
        <v>0.0</v>
      </c>
      <c r="Q207" s="5" t="s">
        <v>116</v>
      </c>
      <c r="R207" s="7"/>
      <c r="S207" s="7"/>
      <c r="T207" s="1">
        <v>2.2</v>
      </c>
    </row>
    <row r="208">
      <c r="C208" s="1">
        <v>1.0</v>
      </c>
      <c r="D208" s="9"/>
      <c r="E208" s="11" t="s">
        <v>1545</v>
      </c>
      <c r="F208" s="12">
        <v>26101.0</v>
      </c>
      <c r="G208" s="13" t="s">
        <v>268</v>
      </c>
      <c r="H208" s="27"/>
      <c r="I208" s="27"/>
      <c r="L208" s="5">
        <v>39.24738261</v>
      </c>
      <c r="M208" s="5">
        <v>-81.61423138</v>
      </c>
      <c r="N208" s="7"/>
      <c r="O208" s="5">
        <v>0.0</v>
      </c>
      <c r="P208" s="5">
        <v>0.0</v>
      </c>
      <c r="Q208" s="5" t="s">
        <v>116</v>
      </c>
      <c r="R208" s="7"/>
      <c r="S208" s="7"/>
      <c r="T208" s="1">
        <v>2.6</v>
      </c>
    </row>
    <row r="209">
      <c r="C209" s="1">
        <v>1.0</v>
      </c>
      <c r="D209" s="9"/>
      <c r="E209" s="11" t="s">
        <v>1546</v>
      </c>
      <c r="F209" s="12" t="s">
        <v>1547</v>
      </c>
      <c r="G209" s="13" t="s">
        <v>268</v>
      </c>
      <c r="H209" s="14">
        <v>39.23641511</v>
      </c>
      <c r="I209" s="14">
        <v>-81.5419526</v>
      </c>
      <c r="L209" s="5">
        <v>39.23641511</v>
      </c>
      <c r="M209" s="5">
        <v>-81.5419526</v>
      </c>
      <c r="N209" s="7"/>
      <c r="O209" s="5">
        <v>0.0</v>
      </c>
      <c r="P209" s="5">
        <v>0.0</v>
      </c>
      <c r="Q209" s="5" t="s">
        <v>116</v>
      </c>
      <c r="R209" s="7"/>
      <c r="S209" s="7"/>
      <c r="T209" s="1">
        <v>0.1</v>
      </c>
    </row>
    <row r="210">
      <c r="C210" s="1">
        <v>1.0</v>
      </c>
      <c r="D210" s="9"/>
      <c r="E210" s="11" t="s">
        <v>1550</v>
      </c>
      <c r="F210" s="12" t="s">
        <v>1551</v>
      </c>
      <c r="G210" s="13" t="s">
        <v>268</v>
      </c>
      <c r="H210" s="14">
        <v>39.28381335</v>
      </c>
      <c r="I210" s="14">
        <v>-81.53658512</v>
      </c>
      <c r="L210" s="5">
        <v>39.28381335</v>
      </c>
      <c r="M210" s="5">
        <v>-81.53658512</v>
      </c>
      <c r="N210" s="7"/>
      <c r="O210" s="5">
        <v>0.0</v>
      </c>
      <c r="P210" s="5">
        <v>0.0</v>
      </c>
      <c r="Q210" s="5" t="s">
        <v>116</v>
      </c>
      <c r="R210" s="7"/>
      <c r="S210" s="7"/>
      <c r="T210" s="1">
        <v>0.6</v>
      </c>
    </row>
    <row r="211">
      <c r="C211" s="1">
        <v>1.0</v>
      </c>
      <c r="D211" s="9"/>
      <c r="E211" s="11" t="s">
        <v>1552</v>
      </c>
      <c r="F211" s="12" t="s">
        <v>1553</v>
      </c>
      <c r="G211" s="13" t="s">
        <v>268</v>
      </c>
      <c r="H211" s="14">
        <v>39.29883825</v>
      </c>
      <c r="I211" s="14">
        <v>-81.51402821</v>
      </c>
      <c r="L211" s="5">
        <v>39.29883825</v>
      </c>
      <c r="M211" s="5">
        <v>-81.51402821</v>
      </c>
      <c r="N211" s="7"/>
      <c r="O211" s="5">
        <v>0.0</v>
      </c>
      <c r="P211" s="5">
        <v>0.0</v>
      </c>
      <c r="Q211" s="5" t="s">
        <v>116</v>
      </c>
      <c r="R211" s="7"/>
      <c r="S211" s="7"/>
      <c r="T211" s="1">
        <v>1.0</v>
      </c>
    </row>
    <row r="212">
      <c r="C212" s="1">
        <v>1.0</v>
      </c>
      <c r="D212" s="9"/>
      <c r="E212" s="11" t="s">
        <v>1554</v>
      </c>
      <c r="F212" s="12" t="s">
        <v>1555</v>
      </c>
      <c r="G212" s="13" t="s">
        <v>268</v>
      </c>
      <c r="H212" s="27"/>
      <c r="I212" s="27"/>
      <c r="L212" s="5">
        <v>39.24699432</v>
      </c>
      <c r="M212" s="5">
        <v>-81.57783624</v>
      </c>
      <c r="N212" s="7"/>
      <c r="O212" s="5">
        <v>0.0</v>
      </c>
      <c r="P212" s="5">
        <v>0.0</v>
      </c>
      <c r="Q212" s="5" t="s">
        <v>116</v>
      </c>
      <c r="R212" s="7"/>
      <c r="S212" s="7"/>
      <c r="T212" s="1">
        <v>1.1</v>
      </c>
    </row>
    <row r="213">
      <c r="C213" s="1">
        <v>10.0</v>
      </c>
      <c r="D213" s="9"/>
      <c r="E213" s="11" t="s">
        <v>1556</v>
      </c>
      <c r="F213" s="12" t="s">
        <v>1557</v>
      </c>
      <c r="G213" s="13" t="s">
        <v>839</v>
      </c>
      <c r="H213" s="14">
        <v>39.09828849</v>
      </c>
      <c r="I213" s="14">
        <v>-79.67618499</v>
      </c>
      <c r="L213" s="5">
        <v>39.09828849</v>
      </c>
      <c r="M213" s="5">
        <v>-79.67618499</v>
      </c>
      <c r="N213" s="7"/>
      <c r="O213" s="5">
        <v>3.0</v>
      </c>
      <c r="P213" s="5">
        <v>2.0</v>
      </c>
      <c r="Q213" s="5" t="s">
        <v>619</v>
      </c>
      <c r="R213" s="7"/>
      <c r="S213" s="7"/>
      <c r="T213" s="1">
        <v>0.1</v>
      </c>
    </row>
    <row r="214">
      <c r="C214" s="1">
        <v>2.0</v>
      </c>
      <c r="D214" s="9"/>
      <c r="E214" s="11" t="s">
        <v>1560</v>
      </c>
      <c r="F214" s="46" t="s">
        <v>1561</v>
      </c>
      <c r="G214" s="13" t="s">
        <v>433</v>
      </c>
      <c r="H214" s="27"/>
      <c r="I214" s="27"/>
      <c r="L214" s="5">
        <v>39.53413091</v>
      </c>
      <c r="M214" s="5">
        <v>-78.456143</v>
      </c>
      <c r="N214" s="7"/>
      <c r="O214" s="5">
        <v>0.0</v>
      </c>
      <c r="P214" s="5">
        <v>0.0</v>
      </c>
      <c r="Q214" s="5" t="s">
        <v>116</v>
      </c>
      <c r="R214" s="7"/>
      <c r="S214" s="7"/>
      <c r="T214" s="1">
        <v>12.6</v>
      </c>
    </row>
    <row r="215">
      <c r="C215" s="1">
        <v>10.0</v>
      </c>
      <c r="D215" s="9"/>
      <c r="E215" s="11" t="s">
        <v>1562</v>
      </c>
      <c r="F215" s="12" t="s">
        <v>1563</v>
      </c>
      <c r="G215" s="13" t="s">
        <v>726</v>
      </c>
      <c r="H215" s="27"/>
      <c r="I215" s="27"/>
      <c r="L215" s="5">
        <v>37.34171094</v>
      </c>
      <c r="M215" s="5">
        <v>-81.72564048</v>
      </c>
      <c r="N215" s="7"/>
      <c r="O215" s="5">
        <v>3.0</v>
      </c>
      <c r="P215" s="5">
        <v>4.0</v>
      </c>
      <c r="Q215" s="5" t="s">
        <v>1190</v>
      </c>
      <c r="R215" s="7"/>
      <c r="S215" s="7"/>
      <c r="T215" s="1">
        <v>3.4</v>
      </c>
    </row>
    <row r="216">
      <c r="C216" s="1">
        <v>8.0</v>
      </c>
      <c r="D216" s="9"/>
      <c r="E216" s="11" t="s">
        <v>1564</v>
      </c>
      <c r="F216" s="12">
        <v>25547.0</v>
      </c>
      <c r="G216" s="13" t="s">
        <v>153</v>
      </c>
      <c r="H216" s="14">
        <v>37.92925906</v>
      </c>
      <c r="I216" s="14">
        <v>-81.98162511</v>
      </c>
      <c r="L216" s="5">
        <v>37.92925906</v>
      </c>
      <c r="M216" s="5">
        <v>-81.98162511</v>
      </c>
      <c r="N216" s="7"/>
      <c r="O216" s="5">
        <v>2.0</v>
      </c>
      <c r="P216" s="5">
        <v>0.0</v>
      </c>
      <c r="Q216" s="5" t="s">
        <v>116</v>
      </c>
      <c r="R216" s="7"/>
      <c r="S216" s="7"/>
      <c r="T216" s="1">
        <v>3.7</v>
      </c>
    </row>
    <row r="217">
      <c r="C217" s="1">
        <v>10.0</v>
      </c>
      <c r="D217" s="9"/>
      <c r="E217" s="11" t="s">
        <v>1567</v>
      </c>
      <c r="F217" s="12" t="s">
        <v>1568</v>
      </c>
      <c r="G217" s="13" t="s">
        <v>826</v>
      </c>
      <c r="H217" s="14">
        <v>39.28485146</v>
      </c>
      <c r="I217" s="14">
        <v>-80.97438644</v>
      </c>
      <c r="L217" s="5">
        <v>39.28485146</v>
      </c>
      <c r="M217" s="5">
        <v>-80.97438644</v>
      </c>
      <c r="N217" s="7"/>
      <c r="O217" s="5">
        <v>3.0</v>
      </c>
      <c r="P217" s="5">
        <v>0.0</v>
      </c>
      <c r="Q217" s="5" t="s">
        <v>116</v>
      </c>
      <c r="R217" s="7"/>
      <c r="S217" s="7"/>
      <c r="T217" s="1">
        <v>6.0</v>
      </c>
    </row>
    <row r="218">
      <c r="C218" s="1">
        <v>10.0</v>
      </c>
      <c r="D218" s="9"/>
      <c r="E218" s="11" t="s">
        <v>1570</v>
      </c>
      <c r="F218" s="12" t="s">
        <v>1571</v>
      </c>
      <c r="G218" s="13" t="s">
        <v>717</v>
      </c>
      <c r="H218" s="14">
        <v>38.99107279</v>
      </c>
      <c r="I218" s="14">
        <v>-79.12514355</v>
      </c>
      <c r="L218" s="5">
        <v>38.99107279</v>
      </c>
      <c r="M218" s="5">
        <v>-79.12514355</v>
      </c>
      <c r="N218" s="7"/>
      <c r="O218" s="5">
        <v>3.0</v>
      </c>
      <c r="P218" s="5">
        <v>4.0</v>
      </c>
      <c r="Q218" s="5" t="s">
        <v>1190</v>
      </c>
      <c r="R218" s="7"/>
      <c r="S218" s="7"/>
      <c r="T218" s="1">
        <v>0.6</v>
      </c>
    </row>
    <row r="219">
      <c r="C219" s="1">
        <v>10.0</v>
      </c>
      <c r="D219" s="9"/>
      <c r="E219" s="11" t="s">
        <v>1574</v>
      </c>
      <c r="F219" s="12">
        <v>24963.0</v>
      </c>
      <c r="G219" s="13" t="s">
        <v>982</v>
      </c>
      <c r="H219" s="14">
        <v>37.45191556</v>
      </c>
      <c r="I219" s="14">
        <v>-80.77965204</v>
      </c>
      <c r="L219" s="5">
        <v>37.45191556</v>
      </c>
      <c r="M219" s="5">
        <v>-80.77965204</v>
      </c>
      <c r="N219" s="7"/>
      <c r="O219" s="5">
        <v>3.0</v>
      </c>
      <c r="P219" s="5">
        <v>0.0</v>
      </c>
      <c r="Q219" s="5" t="s">
        <v>116</v>
      </c>
      <c r="R219" s="7"/>
      <c r="S219" s="7"/>
      <c r="T219" s="1">
        <v>5.4</v>
      </c>
    </row>
    <row r="220">
      <c r="C220" s="1">
        <v>10.0</v>
      </c>
      <c r="D220" s="9"/>
      <c r="E220" s="11" t="s">
        <v>1575</v>
      </c>
      <c r="F220" s="12" t="s">
        <v>1578</v>
      </c>
      <c r="G220" s="13" t="s">
        <v>467</v>
      </c>
      <c r="H220" s="27"/>
      <c r="I220" s="27"/>
      <c r="L220" s="5">
        <v>39.14497454</v>
      </c>
      <c r="M220" s="5">
        <v>-80.03573307</v>
      </c>
      <c r="N220" s="7"/>
      <c r="O220" s="5">
        <v>3.0</v>
      </c>
      <c r="P220" s="5">
        <v>0.0</v>
      </c>
      <c r="Q220" s="5" t="s">
        <v>116</v>
      </c>
      <c r="R220" s="7"/>
      <c r="S220" s="7"/>
      <c r="T220" s="1">
        <v>0.0</v>
      </c>
    </row>
    <row r="221">
      <c r="C221" s="1">
        <v>10.0</v>
      </c>
      <c r="D221" s="9"/>
      <c r="E221" s="11" t="s">
        <v>1579</v>
      </c>
      <c r="F221" s="12">
        <v>26419.0</v>
      </c>
      <c r="G221" s="13" t="s">
        <v>263</v>
      </c>
      <c r="H221" s="27"/>
      <c r="I221" s="27"/>
      <c r="L221" s="5">
        <v>39.56325476</v>
      </c>
      <c r="M221" s="5">
        <v>-80.69415105</v>
      </c>
      <c r="N221" s="7"/>
      <c r="O221" s="5">
        <v>3.0</v>
      </c>
      <c r="P221" s="5">
        <v>0.0</v>
      </c>
      <c r="Q221" s="5" t="s">
        <v>116</v>
      </c>
      <c r="R221" s="7"/>
      <c r="S221" s="7"/>
      <c r="T221" s="1">
        <v>10.6</v>
      </c>
    </row>
    <row r="222">
      <c r="C222" s="1">
        <v>10.0</v>
      </c>
      <c r="D222" s="9"/>
      <c r="E222" s="11" t="s">
        <v>1580</v>
      </c>
      <c r="F222" s="12" t="s">
        <v>1582</v>
      </c>
      <c r="G222" s="13" t="s">
        <v>895</v>
      </c>
      <c r="H222" s="14">
        <v>37.60056678</v>
      </c>
      <c r="I222" s="14">
        <v>-81.53275602</v>
      </c>
      <c r="L222" s="5">
        <v>37.60056678</v>
      </c>
      <c r="M222" s="5">
        <v>-81.53275602</v>
      </c>
      <c r="N222" s="7"/>
      <c r="O222" s="5">
        <v>3.0</v>
      </c>
      <c r="P222" s="5">
        <v>0.0</v>
      </c>
      <c r="Q222" s="5" t="s">
        <v>116</v>
      </c>
      <c r="R222" s="7"/>
      <c r="S222" s="7"/>
      <c r="T222" s="1">
        <v>0.9</v>
      </c>
    </row>
    <row r="223">
      <c r="C223" s="1">
        <v>1.0</v>
      </c>
      <c r="D223" s="9"/>
      <c r="E223" s="11" t="s">
        <v>1583</v>
      </c>
      <c r="F223" s="12" t="s">
        <v>1586</v>
      </c>
      <c r="G223" s="13" t="s">
        <v>218</v>
      </c>
      <c r="H223" s="14">
        <v>38.47297785</v>
      </c>
      <c r="I223" s="14">
        <v>-81.81410069</v>
      </c>
      <c r="L223" s="5">
        <v>38.47297785</v>
      </c>
      <c r="M223" s="5">
        <v>-81.81410069</v>
      </c>
      <c r="N223" s="7"/>
      <c r="O223" s="5">
        <v>0.0</v>
      </c>
      <c r="P223" s="5">
        <v>0.0</v>
      </c>
      <c r="Q223" s="5" t="s">
        <v>116</v>
      </c>
      <c r="R223" s="7"/>
      <c r="S223" s="7"/>
      <c r="T223" s="1">
        <v>0.1</v>
      </c>
    </row>
    <row r="224">
      <c r="C224" s="1">
        <v>5.0</v>
      </c>
      <c r="D224" s="9"/>
      <c r="E224" s="11" t="s">
        <v>1587</v>
      </c>
      <c r="F224" s="12" t="s">
        <v>1588</v>
      </c>
      <c r="G224" s="13" t="s">
        <v>168</v>
      </c>
      <c r="H224" s="14">
        <v>38.84548269</v>
      </c>
      <c r="I224" s="14">
        <v>-82.0663537</v>
      </c>
      <c r="L224" s="5">
        <v>38.84548269</v>
      </c>
      <c r="M224" s="5">
        <v>-82.0663537</v>
      </c>
      <c r="N224" s="7"/>
      <c r="O224" s="5">
        <v>1.0</v>
      </c>
      <c r="P224" s="5">
        <v>0.0</v>
      </c>
      <c r="Q224" s="5" t="s">
        <v>116</v>
      </c>
      <c r="R224" s="7"/>
      <c r="S224" s="7"/>
      <c r="T224" s="1">
        <v>3.8</v>
      </c>
    </row>
    <row r="225">
      <c r="C225" s="1">
        <v>5.0</v>
      </c>
      <c r="D225" s="9"/>
      <c r="E225" s="11" t="s">
        <v>1589</v>
      </c>
      <c r="F225" s="12" t="s">
        <v>1590</v>
      </c>
      <c r="G225" s="13" t="s">
        <v>168</v>
      </c>
      <c r="H225" s="27"/>
      <c r="I225" s="27"/>
      <c r="L225" s="5">
        <v>38.8830577</v>
      </c>
      <c r="M225" s="5">
        <v>-82.12442953</v>
      </c>
      <c r="N225" s="7"/>
      <c r="O225" s="5">
        <v>1.0</v>
      </c>
      <c r="P225" s="5">
        <v>0.0</v>
      </c>
      <c r="Q225" s="5" t="s">
        <v>116</v>
      </c>
      <c r="R225" s="7"/>
      <c r="S225" s="7"/>
      <c r="T225" s="1">
        <v>3.0</v>
      </c>
    </row>
    <row r="226">
      <c r="C226" s="1">
        <v>5.0</v>
      </c>
      <c r="D226" s="9"/>
      <c r="E226" s="11" t="s">
        <v>1591</v>
      </c>
      <c r="F226" s="12" t="s">
        <v>1592</v>
      </c>
      <c r="G226" s="13" t="s">
        <v>168</v>
      </c>
      <c r="H226" s="14">
        <v>38.84789344</v>
      </c>
      <c r="I226" s="14">
        <v>-82.1365169</v>
      </c>
      <c r="L226" s="5">
        <v>38.84789344</v>
      </c>
      <c r="M226" s="5">
        <v>-82.1365169</v>
      </c>
      <c r="N226" s="7"/>
      <c r="O226" s="5">
        <v>1.0</v>
      </c>
      <c r="P226" s="5">
        <v>0.0</v>
      </c>
      <c r="Q226" s="5" t="s">
        <v>116</v>
      </c>
      <c r="R226" s="7"/>
      <c r="S226" s="7"/>
      <c r="T226" s="1">
        <v>0.5</v>
      </c>
    </row>
    <row r="227">
      <c r="C227" s="1">
        <v>2.0</v>
      </c>
      <c r="D227" s="9"/>
      <c r="E227" s="11" t="s">
        <v>1593</v>
      </c>
      <c r="F227" s="12">
        <v>25555.0</v>
      </c>
      <c r="G227" s="13" t="s">
        <v>256</v>
      </c>
      <c r="H227" s="14">
        <v>38.2436921</v>
      </c>
      <c r="I227" s="14">
        <v>-82.58816818</v>
      </c>
      <c r="L227" s="5">
        <v>38.2436921</v>
      </c>
      <c r="M227" s="5">
        <v>-82.58816818</v>
      </c>
      <c r="N227" s="7"/>
      <c r="O227" s="5">
        <v>0.0</v>
      </c>
      <c r="P227" s="5">
        <v>0.0</v>
      </c>
      <c r="Q227" s="5" t="s">
        <v>116</v>
      </c>
      <c r="R227" s="7"/>
      <c r="S227" s="7"/>
      <c r="T227" s="1">
        <v>8.6</v>
      </c>
    </row>
    <row r="228">
      <c r="C228" s="1">
        <v>4.0</v>
      </c>
      <c r="D228" s="9"/>
      <c r="E228" s="11" t="s">
        <v>1596</v>
      </c>
      <c r="F228" s="12" t="s">
        <v>1597</v>
      </c>
      <c r="G228" s="13" t="s">
        <v>175</v>
      </c>
      <c r="H228" s="14">
        <v>37.36591353</v>
      </c>
      <c r="I228" s="14">
        <v>-81.11475881</v>
      </c>
      <c r="L228" s="5">
        <v>37.36591353</v>
      </c>
      <c r="M228" s="5">
        <v>-81.11475881</v>
      </c>
      <c r="N228" s="7"/>
      <c r="O228" s="5">
        <v>1.0</v>
      </c>
      <c r="P228" s="5">
        <v>0.0</v>
      </c>
      <c r="Q228" s="5" t="s">
        <v>116</v>
      </c>
      <c r="R228" s="7"/>
      <c r="S228" s="7"/>
      <c r="T228" s="1">
        <v>0.8</v>
      </c>
    </row>
    <row r="229">
      <c r="C229" s="1">
        <v>4.0</v>
      </c>
      <c r="D229" s="9"/>
      <c r="E229" s="11" t="s">
        <v>1599</v>
      </c>
      <c r="F229" s="12" t="s">
        <v>1600</v>
      </c>
      <c r="G229" s="13" t="s">
        <v>175</v>
      </c>
      <c r="H229" s="14">
        <v>37.37386232</v>
      </c>
      <c r="I229" s="14">
        <v>-81.06773682</v>
      </c>
      <c r="L229" s="5">
        <v>37.37386232</v>
      </c>
      <c r="M229" s="5">
        <v>-81.06773682</v>
      </c>
      <c r="N229" s="7"/>
      <c r="O229" s="5">
        <v>1.0</v>
      </c>
      <c r="P229" s="5">
        <v>0.0</v>
      </c>
      <c r="Q229" s="5" t="s">
        <v>116</v>
      </c>
      <c r="R229" s="7"/>
      <c r="S229" s="7"/>
      <c r="T229" s="1">
        <v>0.5</v>
      </c>
    </row>
    <row r="230">
      <c r="C230" s="1">
        <v>4.0</v>
      </c>
      <c r="D230" s="9"/>
      <c r="E230" s="11" t="s">
        <v>1601</v>
      </c>
      <c r="F230" s="12">
        <v>24740.0</v>
      </c>
      <c r="G230" s="13" t="s">
        <v>175</v>
      </c>
      <c r="H230" s="14">
        <v>37.38385402</v>
      </c>
      <c r="I230" s="14">
        <v>-81.1218415</v>
      </c>
      <c r="L230" s="5">
        <v>37.38385402</v>
      </c>
      <c r="M230" s="5">
        <v>-81.1218415</v>
      </c>
      <c r="N230" s="7"/>
      <c r="O230" s="5">
        <v>1.0</v>
      </c>
      <c r="P230" s="5">
        <v>0.0</v>
      </c>
      <c r="Q230" s="5" t="s">
        <v>116</v>
      </c>
      <c r="R230" s="7"/>
      <c r="S230" s="7"/>
      <c r="T230" s="1">
        <v>1.7</v>
      </c>
    </row>
    <row r="231">
      <c r="C231" s="1">
        <v>4.0</v>
      </c>
      <c r="D231" s="9"/>
      <c r="E231" s="11" t="s">
        <v>1602</v>
      </c>
      <c r="F231" s="12" t="s">
        <v>1603</v>
      </c>
      <c r="G231" s="13" t="s">
        <v>175</v>
      </c>
      <c r="H231" s="14">
        <v>37.36236579</v>
      </c>
      <c r="I231" s="14">
        <v>-81.0966948</v>
      </c>
      <c r="L231" s="5">
        <v>37.36236579</v>
      </c>
      <c r="M231" s="5">
        <v>-81.0966948</v>
      </c>
      <c r="N231" s="7"/>
      <c r="O231" s="5">
        <v>1.0</v>
      </c>
      <c r="P231" s="5">
        <v>0.0</v>
      </c>
      <c r="Q231" s="5" t="s">
        <v>116</v>
      </c>
      <c r="R231" s="7"/>
      <c r="S231" s="7"/>
      <c r="T231" s="1">
        <v>0.1</v>
      </c>
    </row>
    <row r="232">
      <c r="C232" s="1">
        <v>4.0</v>
      </c>
      <c r="D232" s="9"/>
      <c r="E232" s="11" t="s">
        <v>1606</v>
      </c>
      <c r="F232" s="12">
        <v>24739.0</v>
      </c>
      <c r="G232" s="13" t="s">
        <v>175</v>
      </c>
      <c r="H232" s="14">
        <v>37.34265886</v>
      </c>
      <c r="I232" s="14">
        <v>-81.13111645</v>
      </c>
      <c r="L232" s="5">
        <v>37.34265886</v>
      </c>
      <c r="M232" s="5">
        <v>-81.13111645</v>
      </c>
      <c r="N232" s="7"/>
      <c r="O232" s="5">
        <v>1.0</v>
      </c>
      <c r="P232" s="5">
        <v>0.0</v>
      </c>
      <c r="Q232" s="5" t="s">
        <v>116</v>
      </c>
      <c r="R232" s="7"/>
      <c r="S232" s="7"/>
      <c r="T232" s="1">
        <v>1.5</v>
      </c>
    </row>
    <row r="233">
      <c r="C233" s="1">
        <v>10.0</v>
      </c>
      <c r="D233" s="9"/>
      <c r="E233" s="11" t="s">
        <v>1607</v>
      </c>
      <c r="F233" s="12" t="s">
        <v>1608</v>
      </c>
      <c r="G233" s="13" t="s">
        <v>82</v>
      </c>
      <c r="H233" s="14">
        <v>37.9676342</v>
      </c>
      <c r="I233" s="14">
        <v>-80.77869332</v>
      </c>
      <c r="L233" s="5">
        <v>37.9676342</v>
      </c>
      <c r="M233" s="5">
        <v>-80.77869332</v>
      </c>
      <c r="N233" s="7"/>
      <c r="O233" s="5">
        <v>3.0</v>
      </c>
      <c r="P233" s="5">
        <v>0.0</v>
      </c>
      <c r="Q233" s="5" t="s">
        <v>116</v>
      </c>
      <c r="R233" s="7"/>
      <c r="S233" s="7"/>
      <c r="T233" s="1">
        <v>0.2</v>
      </c>
    </row>
    <row r="234">
      <c r="C234" s="1">
        <v>4.0</v>
      </c>
      <c r="D234" s="9"/>
      <c r="E234" s="11" t="s">
        <v>1609</v>
      </c>
      <c r="F234" s="12" t="s">
        <v>1610</v>
      </c>
      <c r="G234" s="13" t="s">
        <v>123</v>
      </c>
      <c r="H234" s="14">
        <v>39.30577069</v>
      </c>
      <c r="I234" s="14">
        <v>-77.86382395</v>
      </c>
      <c r="L234" s="5">
        <v>39.30577069</v>
      </c>
      <c r="M234" s="5">
        <v>-77.86382395</v>
      </c>
      <c r="N234" s="7"/>
      <c r="O234" s="5">
        <v>1.0</v>
      </c>
      <c r="P234" s="5">
        <v>0.0</v>
      </c>
      <c r="Q234" s="5" t="s">
        <v>116</v>
      </c>
      <c r="R234" s="7"/>
      <c r="S234" s="7"/>
      <c r="T234" s="1">
        <v>1.3</v>
      </c>
    </row>
    <row r="235">
      <c r="C235" s="1">
        <v>10.0</v>
      </c>
      <c r="D235" s="9"/>
      <c r="E235" s="11" t="s">
        <v>1613</v>
      </c>
      <c r="F235" s="12" t="s">
        <v>1614</v>
      </c>
      <c r="G235" s="13" t="s">
        <v>111</v>
      </c>
      <c r="H235" s="14">
        <v>38.95631531</v>
      </c>
      <c r="I235" s="14">
        <v>-81.76774336</v>
      </c>
      <c r="L235" s="5">
        <v>38.95631531</v>
      </c>
      <c r="M235" s="5">
        <v>-81.76774336</v>
      </c>
      <c r="N235" s="7"/>
      <c r="O235" s="5">
        <v>3.0</v>
      </c>
      <c r="P235" s="5">
        <v>0.0</v>
      </c>
      <c r="Q235" s="5" t="s">
        <v>116</v>
      </c>
      <c r="R235" s="7"/>
      <c r="S235" s="7"/>
      <c r="T235" s="1">
        <v>0.4</v>
      </c>
    </row>
    <row r="236">
      <c r="C236" s="1">
        <v>2.0</v>
      </c>
      <c r="D236" s="9"/>
      <c r="E236" s="11" t="s">
        <v>1615</v>
      </c>
      <c r="F236" s="12" t="s">
        <v>1616</v>
      </c>
      <c r="G236" s="13" t="s">
        <v>105</v>
      </c>
      <c r="H236" s="14">
        <v>39.51303076</v>
      </c>
      <c r="I236" s="14">
        <v>-79.79835952</v>
      </c>
      <c r="L236" s="5">
        <v>39.51303076</v>
      </c>
      <c r="M236" s="5">
        <v>-79.79835952</v>
      </c>
      <c r="N236" s="7"/>
      <c r="O236" s="5">
        <v>0.0</v>
      </c>
      <c r="P236" s="5">
        <v>0.0</v>
      </c>
      <c r="Q236" s="5" t="s">
        <v>116</v>
      </c>
      <c r="R236" s="7"/>
      <c r="S236" s="7"/>
      <c r="T236" s="1">
        <v>0.1</v>
      </c>
    </row>
    <row r="237">
      <c r="C237" s="1">
        <v>10.0</v>
      </c>
      <c r="D237" s="9"/>
      <c r="E237" s="11" t="s">
        <v>1617</v>
      </c>
      <c r="F237" s="12">
        <v>26261.0</v>
      </c>
      <c r="G237" s="13" t="s">
        <v>198</v>
      </c>
      <c r="H237" s="14">
        <v>38.22680895</v>
      </c>
      <c r="I237" s="14">
        <v>-80.52822827</v>
      </c>
      <c r="L237" s="5">
        <v>38.22680895</v>
      </c>
      <c r="M237" s="5">
        <v>-80.52822827</v>
      </c>
      <c r="N237" s="7"/>
      <c r="O237" s="5">
        <v>3.0</v>
      </c>
      <c r="P237" s="5">
        <v>0.0</v>
      </c>
      <c r="Q237" s="5" t="s">
        <v>116</v>
      </c>
      <c r="R237" s="7"/>
      <c r="S237" s="7"/>
      <c r="T237" s="1">
        <v>9.5</v>
      </c>
    </row>
    <row r="238">
      <c r="C238" s="1">
        <v>5.0</v>
      </c>
      <c r="D238" s="9"/>
      <c r="E238" s="11" t="s">
        <v>1620</v>
      </c>
      <c r="F238" s="12" t="s">
        <v>1621</v>
      </c>
      <c r="G238" s="13" t="s">
        <v>181</v>
      </c>
      <c r="H238" s="27"/>
      <c r="I238" s="27"/>
      <c r="L238" s="5">
        <v>39.55815944</v>
      </c>
      <c r="M238" s="5">
        <v>-78.80257619</v>
      </c>
      <c r="N238" s="7"/>
      <c r="O238" s="5">
        <v>1.0</v>
      </c>
      <c r="P238" s="5">
        <v>1.0</v>
      </c>
      <c r="Q238" s="5" t="s">
        <v>471</v>
      </c>
      <c r="R238" s="7"/>
      <c r="S238" s="7"/>
      <c r="T238" s="1">
        <v>4.9</v>
      </c>
    </row>
    <row r="239">
      <c r="C239" s="1">
        <v>10.0</v>
      </c>
      <c r="D239" s="9"/>
      <c r="E239" s="11" t="s">
        <v>1622</v>
      </c>
      <c r="F239" s="12" t="s">
        <v>1625</v>
      </c>
      <c r="G239" s="13" t="s">
        <v>111</v>
      </c>
      <c r="H239" s="27"/>
      <c r="I239" s="27"/>
      <c r="L239" s="5">
        <v>38.82823875</v>
      </c>
      <c r="M239" s="5">
        <v>-81.765555</v>
      </c>
      <c r="N239" s="7"/>
      <c r="O239" s="5">
        <v>3.0</v>
      </c>
      <c r="P239" s="5">
        <v>0.0</v>
      </c>
      <c r="Q239" s="5" t="s">
        <v>116</v>
      </c>
      <c r="R239" s="7"/>
      <c r="S239" s="7"/>
      <c r="T239" s="1">
        <v>2.4</v>
      </c>
    </row>
    <row r="240">
      <c r="C240" s="1">
        <v>10.0</v>
      </c>
      <c r="D240" s="9"/>
      <c r="E240" s="11" t="s">
        <v>1626</v>
      </c>
      <c r="F240" s="12">
        <v>25271.0</v>
      </c>
      <c r="G240" s="13" t="s">
        <v>111</v>
      </c>
      <c r="H240" s="14">
        <v>38.81884803</v>
      </c>
      <c r="I240" s="14">
        <v>-81.71422028</v>
      </c>
      <c r="L240" s="5">
        <v>38.81884803</v>
      </c>
      <c r="M240" s="5">
        <v>-81.71422028</v>
      </c>
      <c r="N240" s="7"/>
      <c r="O240" s="5">
        <v>3.0</v>
      </c>
      <c r="P240" s="5">
        <v>0.0</v>
      </c>
      <c r="Q240" s="5" t="s">
        <v>116</v>
      </c>
      <c r="R240" s="7"/>
      <c r="S240" s="7"/>
      <c r="T240" s="1">
        <v>0.4</v>
      </c>
    </row>
    <row r="241">
      <c r="C241" s="1">
        <v>10.0</v>
      </c>
      <c r="D241" s="9"/>
      <c r="E241" s="11" t="s">
        <v>1628</v>
      </c>
      <c r="F241" s="12" t="s">
        <v>1629</v>
      </c>
      <c r="G241" s="13" t="s">
        <v>111</v>
      </c>
      <c r="H241" s="27"/>
      <c r="I241" s="27"/>
      <c r="L241" s="5">
        <v>38.76810308</v>
      </c>
      <c r="M241" s="5">
        <v>-81.69629994</v>
      </c>
      <c r="N241" s="7"/>
      <c r="O241" s="5">
        <v>3.0</v>
      </c>
      <c r="P241" s="5">
        <v>0.0</v>
      </c>
      <c r="Q241" s="5" t="s">
        <v>116</v>
      </c>
      <c r="R241" s="7"/>
      <c r="S241" s="7"/>
      <c r="T241" s="1">
        <v>3.8</v>
      </c>
    </row>
    <row r="242">
      <c r="C242" s="1">
        <v>5.0</v>
      </c>
      <c r="D242" s="9"/>
      <c r="E242" s="47" t="s">
        <v>1630</v>
      </c>
      <c r="F242" s="12" t="s">
        <v>1633</v>
      </c>
      <c r="G242" s="13" t="s">
        <v>175</v>
      </c>
      <c r="H242" s="27"/>
      <c r="I242" s="27"/>
      <c r="L242" s="5">
        <v>37.42140068</v>
      </c>
      <c r="M242" s="5">
        <v>-81.19856962</v>
      </c>
      <c r="N242" s="7"/>
      <c r="O242" s="5">
        <v>1.0</v>
      </c>
      <c r="P242" s="5">
        <v>0.0</v>
      </c>
      <c r="Q242" s="5" t="s">
        <v>116</v>
      </c>
      <c r="R242" s="7"/>
      <c r="S242" s="7"/>
      <c r="T242" s="1">
        <v>0.0</v>
      </c>
    </row>
    <row r="243">
      <c r="C243" s="1">
        <v>2.0</v>
      </c>
      <c r="D243" s="9"/>
      <c r="E243" s="11" t="s">
        <v>1634</v>
      </c>
      <c r="F243" s="12" t="s">
        <v>1636</v>
      </c>
      <c r="G243" s="13" t="s">
        <v>273</v>
      </c>
      <c r="H243" s="14">
        <v>39.32826097</v>
      </c>
      <c r="I243" s="14">
        <v>-78.70658915</v>
      </c>
      <c r="L243" s="5">
        <v>39.32826097</v>
      </c>
      <c r="M243" s="5">
        <v>-78.70658915</v>
      </c>
      <c r="N243" s="7"/>
      <c r="O243" s="5">
        <v>0.0</v>
      </c>
      <c r="P243" s="5">
        <v>0.0</v>
      </c>
      <c r="Q243" s="5" t="s">
        <v>116</v>
      </c>
      <c r="R243" s="7"/>
      <c r="S243" s="7"/>
      <c r="T243" s="1">
        <v>0.2</v>
      </c>
    </row>
    <row r="244">
      <c r="C244" s="1">
        <v>7.0</v>
      </c>
      <c r="D244" s="9"/>
      <c r="E244" s="11" t="s">
        <v>1637</v>
      </c>
      <c r="F244" s="12">
        <v>24970.0</v>
      </c>
      <c r="G244" s="13" t="s">
        <v>82</v>
      </c>
      <c r="H244" s="27"/>
      <c r="I244" s="27"/>
      <c r="L244" s="5">
        <v>37.71354646</v>
      </c>
      <c r="M244" s="5">
        <v>-80.44191871</v>
      </c>
      <c r="N244" s="7"/>
      <c r="O244" s="5">
        <v>2.0</v>
      </c>
      <c r="P244" s="5">
        <v>0.0</v>
      </c>
      <c r="Q244" s="5" t="s">
        <v>116</v>
      </c>
      <c r="R244" s="7"/>
      <c r="S244" s="7"/>
      <c r="T244" s="1">
        <v>4.0</v>
      </c>
    </row>
    <row r="245">
      <c r="C245" s="1">
        <v>7.0</v>
      </c>
      <c r="D245" s="9"/>
      <c r="E245" s="11" t="s">
        <v>1640</v>
      </c>
      <c r="F245" s="12" t="s">
        <v>1641</v>
      </c>
      <c r="G245" s="13" t="s">
        <v>82</v>
      </c>
      <c r="H245" s="27"/>
      <c r="I245" s="27"/>
      <c r="L245" s="5">
        <v>37.76562956</v>
      </c>
      <c r="M245" s="5">
        <v>-80.46565458</v>
      </c>
      <c r="N245" s="7"/>
      <c r="O245" s="5">
        <v>2.0</v>
      </c>
      <c r="P245" s="5">
        <v>0.0</v>
      </c>
      <c r="Q245" s="5" t="s">
        <v>116</v>
      </c>
      <c r="R245" s="7"/>
      <c r="S245" s="7"/>
      <c r="T245" s="1">
        <v>0.2</v>
      </c>
    </row>
    <row r="246">
      <c r="C246" s="1">
        <v>8.0</v>
      </c>
      <c r="D246" s="9"/>
      <c r="E246" s="11" t="s">
        <v>1643</v>
      </c>
      <c r="F246" s="12">
        <v>25984.0</v>
      </c>
      <c r="G246" s="13" t="s">
        <v>82</v>
      </c>
      <c r="H246" s="14">
        <v>37.96421197</v>
      </c>
      <c r="I246" s="14">
        <v>-80.69634395</v>
      </c>
      <c r="L246" s="5">
        <v>37.96421197</v>
      </c>
      <c r="M246" s="5">
        <v>-80.69634395</v>
      </c>
      <c r="N246" s="7"/>
      <c r="O246" s="5">
        <v>2.0</v>
      </c>
      <c r="P246" s="5">
        <v>0.0</v>
      </c>
      <c r="Q246" s="5" t="s">
        <v>116</v>
      </c>
      <c r="R246" s="7"/>
      <c r="S246" s="7"/>
      <c r="T246" s="1">
        <v>4.3</v>
      </c>
    </row>
    <row r="247">
      <c r="C247" s="1">
        <v>1.0</v>
      </c>
      <c r="D247" s="9"/>
      <c r="E247" s="11" t="s">
        <v>1644</v>
      </c>
      <c r="F247" s="12" t="s">
        <v>1647</v>
      </c>
      <c r="G247" s="13" t="s">
        <v>128</v>
      </c>
      <c r="H247" s="14">
        <v>38.38965681</v>
      </c>
      <c r="I247" s="14">
        <v>-81.83822828</v>
      </c>
      <c r="L247" s="5">
        <v>38.38965681</v>
      </c>
      <c r="M247" s="5">
        <v>-81.83822828</v>
      </c>
      <c r="N247" s="7"/>
      <c r="O247" s="5">
        <v>0.0</v>
      </c>
      <c r="P247" s="5">
        <v>0.0</v>
      </c>
      <c r="Q247" s="5" t="s">
        <v>116</v>
      </c>
      <c r="R247" s="7"/>
      <c r="S247" s="7"/>
      <c r="T247" s="1">
        <v>0.7</v>
      </c>
    </row>
    <row r="248">
      <c r="C248" s="1">
        <v>1.0</v>
      </c>
      <c r="D248" s="9"/>
      <c r="E248" s="11" t="s">
        <v>1648</v>
      </c>
      <c r="F248" s="12" t="s">
        <v>1649</v>
      </c>
      <c r="G248" s="13" t="s">
        <v>128</v>
      </c>
      <c r="H248" s="14">
        <v>38.34551606</v>
      </c>
      <c r="I248" s="14">
        <v>-81.85988515</v>
      </c>
      <c r="L248" s="5">
        <v>38.34551606</v>
      </c>
      <c r="M248" s="5">
        <v>-81.85988515</v>
      </c>
      <c r="N248" s="7"/>
      <c r="O248" s="5">
        <v>0.0</v>
      </c>
      <c r="P248" s="5">
        <v>0.0</v>
      </c>
      <c r="Q248" s="5" t="s">
        <v>116</v>
      </c>
      <c r="R248" s="7"/>
      <c r="S248" s="7"/>
      <c r="T248" s="1">
        <v>3.4</v>
      </c>
    </row>
    <row r="249">
      <c r="C249" s="1">
        <v>1.0</v>
      </c>
      <c r="D249" s="9"/>
      <c r="E249" s="11" t="s">
        <v>1650</v>
      </c>
      <c r="F249" s="12" t="s">
        <v>1651</v>
      </c>
      <c r="G249" s="13" t="s">
        <v>128</v>
      </c>
      <c r="H249" s="14">
        <v>38.37693327</v>
      </c>
      <c r="I249" s="14">
        <v>-81.80520742</v>
      </c>
      <c r="L249" s="5">
        <v>38.37693327</v>
      </c>
      <c r="M249" s="5">
        <v>-81.80520742</v>
      </c>
      <c r="N249" s="7"/>
      <c r="O249" s="5">
        <v>0.0</v>
      </c>
      <c r="P249" s="5">
        <v>0.0</v>
      </c>
      <c r="Q249" s="5" t="s">
        <v>116</v>
      </c>
      <c r="R249" s="7"/>
      <c r="S249" s="7"/>
      <c r="T249" s="1">
        <v>0.0</v>
      </c>
    </row>
    <row r="250">
      <c r="C250" s="1">
        <v>1.0</v>
      </c>
      <c r="D250" s="9"/>
      <c r="E250" s="11" t="s">
        <v>1652</v>
      </c>
      <c r="F250" s="12">
        <v>25177.0</v>
      </c>
      <c r="G250" s="13" t="s">
        <v>128</v>
      </c>
      <c r="H250" s="14">
        <v>38.39838949</v>
      </c>
      <c r="I250" s="14">
        <v>-81.85588074</v>
      </c>
      <c r="L250" s="5">
        <v>38.39838949</v>
      </c>
      <c r="M250" s="5">
        <v>-81.85588074</v>
      </c>
      <c r="N250" s="7"/>
      <c r="O250" s="5">
        <v>0.0</v>
      </c>
      <c r="P250" s="5">
        <v>0.0</v>
      </c>
      <c r="Q250" s="5" t="s">
        <v>116</v>
      </c>
      <c r="R250" s="7"/>
      <c r="S250" s="7"/>
      <c r="T250" s="1">
        <v>1.8</v>
      </c>
    </row>
    <row r="251">
      <c r="C251" s="1">
        <v>1.0</v>
      </c>
      <c r="D251" s="9"/>
      <c r="E251" s="11" t="s">
        <v>1655</v>
      </c>
      <c r="F251" s="12" t="s">
        <v>1656</v>
      </c>
      <c r="G251" s="13" t="s">
        <v>128</v>
      </c>
      <c r="H251" s="14">
        <v>38.37037529</v>
      </c>
      <c r="I251" s="14">
        <v>-81.76831569</v>
      </c>
      <c r="L251" s="5">
        <v>38.37037529</v>
      </c>
      <c r="M251" s="5">
        <v>-81.76831569</v>
      </c>
      <c r="N251" s="7"/>
      <c r="O251" s="5">
        <v>0.0</v>
      </c>
      <c r="P251" s="5">
        <v>0.0</v>
      </c>
      <c r="Q251" s="5" t="s">
        <v>116</v>
      </c>
      <c r="R251" s="7"/>
      <c r="S251" s="7"/>
      <c r="T251" s="1">
        <v>1.7</v>
      </c>
    </row>
    <row r="252">
      <c r="C252" s="1">
        <v>1.0</v>
      </c>
      <c r="D252" s="9"/>
      <c r="E252" s="11" t="s">
        <v>1657</v>
      </c>
      <c r="F252" s="12">
        <v>25177.0</v>
      </c>
      <c r="G252" s="13" t="s">
        <v>128</v>
      </c>
      <c r="H252" s="14">
        <v>38.36832134</v>
      </c>
      <c r="I252" s="14">
        <v>-81.82966923</v>
      </c>
      <c r="L252" s="5">
        <v>38.36832134</v>
      </c>
      <c r="M252" s="5">
        <v>-81.82966923</v>
      </c>
      <c r="N252" s="7"/>
      <c r="O252" s="5">
        <v>0.0</v>
      </c>
      <c r="P252" s="5">
        <v>0.0</v>
      </c>
      <c r="Q252" s="5" t="s">
        <v>116</v>
      </c>
      <c r="R252" s="7"/>
      <c r="S252" s="7"/>
      <c r="T252" s="1">
        <v>1.3</v>
      </c>
    </row>
    <row r="253">
      <c r="C253" s="1">
        <v>10.0</v>
      </c>
      <c r="D253" s="9"/>
      <c r="E253" s="11" t="s">
        <v>1658</v>
      </c>
      <c r="F253" s="12" t="s">
        <v>1659</v>
      </c>
      <c r="G253" s="13" t="s">
        <v>529</v>
      </c>
      <c r="H253" s="14">
        <v>39.41399757</v>
      </c>
      <c r="I253" s="14">
        <v>-81.18967804</v>
      </c>
      <c r="L253" s="5">
        <v>39.41399757</v>
      </c>
      <c r="M253" s="5">
        <v>-81.18967804</v>
      </c>
      <c r="N253" s="7"/>
      <c r="O253" s="5">
        <v>3.0</v>
      </c>
      <c r="P253" s="5">
        <v>0.0</v>
      </c>
      <c r="Q253" s="5" t="s">
        <v>116</v>
      </c>
      <c r="R253" s="7"/>
      <c r="S253" s="7"/>
      <c r="T253" s="1">
        <v>0.0</v>
      </c>
    </row>
    <row r="254">
      <c r="C254" s="1">
        <v>10.0</v>
      </c>
      <c r="D254" s="9"/>
      <c r="E254" s="11" t="s">
        <v>1660</v>
      </c>
      <c r="F254" s="12" t="s">
        <v>1663</v>
      </c>
      <c r="G254" s="13" t="s">
        <v>101</v>
      </c>
      <c r="H254" s="14">
        <v>39.28268766</v>
      </c>
      <c r="I254" s="14">
        <v>-80.55830372</v>
      </c>
      <c r="L254" s="5">
        <v>39.28268766</v>
      </c>
      <c r="M254" s="5">
        <v>-80.55830372</v>
      </c>
      <c r="N254" s="7"/>
      <c r="O254" s="5">
        <v>3.0</v>
      </c>
      <c r="P254" s="5">
        <v>0.0</v>
      </c>
      <c r="Q254" s="5" t="s">
        <v>116</v>
      </c>
      <c r="R254" s="7"/>
      <c r="S254" s="7"/>
      <c r="T254" s="1">
        <v>0.1</v>
      </c>
    </row>
    <row r="255">
      <c r="C255" s="1">
        <v>2.0</v>
      </c>
      <c r="D255" s="9"/>
      <c r="E255" s="11" t="s">
        <v>1664</v>
      </c>
      <c r="F255" s="12" t="s">
        <v>1665</v>
      </c>
      <c r="G255" s="13" t="s">
        <v>59</v>
      </c>
      <c r="H255" s="14">
        <v>38.32369924</v>
      </c>
      <c r="I255" s="14">
        <v>-82.21274822</v>
      </c>
      <c r="L255" s="5">
        <v>38.32369924</v>
      </c>
      <c r="M255" s="5">
        <v>-82.21274822</v>
      </c>
      <c r="N255" s="7"/>
      <c r="O255" s="5">
        <v>0.0</v>
      </c>
      <c r="P255" s="5">
        <v>0.0</v>
      </c>
      <c r="Q255" s="5" t="s">
        <v>116</v>
      </c>
      <c r="R255" s="7"/>
      <c r="S255" s="7"/>
      <c r="T255" s="1">
        <v>0.0</v>
      </c>
    </row>
    <row r="256">
      <c r="C256" s="1">
        <v>1.0</v>
      </c>
      <c r="D256" s="9"/>
      <c r="E256" s="45" t="s">
        <v>452</v>
      </c>
      <c r="F256" s="12">
        <v>25560.0</v>
      </c>
      <c r="G256" s="13"/>
      <c r="H256" s="14"/>
      <c r="I256" s="14"/>
      <c r="L256" s="5">
        <v>38.44821311</v>
      </c>
      <c r="M256" s="5">
        <v>-81.91236311</v>
      </c>
      <c r="N256" s="7"/>
      <c r="O256" s="5">
        <v>0.0</v>
      </c>
      <c r="P256" s="5">
        <v>0.0</v>
      </c>
      <c r="Q256" s="5" t="s">
        <v>116</v>
      </c>
      <c r="R256" s="7"/>
      <c r="S256" s="7"/>
      <c r="T256" s="1">
        <v>0.4</v>
      </c>
    </row>
    <row r="257">
      <c r="C257" s="1">
        <v>2.0</v>
      </c>
      <c r="D257" s="9"/>
      <c r="E257" s="11" t="s">
        <v>1666</v>
      </c>
      <c r="F257" s="12" t="s">
        <v>1669</v>
      </c>
      <c r="G257" s="13" t="s">
        <v>225</v>
      </c>
      <c r="H257" s="14">
        <v>37.7061747</v>
      </c>
      <c r="I257" s="14">
        <v>-81.09871228</v>
      </c>
      <c r="L257" s="5">
        <v>37.7061747</v>
      </c>
      <c r="M257" s="5">
        <v>-81.09871228</v>
      </c>
      <c r="N257" s="7"/>
      <c r="O257" s="5">
        <v>0.0</v>
      </c>
      <c r="P257" s="5">
        <v>0.0</v>
      </c>
      <c r="Q257" s="5" t="s">
        <v>116</v>
      </c>
      <c r="R257" s="7"/>
      <c r="S257" s="7"/>
      <c r="T257" s="1">
        <v>1.5</v>
      </c>
    </row>
    <row r="258">
      <c r="C258" s="1">
        <v>3.0</v>
      </c>
      <c r="D258" s="9"/>
      <c r="E258" s="11" t="s">
        <v>1670</v>
      </c>
      <c r="F258" s="46">
        <v>25442.0</v>
      </c>
      <c r="G258" s="13" t="s">
        <v>123</v>
      </c>
      <c r="H258" s="14">
        <v>39.35433386</v>
      </c>
      <c r="I258" s="14">
        <v>-77.85511632</v>
      </c>
      <c r="L258" s="5">
        <v>39.35433386</v>
      </c>
      <c r="M258" s="5">
        <v>-77.85511632</v>
      </c>
      <c r="N258" s="7"/>
      <c r="O258" s="5">
        <v>0.0</v>
      </c>
      <c r="P258" s="5">
        <v>0.0</v>
      </c>
      <c r="Q258" s="5" t="s">
        <v>116</v>
      </c>
      <c r="R258" s="7"/>
      <c r="S258" s="7"/>
      <c r="T258" s="1">
        <v>2.2</v>
      </c>
    </row>
    <row r="259">
      <c r="C259" s="1">
        <v>3.0</v>
      </c>
      <c r="D259" s="9"/>
      <c r="E259" s="11" t="s">
        <v>1671</v>
      </c>
      <c r="F259" s="46" t="s">
        <v>1674</v>
      </c>
      <c r="G259" s="13" t="s">
        <v>123</v>
      </c>
      <c r="H259" s="14">
        <v>39.43506541</v>
      </c>
      <c r="I259" s="14">
        <v>-77.82594031</v>
      </c>
      <c r="L259" s="5">
        <v>39.43506541</v>
      </c>
      <c r="M259" s="5">
        <v>-77.82594031</v>
      </c>
      <c r="N259" s="7"/>
      <c r="O259" s="5">
        <v>0.0</v>
      </c>
      <c r="P259" s="5">
        <v>0.0</v>
      </c>
      <c r="Q259" s="5" t="s">
        <v>116</v>
      </c>
      <c r="R259" s="7"/>
      <c r="S259" s="7"/>
      <c r="T259" s="1">
        <v>0.3</v>
      </c>
    </row>
    <row r="260">
      <c r="C260" s="1">
        <v>7.0</v>
      </c>
      <c r="D260" s="9"/>
      <c r="E260" s="11" t="s">
        <v>1675</v>
      </c>
      <c r="F260" s="46" t="s">
        <v>1676</v>
      </c>
      <c r="G260" s="13" t="s">
        <v>101</v>
      </c>
      <c r="H260" s="27"/>
      <c r="I260" s="27"/>
      <c r="L260" s="5">
        <v>39.3967605</v>
      </c>
      <c r="M260" s="5">
        <v>-80.2882106</v>
      </c>
      <c r="N260" s="7"/>
      <c r="O260" s="5">
        <v>2.0</v>
      </c>
      <c r="P260" s="5">
        <v>0.0</v>
      </c>
      <c r="Q260" s="5" t="s">
        <v>116</v>
      </c>
      <c r="R260" s="7"/>
      <c r="S260" s="7"/>
      <c r="T260" s="1">
        <v>1.0</v>
      </c>
    </row>
    <row r="261">
      <c r="C261" s="1">
        <v>7.0</v>
      </c>
      <c r="D261" s="9"/>
      <c r="E261" s="11" t="s">
        <v>1677</v>
      </c>
      <c r="F261" s="46">
        <v>26431.0</v>
      </c>
      <c r="G261" s="13" t="s">
        <v>101</v>
      </c>
      <c r="H261" s="14">
        <v>39.37368262</v>
      </c>
      <c r="I261" s="14">
        <v>-80.2015296</v>
      </c>
      <c r="L261" s="5">
        <v>39.37368262</v>
      </c>
      <c r="M261" s="5">
        <v>-80.2015296</v>
      </c>
      <c r="N261" s="7"/>
      <c r="O261" s="5">
        <v>2.0</v>
      </c>
      <c r="P261" s="5">
        <v>0.0</v>
      </c>
      <c r="Q261" s="5" t="s">
        <v>116</v>
      </c>
      <c r="R261" s="7"/>
      <c r="S261" s="7"/>
      <c r="T261" s="1">
        <v>3.6</v>
      </c>
    </row>
    <row r="262">
      <c r="C262" s="1">
        <v>2.0</v>
      </c>
      <c r="D262" s="9"/>
      <c r="E262" s="11" t="s">
        <v>1678</v>
      </c>
      <c r="F262" s="46">
        <v>25320.0</v>
      </c>
      <c r="G262" s="13" t="s">
        <v>128</v>
      </c>
      <c r="H262" s="14">
        <v>38.51122558</v>
      </c>
      <c r="I262" s="14">
        <v>-81.63707374</v>
      </c>
      <c r="L262" s="5">
        <v>38.51122558</v>
      </c>
      <c r="M262" s="5">
        <v>-81.63707374</v>
      </c>
      <c r="N262" s="7"/>
      <c r="O262" s="5">
        <v>0.0</v>
      </c>
      <c r="P262" s="5">
        <v>0.0</v>
      </c>
      <c r="Q262" s="5" t="s">
        <v>116</v>
      </c>
      <c r="R262" s="7"/>
      <c r="S262" s="7"/>
      <c r="T262" s="1">
        <v>0.2</v>
      </c>
    </row>
    <row r="263">
      <c r="C263" s="1">
        <v>2.0</v>
      </c>
      <c r="D263" s="9"/>
      <c r="E263" s="11" t="s">
        <v>1681</v>
      </c>
      <c r="F263" s="46">
        <v>25444.0</v>
      </c>
      <c r="G263" s="13" t="s">
        <v>273</v>
      </c>
      <c r="H263" s="27"/>
      <c r="I263" s="27"/>
      <c r="L263" s="5">
        <v>39.37307538</v>
      </c>
      <c r="M263" s="5">
        <v>-78.52385072</v>
      </c>
      <c r="N263" s="7"/>
      <c r="O263" s="5">
        <v>0.0</v>
      </c>
      <c r="P263" s="5">
        <v>0.0</v>
      </c>
      <c r="Q263" s="5" t="s">
        <v>116</v>
      </c>
      <c r="R263" s="7"/>
      <c r="S263" s="7"/>
      <c r="T263" s="1">
        <v>10.0</v>
      </c>
    </row>
    <row r="264">
      <c r="C264" s="1">
        <v>10.0</v>
      </c>
      <c r="D264" s="9"/>
      <c r="E264" s="11" t="s">
        <v>1683</v>
      </c>
      <c r="F264" s="46">
        <v>26291.0</v>
      </c>
      <c r="G264" s="13" t="s">
        <v>1002</v>
      </c>
      <c r="H264" s="27"/>
      <c r="I264" s="27"/>
      <c r="L264" s="5">
        <v>38.41763417</v>
      </c>
      <c r="M264" s="5">
        <v>-80.04073685</v>
      </c>
      <c r="N264" s="7"/>
      <c r="O264" s="5">
        <v>3.0</v>
      </c>
      <c r="P264" s="5">
        <v>4.0</v>
      </c>
      <c r="Q264" s="5" t="s">
        <v>1190</v>
      </c>
      <c r="R264" s="7"/>
      <c r="S264" s="7"/>
      <c r="T264" s="1">
        <v>2.6</v>
      </c>
    </row>
    <row r="265">
      <c r="C265" s="1">
        <v>2.0</v>
      </c>
      <c r="D265" s="9"/>
      <c r="E265" s="11" t="s">
        <v>1686</v>
      </c>
      <c r="F265" s="46">
        <v>25186.0</v>
      </c>
      <c r="G265" s="13" t="s">
        <v>74</v>
      </c>
      <c r="H265" s="27"/>
      <c r="I265" s="27"/>
      <c r="L265" s="5">
        <v>38.16710189</v>
      </c>
      <c r="M265" s="5">
        <v>-81.30364893</v>
      </c>
      <c r="N265" s="7"/>
      <c r="O265" s="5">
        <v>0.0</v>
      </c>
      <c r="P265" s="5">
        <v>0.0</v>
      </c>
      <c r="Q265" s="5" t="s">
        <v>116</v>
      </c>
      <c r="R265" s="7"/>
      <c r="S265" s="7"/>
      <c r="T265" s="1">
        <v>0.1</v>
      </c>
    </row>
    <row r="266">
      <c r="C266" s="1">
        <v>2.0</v>
      </c>
      <c r="D266" s="9"/>
      <c r="E266" s="11" t="s">
        <v>1688</v>
      </c>
      <c r="F266" s="46">
        <v>26178.0</v>
      </c>
      <c r="G266" s="13" t="s">
        <v>826</v>
      </c>
      <c r="H266" s="27"/>
      <c r="I266" s="27"/>
      <c r="L266" s="5">
        <v>39.07612305</v>
      </c>
      <c r="M266" s="5">
        <v>-81.09903036</v>
      </c>
      <c r="N266" s="7"/>
      <c r="O266" s="5">
        <v>0.0</v>
      </c>
      <c r="P266" s="5">
        <v>0.0</v>
      </c>
      <c r="Q266" s="5" t="s">
        <v>116</v>
      </c>
      <c r="R266" s="7"/>
      <c r="S266" s="7"/>
      <c r="T266" s="1">
        <v>5.3</v>
      </c>
    </row>
    <row r="267">
      <c r="C267" s="1">
        <v>1.0</v>
      </c>
      <c r="D267" s="9"/>
      <c r="E267" s="11" t="s">
        <v>1689</v>
      </c>
      <c r="F267" s="46" t="s">
        <v>1692</v>
      </c>
      <c r="G267" s="13" t="s">
        <v>225</v>
      </c>
      <c r="H267" s="27"/>
      <c r="I267" s="27"/>
      <c r="L267" s="5">
        <v>37.7272727</v>
      </c>
      <c r="M267" s="5">
        <v>-81.24373064</v>
      </c>
      <c r="N267" s="7"/>
      <c r="O267" s="5">
        <v>0.0</v>
      </c>
      <c r="P267" s="5">
        <v>0.0</v>
      </c>
      <c r="Q267" s="5" t="s">
        <v>116</v>
      </c>
      <c r="R267" s="7"/>
      <c r="S267" s="7"/>
      <c r="T267" s="1">
        <v>0.0</v>
      </c>
    </row>
    <row r="268">
      <c r="C268" s="1">
        <v>1.0</v>
      </c>
      <c r="D268" s="9"/>
      <c r="E268" s="11" t="s">
        <v>1693</v>
      </c>
      <c r="F268" s="46" t="s">
        <v>1694</v>
      </c>
      <c r="G268" s="13" t="s">
        <v>225</v>
      </c>
      <c r="H268" s="27"/>
      <c r="I268" s="27"/>
      <c r="L268" s="5">
        <v>37.7087785</v>
      </c>
      <c r="M268" s="5">
        <v>-81.24381824</v>
      </c>
      <c r="N268" s="7"/>
      <c r="O268" s="5">
        <v>0.0</v>
      </c>
      <c r="P268" s="5">
        <v>0.0</v>
      </c>
      <c r="Q268" s="5" t="s">
        <v>116</v>
      </c>
      <c r="R268" s="7"/>
      <c r="S268" s="7"/>
      <c r="T268" s="1">
        <v>1.2</v>
      </c>
    </row>
    <row r="269">
      <c r="C269" s="1">
        <v>1.0</v>
      </c>
      <c r="D269" s="9"/>
      <c r="E269" s="11" t="s">
        <v>1695</v>
      </c>
      <c r="F269" s="46" t="s">
        <v>1697</v>
      </c>
      <c r="G269" s="13" t="s">
        <v>128</v>
      </c>
      <c r="H269" s="14">
        <v>38.3496769</v>
      </c>
      <c r="I269" s="14">
        <v>-81.73018172</v>
      </c>
      <c r="L269" s="5">
        <v>38.3496769</v>
      </c>
      <c r="M269" s="5">
        <v>-81.73018172</v>
      </c>
      <c r="N269" s="7"/>
      <c r="O269" s="5">
        <v>0.0</v>
      </c>
      <c r="P269" s="5">
        <v>0.0</v>
      </c>
      <c r="Q269" s="5" t="s">
        <v>116</v>
      </c>
      <c r="R269" s="7"/>
      <c r="S269" s="7"/>
      <c r="T269" s="1">
        <v>0.9</v>
      </c>
    </row>
    <row r="270">
      <c r="C270" s="1">
        <v>1.0</v>
      </c>
      <c r="D270" s="9"/>
      <c r="E270" s="11" t="s">
        <v>1698</v>
      </c>
      <c r="F270" s="46" t="s">
        <v>1699</v>
      </c>
      <c r="G270" s="13" t="s">
        <v>128</v>
      </c>
      <c r="H270" s="14">
        <v>38.3685848</v>
      </c>
      <c r="I270" s="14">
        <v>-81.6964092</v>
      </c>
      <c r="L270" s="5">
        <v>38.3685848</v>
      </c>
      <c r="M270" s="5">
        <v>-81.6964092</v>
      </c>
      <c r="N270" s="7"/>
      <c r="O270" s="5">
        <v>0.0</v>
      </c>
      <c r="P270" s="5">
        <v>0.0</v>
      </c>
      <c r="Q270" s="5" t="s">
        <v>116</v>
      </c>
      <c r="R270" s="7"/>
      <c r="S270" s="7"/>
      <c r="T270" s="1">
        <v>0.1</v>
      </c>
    </row>
    <row r="271">
      <c r="C271" s="1">
        <v>1.0</v>
      </c>
      <c r="D271" s="9"/>
      <c r="E271" s="11" t="s">
        <v>1700</v>
      </c>
      <c r="F271" s="46" t="s">
        <v>1701</v>
      </c>
      <c r="G271" s="13" t="s">
        <v>128</v>
      </c>
      <c r="H271" s="14">
        <v>38.27733127</v>
      </c>
      <c r="I271" s="14">
        <v>-81.77482733</v>
      </c>
      <c r="L271" s="5">
        <v>38.27733127</v>
      </c>
      <c r="M271" s="5">
        <v>-81.77482733</v>
      </c>
      <c r="N271" s="7"/>
      <c r="O271" s="5">
        <v>0.0</v>
      </c>
      <c r="P271" s="5">
        <v>0.0</v>
      </c>
      <c r="Q271" s="5" t="s">
        <v>116</v>
      </c>
      <c r="R271" s="7"/>
      <c r="S271" s="7"/>
      <c r="T271" s="1">
        <v>4.2</v>
      </c>
    </row>
    <row r="272">
      <c r="C272" s="1">
        <v>10.0</v>
      </c>
      <c r="D272" s="9"/>
      <c r="E272" s="11" t="s">
        <v>1704</v>
      </c>
      <c r="F272" s="46" t="s">
        <v>1705</v>
      </c>
      <c r="G272" s="13" t="s">
        <v>241</v>
      </c>
      <c r="H272" s="27"/>
      <c r="I272" s="27"/>
      <c r="L272" s="5">
        <v>38.8034129</v>
      </c>
      <c r="M272" s="5">
        <v>-81.35101423</v>
      </c>
      <c r="N272" s="7"/>
      <c r="O272" s="5">
        <v>3.0</v>
      </c>
      <c r="P272" s="5">
        <v>0.0</v>
      </c>
      <c r="Q272" s="5" t="s">
        <v>116</v>
      </c>
      <c r="R272" s="7"/>
      <c r="S272" s="7"/>
      <c r="T272" s="1">
        <v>0.4</v>
      </c>
    </row>
    <row r="273">
      <c r="C273" s="1">
        <v>2.0</v>
      </c>
      <c r="D273" s="9"/>
      <c r="E273" s="11" t="s">
        <v>1706</v>
      </c>
      <c r="F273" s="46">
        <v>26763.0</v>
      </c>
      <c r="G273" s="13" t="s">
        <v>273</v>
      </c>
      <c r="H273" s="27"/>
      <c r="I273" s="27"/>
      <c r="L273" s="5">
        <v>39.44906168</v>
      </c>
      <c r="M273" s="5">
        <v>-78.69402485</v>
      </c>
      <c r="N273" s="7"/>
      <c r="O273" s="5">
        <v>0.0</v>
      </c>
      <c r="P273" s="5">
        <v>0.0</v>
      </c>
      <c r="Q273" s="5" t="s">
        <v>116</v>
      </c>
      <c r="R273" s="7"/>
      <c r="S273" s="7"/>
      <c r="T273" s="1">
        <v>8.2</v>
      </c>
    </row>
    <row r="274">
      <c r="C274" s="1">
        <v>1.0</v>
      </c>
      <c r="D274" s="9"/>
      <c r="E274" s="11" t="s">
        <v>1707</v>
      </c>
      <c r="F274" s="46" t="s">
        <v>1708</v>
      </c>
      <c r="G274" s="13" t="s">
        <v>169</v>
      </c>
      <c r="H274" s="14">
        <v>39.65760118</v>
      </c>
      <c r="I274" s="14">
        <v>-79.98277923</v>
      </c>
      <c r="L274" s="5">
        <v>39.65760118</v>
      </c>
      <c r="M274" s="5">
        <v>-79.98277923</v>
      </c>
      <c r="N274" s="7"/>
      <c r="O274" s="5">
        <v>0.0</v>
      </c>
      <c r="P274" s="5">
        <v>0.0</v>
      </c>
      <c r="Q274" s="5" t="s">
        <v>116</v>
      </c>
      <c r="R274" s="7"/>
      <c r="S274" s="7"/>
      <c r="T274" s="1">
        <v>0.5</v>
      </c>
    </row>
    <row r="275">
      <c r="C275" s="1">
        <v>10.0</v>
      </c>
      <c r="D275" s="9"/>
      <c r="E275" s="11" t="s">
        <v>1709</v>
      </c>
      <c r="F275" s="46" t="s">
        <v>1714</v>
      </c>
      <c r="G275" s="13" t="s">
        <v>198</v>
      </c>
      <c r="H275" s="14">
        <v>38.29916885</v>
      </c>
      <c r="I275" s="14">
        <v>-80.84201563</v>
      </c>
      <c r="L275" s="5">
        <v>38.29916885</v>
      </c>
      <c r="M275" s="5">
        <v>-80.84201563</v>
      </c>
      <c r="N275" s="7"/>
      <c r="O275" s="5">
        <v>3.0</v>
      </c>
      <c r="P275" s="5">
        <v>0.0</v>
      </c>
      <c r="Q275" s="5" t="s">
        <v>116</v>
      </c>
      <c r="R275" s="7"/>
      <c r="S275" s="7"/>
      <c r="T275" s="1">
        <v>0.5</v>
      </c>
    </row>
    <row r="276">
      <c r="C276" s="1">
        <v>10.0</v>
      </c>
      <c r="D276" s="9"/>
      <c r="E276" s="11" t="s">
        <v>1718</v>
      </c>
      <c r="F276" s="46">
        <v>26651.0</v>
      </c>
      <c r="G276" s="13" t="s">
        <v>198</v>
      </c>
      <c r="H276" s="14">
        <v>38.30627022</v>
      </c>
      <c r="I276" s="14">
        <v>-80.90916914</v>
      </c>
      <c r="L276" s="5">
        <v>38.30627022</v>
      </c>
      <c r="M276" s="5">
        <v>-80.90916914</v>
      </c>
      <c r="N276" s="7"/>
      <c r="O276" s="5">
        <v>3.0</v>
      </c>
      <c r="P276" s="5">
        <v>0.0</v>
      </c>
      <c r="Q276" s="5" t="s">
        <v>116</v>
      </c>
      <c r="R276" s="7"/>
      <c r="S276" s="7"/>
      <c r="T276" s="1">
        <v>3.8</v>
      </c>
    </row>
    <row r="277">
      <c r="C277" s="1">
        <v>10.0</v>
      </c>
      <c r="D277" s="9"/>
      <c r="E277" s="11" t="s">
        <v>1719</v>
      </c>
      <c r="F277" s="46" t="s">
        <v>1721</v>
      </c>
      <c r="G277" s="13" t="s">
        <v>48</v>
      </c>
      <c r="H277" s="14">
        <v>38.66839346</v>
      </c>
      <c r="I277" s="14">
        <v>-80.71821688</v>
      </c>
      <c r="L277" s="5">
        <v>38.66839346</v>
      </c>
      <c r="M277" s="5">
        <v>-80.71821688</v>
      </c>
      <c r="N277" s="7"/>
      <c r="O277" s="5">
        <v>3.0</v>
      </c>
      <c r="P277" s="5">
        <v>0.0</v>
      </c>
      <c r="Q277" s="5" t="s">
        <v>116</v>
      </c>
      <c r="R277" s="7"/>
      <c r="S277" s="7"/>
      <c r="T277" s="1">
        <v>1.8</v>
      </c>
    </row>
    <row r="278">
      <c r="C278" s="1">
        <v>10.0</v>
      </c>
      <c r="D278" s="9"/>
      <c r="E278" s="11" t="s">
        <v>1722</v>
      </c>
      <c r="F278" s="46" t="s">
        <v>1725</v>
      </c>
      <c r="G278" s="13" t="s">
        <v>105</v>
      </c>
      <c r="H278" s="14">
        <v>39.44078189</v>
      </c>
      <c r="I278" s="14">
        <v>-79.53157638</v>
      </c>
      <c r="L278" s="5">
        <v>39.44078189</v>
      </c>
      <c r="M278" s="5">
        <v>-79.53157638</v>
      </c>
      <c r="N278" s="7"/>
      <c r="O278" s="5">
        <v>3.0</v>
      </c>
      <c r="P278" s="5">
        <v>0.0</v>
      </c>
      <c r="Q278" s="5" t="s">
        <v>116</v>
      </c>
      <c r="R278" s="7"/>
      <c r="S278" s="7"/>
      <c r="T278" s="1">
        <v>1.6</v>
      </c>
    </row>
    <row r="279">
      <c r="C279" s="1">
        <v>10.0</v>
      </c>
      <c r="D279" s="9"/>
      <c r="E279" s="11" t="s">
        <v>1726</v>
      </c>
      <c r="F279" s="46" t="s">
        <v>1727</v>
      </c>
      <c r="G279" s="13" t="s">
        <v>982</v>
      </c>
      <c r="H279" s="27"/>
      <c r="I279" s="27"/>
      <c r="L279" s="5">
        <v>37.59149184</v>
      </c>
      <c r="M279" s="5">
        <v>-80.54037686</v>
      </c>
      <c r="N279" s="7"/>
      <c r="O279" s="5">
        <v>3.0</v>
      </c>
      <c r="P279" s="5">
        <v>0.0</v>
      </c>
      <c r="Q279" s="5" t="s">
        <v>116</v>
      </c>
      <c r="R279" s="7"/>
      <c r="S279" s="7"/>
      <c r="T279" s="1">
        <v>0.0</v>
      </c>
    </row>
    <row r="280">
      <c r="C280" s="1">
        <v>5.0</v>
      </c>
      <c r="D280" s="9"/>
      <c r="E280" s="11" t="s">
        <v>1728</v>
      </c>
      <c r="F280" s="46">
        <v>26293.0</v>
      </c>
      <c r="G280" s="13" t="s">
        <v>236</v>
      </c>
      <c r="H280" s="27"/>
      <c r="I280" s="27"/>
      <c r="L280" s="5">
        <v>38.7971149</v>
      </c>
      <c r="M280" s="5">
        <v>-79.89980454</v>
      </c>
      <c r="N280" s="7"/>
      <c r="O280" s="5">
        <v>1.0</v>
      </c>
      <c r="P280" s="5">
        <v>2.0</v>
      </c>
      <c r="Q280" s="5" t="s">
        <v>619</v>
      </c>
      <c r="R280" s="7"/>
      <c r="S280" s="7"/>
      <c r="T280" s="1">
        <v>5.8</v>
      </c>
    </row>
    <row r="281">
      <c r="C281" s="1">
        <v>5.0</v>
      </c>
      <c r="D281" s="9"/>
      <c r="E281" s="11" t="s">
        <v>1731</v>
      </c>
      <c r="F281" s="46" t="s">
        <v>1732</v>
      </c>
      <c r="G281" s="13" t="s">
        <v>236</v>
      </c>
      <c r="H281" s="27"/>
      <c r="I281" s="27"/>
      <c r="L281" s="5">
        <v>38.55317679</v>
      </c>
      <c r="M281" s="5">
        <v>-80.03468646</v>
      </c>
      <c r="N281" s="7"/>
      <c r="O281" s="5">
        <v>1.0</v>
      </c>
      <c r="P281" s="5">
        <v>4.0</v>
      </c>
      <c r="Q281" s="5" t="s">
        <v>1190</v>
      </c>
      <c r="R281" s="7"/>
      <c r="S281" s="7"/>
      <c r="T281" s="1">
        <v>10.2</v>
      </c>
    </row>
    <row r="282">
      <c r="C282" s="1">
        <v>1.0</v>
      </c>
      <c r="D282" s="9"/>
      <c r="E282" s="11" t="s">
        <v>1733</v>
      </c>
      <c r="F282" s="46" t="s">
        <v>1734</v>
      </c>
      <c r="G282" s="13" t="s">
        <v>268</v>
      </c>
      <c r="H282" s="14">
        <v>39.32704786</v>
      </c>
      <c r="I282" s="14">
        <v>-81.54844688</v>
      </c>
      <c r="L282" s="5">
        <v>39.32704786</v>
      </c>
      <c r="M282" s="5">
        <v>-81.54844688</v>
      </c>
      <c r="N282" s="7"/>
      <c r="O282" s="5">
        <v>0.0</v>
      </c>
      <c r="P282" s="5">
        <v>0.0</v>
      </c>
      <c r="Q282" s="5" t="s">
        <v>116</v>
      </c>
      <c r="R282" s="7"/>
      <c r="S282" s="7"/>
      <c r="T282" s="1">
        <v>0.5</v>
      </c>
    </row>
    <row r="283">
      <c r="C283" s="1">
        <v>1.0</v>
      </c>
      <c r="D283" s="9"/>
      <c r="E283" s="11" t="s">
        <v>1735</v>
      </c>
      <c r="F283" s="46">
        <v>26105.0</v>
      </c>
      <c r="G283" s="13" t="s">
        <v>268</v>
      </c>
      <c r="H283" s="27"/>
      <c r="I283" s="27"/>
      <c r="L283" s="5">
        <v>39.34507905</v>
      </c>
      <c r="M283" s="5">
        <v>-81.53388774</v>
      </c>
      <c r="N283" s="7"/>
      <c r="O283" s="5">
        <v>0.0</v>
      </c>
      <c r="P283" s="5">
        <v>0.0</v>
      </c>
      <c r="Q283" s="5" t="s">
        <v>116</v>
      </c>
      <c r="R283" s="7"/>
      <c r="S283" s="7"/>
      <c r="T283" s="1">
        <v>1.9</v>
      </c>
    </row>
    <row r="284">
      <c r="C284" s="1">
        <v>2.0</v>
      </c>
      <c r="D284" s="9"/>
      <c r="E284" s="11" t="s">
        <v>1736</v>
      </c>
      <c r="F284" s="46" t="s">
        <v>1737</v>
      </c>
      <c r="G284" s="13" t="s">
        <v>268</v>
      </c>
      <c r="H284" s="14">
        <v>39.15446566</v>
      </c>
      <c r="I284" s="14">
        <v>-81.43828211</v>
      </c>
      <c r="L284" s="5">
        <v>39.15446566</v>
      </c>
      <c r="M284" s="5">
        <v>-81.43828211</v>
      </c>
      <c r="N284" s="7"/>
      <c r="O284" s="5">
        <v>0.0</v>
      </c>
      <c r="P284" s="5">
        <v>0.0</v>
      </c>
      <c r="Q284" s="5" t="s">
        <v>116</v>
      </c>
      <c r="R284" s="7"/>
      <c r="S284" s="7"/>
      <c r="T284" s="1">
        <v>6.4</v>
      </c>
    </row>
    <row r="285">
      <c r="C285" s="1">
        <v>5.0</v>
      </c>
      <c r="D285" s="9"/>
      <c r="E285" s="11" t="s">
        <v>1738</v>
      </c>
      <c r="F285" s="46" t="s">
        <v>1739</v>
      </c>
      <c r="G285" s="13" t="s">
        <v>101</v>
      </c>
      <c r="H285" s="14">
        <v>39.39212125</v>
      </c>
      <c r="I285" s="14">
        <v>-80.46178967</v>
      </c>
      <c r="L285" s="5">
        <v>39.39212125</v>
      </c>
      <c r="M285" s="5">
        <v>-80.46178967</v>
      </c>
      <c r="N285" s="7"/>
      <c r="O285" s="5">
        <v>1.0</v>
      </c>
      <c r="P285" s="5">
        <v>0.0</v>
      </c>
      <c r="Q285" s="5" t="s">
        <v>116</v>
      </c>
      <c r="R285" s="7"/>
      <c r="S285" s="7"/>
      <c r="T285" s="1">
        <v>8.3</v>
      </c>
    </row>
    <row r="286">
      <c r="C286" s="1">
        <v>10.0</v>
      </c>
      <c r="D286" s="9"/>
      <c r="E286" s="11" t="s">
        <v>1740</v>
      </c>
      <c r="F286" s="46" t="s">
        <v>1741</v>
      </c>
      <c r="G286" s="13" t="s">
        <v>906</v>
      </c>
      <c r="H286" s="14">
        <v>38.55210304</v>
      </c>
      <c r="I286" s="14">
        <v>-81.13253293</v>
      </c>
      <c r="L286" s="5">
        <v>38.55210304</v>
      </c>
      <c r="M286" s="5">
        <v>-81.13253293</v>
      </c>
      <c r="N286" s="7"/>
      <c r="O286" s="5">
        <v>3.0</v>
      </c>
      <c r="P286" s="5">
        <v>0.0</v>
      </c>
      <c r="Q286" s="5" t="s">
        <v>116</v>
      </c>
      <c r="R286" s="7"/>
      <c r="S286" s="7"/>
      <c r="T286" s="1">
        <v>11.5</v>
      </c>
    </row>
    <row r="287">
      <c r="C287" s="1">
        <v>10.0</v>
      </c>
      <c r="D287" s="9"/>
      <c r="E287" s="11" t="s">
        <v>1742</v>
      </c>
      <c r="F287" s="46" t="s">
        <v>1743</v>
      </c>
      <c r="G287" s="13" t="s">
        <v>726</v>
      </c>
      <c r="H287" s="27"/>
      <c r="I287" s="27"/>
      <c r="L287" s="5">
        <v>37.34914002</v>
      </c>
      <c r="M287" s="5">
        <v>-81.66693383</v>
      </c>
      <c r="N287" s="7"/>
      <c r="O287" s="5">
        <v>3.0</v>
      </c>
      <c r="P287" s="5">
        <v>4.0</v>
      </c>
      <c r="Q287" s="5" t="s">
        <v>1190</v>
      </c>
      <c r="R287" s="7"/>
      <c r="S287" s="7"/>
      <c r="T287" s="1">
        <v>3.5</v>
      </c>
    </row>
    <row r="288">
      <c r="C288" s="1">
        <v>2.0</v>
      </c>
      <c r="D288" s="9"/>
      <c r="E288" s="11" t="s">
        <v>1747</v>
      </c>
      <c r="F288" s="46" t="s">
        <v>1759</v>
      </c>
      <c r="G288" s="13" t="s">
        <v>90</v>
      </c>
      <c r="H288" s="27"/>
      <c r="I288" s="27"/>
      <c r="L288" s="5">
        <v>39.08229386</v>
      </c>
      <c r="M288" s="5">
        <v>-78.59135576</v>
      </c>
      <c r="N288" s="7"/>
      <c r="O288" s="5">
        <v>0.0</v>
      </c>
      <c r="P288" s="5">
        <v>0.0</v>
      </c>
      <c r="Q288" s="5" t="s">
        <v>116</v>
      </c>
      <c r="R288" s="7"/>
      <c r="S288" s="7"/>
      <c r="T288" s="1">
        <v>14.2</v>
      </c>
    </row>
    <row r="289">
      <c r="C289" s="1">
        <v>2.0</v>
      </c>
      <c r="D289" s="9"/>
      <c r="E289" s="11" t="s">
        <v>1767</v>
      </c>
      <c r="F289" s="46" t="s">
        <v>1773</v>
      </c>
      <c r="G289" s="13" t="s">
        <v>268</v>
      </c>
      <c r="H289" s="14">
        <v>39.22138108</v>
      </c>
      <c r="I289" s="14">
        <v>-81.6449971</v>
      </c>
      <c r="L289" s="5">
        <v>39.22138108</v>
      </c>
      <c r="M289" s="5">
        <v>-81.6449971</v>
      </c>
      <c r="N289" s="7"/>
      <c r="O289" s="5">
        <v>0.0</v>
      </c>
      <c r="P289" s="5">
        <v>0.0</v>
      </c>
      <c r="Q289" s="5" t="s">
        <v>116</v>
      </c>
      <c r="R289" s="7"/>
      <c r="S289" s="7"/>
      <c r="T289" s="1">
        <v>5.1</v>
      </c>
    </row>
    <row r="290">
      <c r="C290" s="1">
        <v>2.0</v>
      </c>
      <c r="D290" s="9"/>
      <c r="E290" s="11" t="s">
        <v>1779</v>
      </c>
      <c r="F290" s="46" t="s">
        <v>1784</v>
      </c>
      <c r="G290" s="13" t="s">
        <v>256</v>
      </c>
      <c r="H290" s="27"/>
      <c r="I290" s="27"/>
      <c r="L290" s="5">
        <v>38.25559538</v>
      </c>
      <c r="M290" s="5">
        <v>-82.42903058</v>
      </c>
      <c r="N290" s="7"/>
      <c r="O290" s="5">
        <v>0.0</v>
      </c>
      <c r="P290" s="5">
        <v>0.0</v>
      </c>
      <c r="Q290" s="5" t="s">
        <v>116</v>
      </c>
      <c r="R290" s="7"/>
      <c r="S290" s="7"/>
      <c r="T290" s="1">
        <v>0.1</v>
      </c>
    </row>
    <row r="291">
      <c r="C291" s="1">
        <v>2.0</v>
      </c>
      <c r="D291" s="9"/>
      <c r="E291" s="11" t="s">
        <v>1792</v>
      </c>
      <c r="F291" s="46" t="s">
        <v>1793</v>
      </c>
      <c r="G291" s="13" t="s">
        <v>256</v>
      </c>
      <c r="H291" s="14">
        <v>38.2262137</v>
      </c>
      <c r="I291" s="14">
        <v>-82.44441153</v>
      </c>
      <c r="L291" s="5">
        <v>38.2262137</v>
      </c>
      <c r="M291" s="5">
        <v>-82.44441153</v>
      </c>
      <c r="N291" s="7"/>
      <c r="O291" s="5">
        <v>0.0</v>
      </c>
      <c r="P291" s="5">
        <v>0.0</v>
      </c>
      <c r="Q291" s="5" t="s">
        <v>116</v>
      </c>
      <c r="R291" s="7"/>
      <c r="S291" s="7"/>
      <c r="T291" s="1">
        <v>2.3</v>
      </c>
    </row>
    <row r="292">
      <c r="C292" s="1">
        <v>10.0</v>
      </c>
      <c r="D292" s="9"/>
      <c r="E292" s="11" t="s">
        <v>1801</v>
      </c>
      <c r="F292" s="46" t="s">
        <v>1803</v>
      </c>
      <c r="G292" s="13" t="s">
        <v>1034</v>
      </c>
      <c r="H292" s="14">
        <v>38.47547781</v>
      </c>
      <c r="I292" s="14">
        <v>-80.40996027</v>
      </c>
      <c r="L292" s="5">
        <v>38.47547781</v>
      </c>
      <c r="M292" s="5">
        <v>-80.40996027</v>
      </c>
      <c r="N292" s="7"/>
      <c r="O292" s="5">
        <v>3.0</v>
      </c>
      <c r="P292" s="5">
        <v>4.0</v>
      </c>
      <c r="Q292" s="5" t="s">
        <v>1190</v>
      </c>
      <c r="R292" s="7"/>
      <c r="S292" s="7"/>
      <c r="T292" s="1">
        <v>0.3</v>
      </c>
    </row>
    <row r="293">
      <c r="C293" s="1">
        <v>1.0</v>
      </c>
      <c r="D293" s="9"/>
      <c r="E293" s="11" t="s">
        <v>1804</v>
      </c>
      <c r="F293" s="46" t="s">
        <v>1805</v>
      </c>
      <c r="G293" s="13" t="s">
        <v>921</v>
      </c>
      <c r="H293" s="14">
        <v>40.40059828</v>
      </c>
      <c r="I293" s="14">
        <v>-80.54995669</v>
      </c>
      <c r="L293" s="5">
        <v>40.40059828</v>
      </c>
      <c r="M293" s="5">
        <v>-80.54995669</v>
      </c>
      <c r="N293" s="7"/>
      <c r="O293" s="5">
        <v>0.0</v>
      </c>
      <c r="P293" s="5">
        <v>0.0</v>
      </c>
      <c r="Q293" s="5" t="s">
        <v>116</v>
      </c>
      <c r="R293" s="7"/>
      <c r="S293" s="7"/>
      <c r="T293" s="1">
        <v>0.1</v>
      </c>
    </row>
    <row r="294">
      <c r="C294" s="1">
        <v>1.0</v>
      </c>
      <c r="D294" s="9"/>
      <c r="E294" s="11" t="s">
        <v>1808</v>
      </c>
      <c r="F294" s="46">
        <v>26062.0</v>
      </c>
      <c r="G294" s="13" t="s">
        <v>921</v>
      </c>
      <c r="H294" s="14">
        <v>40.41765857</v>
      </c>
      <c r="I294" s="14">
        <v>-80.55609128</v>
      </c>
      <c r="L294" s="5">
        <v>40.41765857</v>
      </c>
      <c r="M294" s="5">
        <v>-80.55609128</v>
      </c>
      <c r="N294" s="7"/>
      <c r="O294" s="5">
        <v>0.0</v>
      </c>
      <c r="P294" s="5">
        <v>0.0</v>
      </c>
      <c r="Q294" s="5" t="s">
        <v>116</v>
      </c>
      <c r="R294" s="7"/>
      <c r="S294" s="7"/>
      <c r="T294" s="1">
        <v>0.8</v>
      </c>
    </row>
    <row r="295">
      <c r="C295" s="1">
        <v>1.0</v>
      </c>
      <c r="D295" s="9"/>
      <c r="E295" s="11" t="s">
        <v>1809</v>
      </c>
      <c r="F295" s="46" t="s">
        <v>1810</v>
      </c>
      <c r="G295" s="13" t="s">
        <v>921</v>
      </c>
      <c r="H295" s="14">
        <v>40.42019724</v>
      </c>
      <c r="I295" s="14">
        <v>-80.57244608</v>
      </c>
      <c r="L295" s="5">
        <v>40.42019724</v>
      </c>
      <c r="M295" s="5">
        <v>-80.57244608</v>
      </c>
      <c r="N295" s="7"/>
      <c r="O295" s="5">
        <v>0.0</v>
      </c>
      <c r="P295" s="5">
        <v>0.0</v>
      </c>
      <c r="Q295" s="5" t="s">
        <v>116</v>
      </c>
      <c r="R295" s="7"/>
      <c r="S295" s="7"/>
      <c r="T295" s="1">
        <v>1.6</v>
      </c>
    </row>
    <row r="296">
      <c r="C296" s="1">
        <v>1.0</v>
      </c>
      <c r="D296" s="9"/>
      <c r="E296" s="11" t="s">
        <v>1811</v>
      </c>
      <c r="F296" s="46" t="s">
        <v>1812</v>
      </c>
      <c r="G296" s="13" t="s">
        <v>921</v>
      </c>
      <c r="H296" s="14">
        <v>40.39880524</v>
      </c>
      <c r="I296" s="14">
        <v>-80.5910427</v>
      </c>
      <c r="L296" s="5">
        <v>40.39880524</v>
      </c>
      <c r="M296" s="5">
        <v>-80.5910427</v>
      </c>
      <c r="N296" s="7"/>
      <c r="O296" s="5">
        <v>0.0</v>
      </c>
      <c r="P296" s="5">
        <v>0.0</v>
      </c>
      <c r="Q296" s="5" t="s">
        <v>116</v>
      </c>
      <c r="R296" s="7"/>
      <c r="S296" s="7"/>
      <c r="T296" s="1">
        <v>2.0</v>
      </c>
    </row>
    <row r="297">
      <c r="C297" s="1">
        <v>10.0</v>
      </c>
      <c r="D297" s="9"/>
      <c r="E297" s="11" t="s">
        <v>1813</v>
      </c>
      <c r="F297" s="46" t="s">
        <v>1814</v>
      </c>
      <c r="G297" s="13" t="s">
        <v>726</v>
      </c>
      <c r="H297" s="14">
        <v>37.43136236</v>
      </c>
      <c r="I297" s="14">
        <v>-81.57153296</v>
      </c>
      <c r="L297" s="5">
        <v>37.43136236</v>
      </c>
      <c r="M297" s="5">
        <v>-81.57153296</v>
      </c>
      <c r="N297" s="7"/>
      <c r="O297" s="5">
        <v>3.0</v>
      </c>
      <c r="P297" s="5">
        <v>0.0</v>
      </c>
      <c r="Q297" s="5" t="s">
        <v>116</v>
      </c>
      <c r="R297" s="7"/>
      <c r="S297" s="7"/>
      <c r="T297" s="1">
        <v>0.1</v>
      </c>
    </row>
    <row r="298">
      <c r="C298" s="1">
        <v>1.0</v>
      </c>
      <c r="D298" s="9"/>
      <c r="E298" s="11" t="s">
        <v>1815</v>
      </c>
      <c r="F298" s="46" t="s">
        <v>1816</v>
      </c>
      <c r="G298" s="13" t="s">
        <v>293</v>
      </c>
      <c r="H298" s="14">
        <v>40.28007063</v>
      </c>
      <c r="I298" s="14">
        <v>-80.55953047</v>
      </c>
      <c r="L298" s="5">
        <v>40.28007063</v>
      </c>
      <c r="M298" s="5">
        <v>-80.55953047</v>
      </c>
      <c r="N298" s="7"/>
      <c r="O298" s="5">
        <v>0.0</v>
      </c>
      <c r="P298" s="5">
        <v>0.0</v>
      </c>
      <c r="Q298" s="5" t="s">
        <v>116</v>
      </c>
      <c r="R298" s="7"/>
      <c r="S298" s="7"/>
      <c r="T298" s="1">
        <v>2.7</v>
      </c>
    </row>
    <row r="299">
      <c r="C299" s="1">
        <v>1.0</v>
      </c>
      <c r="D299" s="9"/>
      <c r="E299" s="11" t="s">
        <v>1819</v>
      </c>
      <c r="F299" s="46" t="s">
        <v>1820</v>
      </c>
      <c r="G299" s="13" t="s">
        <v>293</v>
      </c>
      <c r="H299" s="27"/>
      <c r="I299" s="27"/>
      <c r="L299" s="5">
        <v>40.30616936</v>
      </c>
      <c r="M299" s="5">
        <v>-80.59847238</v>
      </c>
      <c r="N299" s="7"/>
      <c r="O299" s="5">
        <v>0.0</v>
      </c>
      <c r="P299" s="5">
        <v>0.0</v>
      </c>
      <c r="Q299" s="5" t="s">
        <v>116</v>
      </c>
      <c r="R299" s="7"/>
      <c r="S299" s="7"/>
      <c r="T299" s="1">
        <v>1.1</v>
      </c>
    </row>
    <row r="300">
      <c r="C300" s="1">
        <v>1.0</v>
      </c>
      <c r="D300" s="9"/>
      <c r="E300" s="11" t="s">
        <v>1821</v>
      </c>
      <c r="F300" s="46" t="s">
        <v>1822</v>
      </c>
      <c r="G300" s="13" t="s">
        <v>293</v>
      </c>
      <c r="H300" s="14">
        <v>40.2695849</v>
      </c>
      <c r="I300" s="14">
        <v>-80.61157792</v>
      </c>
      <c r="L300" s="5">
        <v>40.2695849</v>
      </c>
      <c r="M300" s="5">
        <v>-80.61157792</v>
      </c>
      <c r="N300" s="7"/>
      <c r="O300" s="5">
        <v>0.0</v>
      </c>
      <c r="P300" s="5">
        <v>0.0</v>
      </c>
      <c r="Q300" s="5" t="s">
        <v>116</v>
      </c>
      <c r="R300" s="7"/>
      <c r="S300" s="7"/>
      <c r="T300" s="1">
        <v>1.4</v>
      </c>
    </row>
    <row r="301">
      <c r="C301" s="1">
        <v>6.0</v>
      </c>
      <c r="D301" s="9"/>
      <c r="E301" s="11" t="s">
        <v>1823</v>
      </c>
      <c r="F301" s="46">
        <v>26451.0</v>
      </c>
      <c r="G301" s="13" t="s">
        <v>101</v>
      </c>
      <c r="H301" s="27"/>
      <c r="I301" s="27"/>
      <c r="L301" s="5">
        <v>39.20344509</v>
      </c>
      <c r="M301" s="5">
        <v>-80.40470884</v>
      </c>
      <c r="N301" s="7"/>
      <c r="O301" s="5">
        <v>1.0</v>
      </c>
      <c r="P301" s="5">
        <v>0.0</v>
      </c>
      <c r="Q301" s="5" t="s">
        <v>116</v>
      </c>
      <c r="R301" s="7"/>
      <c r="S301" s="7"/>
      <c r="T301" s="1">
        <v>4.9</v>
      </c>
    </row>
    <row r="302">
      <c r="C302" s="1">
        <v>10.0</v>
      </c>
      <c r="D302" s="9"/>
      <c r="E302" s="11" t="s">
        <v>1824</v>
      </c>
      <c r="F302" s="46" t="s">
        <v>1825</v>
      </c>
      <c r="G302" s="13" t="s">
        <v>705</v>
      </c>
      <c r="H302" s="14">
        <v>39.29617102</v>
      </c>
      <c r="I302" s="14">
        <v>-80.7781589</v>
      </c>
      <c r="L302" s="5">
        <v>39.29617102</v>
      </c>
      <c r="M302" s="5">
        <v>-80.7781589</v>
      </c>
      <c r="N302" s="7"/>
      <c r="O302" s="5">
        <v>3.0</v>
      </c>
      <c r="P302" s="5">
        <v>0.0</v>
      </c>
      <c r="Q302" s="5" t="s">
        <v>116</v>
      </c>
      <c r="R302" s="7"/>
      <c r="S302" s="7"/>
      <c r="T302" s="1">
        <v>0.1</v>
      </c>
    </row>
    <row r="303">
      <c r="C303" s="1">
        <v>7.0</v>
      </c>
      <c r="D303" s="9"/>
      <c r="E303" s="11" t="s">
        <v>1827</v>
      </c>
      <c r="F303" s="46" t="s">
        <v>1829</v>
      </c>
      <c r="G303" s="13" t="s">
        <v>147</v>
      </c>
      <c r="H303" s="27"/>
      <c r="I303" s="27"/>
      <c r="L303" s="5">
        <v>39.03918028</v>
      </c>
      <c r="M303" s="5">
        <v>-80.44457727</v>
      </c>
      <c r="N303" s="7"/>
      <c r="O303" s="5">
        <v>2.0</v>
      </c>
      <c r="P303" s="5">
        <v>0.0</v>
      </c>
      <c r="Q303" s="5" t="s">
        <v>116</v>
      </c>
      <c r="R303" s="7"/>
      <c r="S303" s="7"/>
      <c r="T303" s="1">
        <v>0.2</v>
      </c>
    </row>
    <row r="304">
      <c r="C304" s="1">
        <v>7.0</v>
      </c>
      <c r="D304" s="9"/>
      <c r="E304" s="11" t="s">
        <v>1830</v>
      </c>
      <c r="F304" s="46" t="s">
        <v>1831</v>
      </c>
      <c r="G304" s="13" t="s">
        <v>147</v>
      </c>
      <c r="H304" s="14">
        <v>39.04862115</v>
      </c>
      <c r="I304" s="14">
        <v>-80.52038136</v>
      </c>
      <c r="L304" s="5">
        <v>39.04862115</v>
      </c>
      <c r="M304" s="5">
        <v>-80.52038136</v>
      </c>
      <c r="N304" s="7"/>
      <c r="O304" s="5">
        <v>2.0</v>
      </c>
      <c r="P304" s="5">
        <v>0.0</v>
      </c>
      <c r="Q304" s="5" t="s">
        <v>116</v>
      </c>
      <c r="R304" s="7"/>
      <c r="S304" s="7"/>
      <c r="T304" s="1">
        <v>2.8</v>
      </c>
    </row>
    <row r="305">
      <c r="C305" s="1">
        <v>1.0</v>
      </c>
      <c r="D305" s="9"/>
      <c r="E305" s="11" t="s">
        <v>1832</v>
      </c>
      <c r="F305" s="46" t="s">
        <v>1833</v>
      </c>
      <c r="G305" s="13" t="s">
        <v>206</v>
      </c>
      <c r="H305" s="14">
        <v>40.10331501</v>
      </c>
      <c r="I305" s="14">
        <v>-80.70163679</v>
      </c>
      <c r="L305" s="5">
        <v>40.10331501</v>
      </c>
      <c r="M305" s="5">
        <v>-80.70163679</v>
      </c>
      <c r="N305" s="7"/>
      <c r="O305" s="5">
        <v>0.0</v>
      </c>
      <c r="P305" s="5">
        <v>0.0</v>
      </c>
      <c r="Q305" s="5" t="s">
        <v>116</v>
      </c>
      <c r="R305" s="7"/>
      <c r="S305" s="7"/>
      <c r="T305" s="1">
        <v>0.8</v>
      </c>
    </row>
    <row r="306">
      <c r="C306" s="1">
        <v>1.0</v>
      </c>
      <c r="D306" s="9"/>
      <c r="E306" s="11" t="s">
        <v>1834</v>
      </c>
      <c r="F306" s="46" t="s">
        <v>1835</v>
      </c>
      <c r="G306" s="13" t="s">
        <v>206</v>
      </c>
      <c r="H306" s="14">
        <v>40.07126355</v>
      </c>
      <c r="I306" s="14">
        <v>-80.68481184</v>
      </c>
      <c r="L306" s="5">
        <v>40.07126355</v>
      </c>
      <c r="M306" s="5">
        <v>-80.68481184</v>
      </c>
      <c r="N306" s="7"/>
      <c r="O306" s="5">
        <v>0.0</v>
      </c>
      <c r="P306" s="5">
        <v>0.0</v>
      </c>
      <c r="Q306" s="5" t="s">
        <v>116</v>
      </c>
      <c r="R306" s="7"/>
      <c r="S306" s="7"/>
      <c r="T306" s="1">
        <v>0.8</v>
      </c>
    </row>
    <row r="307">
      <c r="C307" s="1">
        <v>1.0</v>
      </c>
      <c r="D307" s="9"/>
      <c r="E307" s="11" t="s">
        <v>1838</v>
      </c>
      <c r="F307" s="46" t="s">
        <v>1839</v>
      </c>
      <c r="G307" s="13" t="s">
        <v>206</v>
      </c>
      <c r="H307" s="14">
        <v>40.038426</v>
      </c>
      <c r="I307" s="14">
        <v>-80.68879425</v>
      </c>
      <c r="L307" s="5">
        <v>40.038426</v>
      </c>
      <c r="M307" s="5">
        <v>-80.68879425</v>
      </c>
      <c r="N307" s="7"/>
      <c r="O307" s="5">
        <v>0.0</v>
      </c>
      <c r="P307" s="5">
        <v>0.0</v>
      </c>
      <c r="Q307" s="5" t="s">
        <v>116</v>
      </c>
      <c r="R307" s="7"/>
      <c r="S307" s="7"/>
      <c r="T307" s="1">
        <v>2.2</v>
      </c>
    </row>
    <row r="308">
      <c r="C308" s="1">
        <v>10.0</v>
      </c>
      <c r="D308" s="9"/>
      <c r="E308" s="11" t="s">
        <v>1840</v>
      </c>
      <c r="F308" s="46">
        <v>26003.0</v>
      </c>
      <c r="G308" s="13"/>
      <c r="H308" s="14"/>
      <c r="I308" s="14"/>
      <c r="L308" s="5">
        <v>40.10991938</v>
      </c>
      <c r="M308" s="5">
        <v>-80.63789146</v>
      </c>
      <c r="N308" s="7"/>
      <c r="O308" s="5">
        <v>3.0</v>
      </c>
      <c r="P308" s="5">
        <v>0.0</v>
      </c>
      <c r="Q308" s="5" t="s">
        <v>116</v>
      </c>
      <c r="R308" s="7"/>
      <c r="S308" s="7"/>
      <c r="T308" s="1">
        <v>3.3</v>
      </c>
    </row>
    <row r="309">
      <c r="C309" s="1">
        <v>4.0</v>
      </c>
      <c r="D309" s="9"/>
      <c r="E309" s="11" t="s">
        <v>1841</v>
      </c>
      <c r="F309" s="46" t="s">
        <v>1842</v>
      </c>
      <c r="G309" s="13" t="s">
        <v>159</v>
      </c>
      <c r="H309" s="27"/>
      <c r="I309" s="27"/>
      <c r="L309" s="5">
        <v>39.42876737</v>
      </c>
      <c r="M309" s="5">
        <v>-80.18387099</v>
      </c>
      <c r="N309" s="7"/>
      <c r="O309" s="5">
        <v>1.0</v>
      </c>
      <c r="P309" s="5">
        <v>0.0</v>
      </c>
      <c r="Q309" s="5" t="s">
        <v>116</v>
      </c>
      <c r="R309" s="7"/>
      <c r="S309" s="7"/>
      <c r="T309" s="1">
        <v>0.5</v>
      </c>
    </row>
    <row r="310">
      <c r="C310" s="1">
        <v>2.0</v>
      </c>
      <c r="D310" s="9"/>
      <c r="E310" s="11" t="s">
        <v>1843</v>
      </c>
      <c r="F310" s="46" t="s">
        <v>1844</v>
      </c>
      <c r="G310" s="13" t="s">
        <v>288</v>
      </c>
      <c r="H310" s="27"/>
      <c r="I310" s="27"/>
      <c r="L310" s="5">
        <v>37.93069806</v>
      </c>
      <c r="M310" s="5">
        <v>-81.54067178</v>
      </c>
      <c r="N310" s="7"/>
      <c r="O310" s="5">
        <v>0.0</v>
      </c>
      <c r="P310" s="5">
        <v>0.0</v>
      </c>
      <c r="Q310" s="5" t="s">
        <v>116</v>
      </c>
      <c r="R310" s="7"/>
      <c r="S310" s="7"/>
      <c r="T310" s="1">
        <v>7.5</v>
      </c>
    </row>
    <row r="311">
      <c r="C311" s="1">
        <v>10.0</v>
      </c>
      <c r="D311" s="9"/>
      <c r="E311" s="11" t="s">
        <v>1845</v>
      </c>
      <c r="F311" s="46">
        <v>24895.0</v>
      </c>
      <c r="G311" s="13" t="s">
        <v>726</v>
      </c>
      <c r="H311" s="27"/>
      <c r="I311" s="27"/>
      <c r="L311" s="5">
        <v>37.3798471</v>
      </c>
      <c r="M311" s="5">
        <v>-81.56479182</v>
      </c>
      <c r="N311" s="7"/>
      <c r="O311" s="5">
        <v>3.0</v>
      </c>
      <c r="P311" s="5" t="s">
        <v>732</v>
      </c>
      <c r="Q311" s="5" t="s">
        <v>733</v>
      </c>
      <c r="R311" s="7"/>
      <c r="S311" s="7"/>
      <c r="T311" s="1">
        <v>3.5</v>
      </c>
    </row>
    <row r="312">
      <c r="C312" s="1">
        <v>10.0</v>
      </c>
      <c r="D312" s="9"/>
      <c r="E312" s="11" t="s">
        <v>1848</v>
      </c>
      <c r="F312" s="46">
        <v>25661.0</v>
      </c>
      <c r="G312" s="13" t="s">
        <v>978</v>
      </c>
      <c r="H312" s="27"/>
      <c r="I312" s="27"/>
      <c r="L312" s="5">
        <v>37.7983308</v>
      </c>
      <c r="M312" s="5">
        <v>-82.28725881</v>
      </c>
      <c r="N312" s="7"/>
      <c r="O312" s="5">
        <v>3.0</v>
      </c>
      <c r="P312" s="5">
        <v>4.0</v>
      </c>
      <c r="Q312" s="5" t="s">
        <v>1190</v>
      </c>
      <c r="R312" s="7"/>
      <c r="S312" s="7"/>
      <c r="T312" s="1">
        <v>7.8</v>
      </c>
    </row>
    <row r="313">
      <c r="C313" s="1">
        <v>10.0</v>
      </c>
      <c r="D313" s="9"/>
      <c r="E313" s="11" t="s">
        <v>1849</v>
      </c>
      <c r="F313" s="46">
        <v>25661.0</v>
      </c>
      <c r="G313" s="13" t="s">
        <v>978</v>
      </c>
      <c r="H313" s="14">
        <v>37.67703981</v>
      </c>
      <c r="I313" s="14">
        <v>-82.29166115</v>
      </c>
      <c r="L313" s="5">
        <v>37.67703981</v>
      </c>
      <c r="M313" s="5">
        <v>-82.29166115</v>
      </c>
      <c r="N313" s="7"/>
      <c r="O313" s="5">
        <v>3.0</v>
      </c>
      <c r="P313" s="5">
        <v>4.0</v>
      </c>
      <c r="Q313" s="5" t="s">
        <v>1190</v>
      </c>
      <c r="R313" s="7"/>
      <c r="S313" s="7"/>
      <c r="T313" s="1">
        <v>1.5</v>
      </c>
    </row>
    <row r="314">
      <c r="C314" s="1">
        <v>4.0</v>
      </c>
      <c r="D314" s="9"/>
      <c r="E314" s="11" t="s">
        <v>1850</v>
      </c>
      <c r="F314" s="46">
        <v>26187.0</v>
      </c>
      <c r="G314" s="13" t="s">
        <v>268</v>
      </c>
      <c r="H314" s="14">
        <v>39.39451199</v>
      </c>
      <c r="I314" s="14">
        <v>-81.44821615</v>
      </c>
      <c r="L314" s="5">
        <v>39.39451199</v>
      </c>
      <c r="M314" s="5">
        <v>-81.44821615</v>
      </c>
      <c r="N314" s="7"/>
      <c r="O314" s="5">
        <v>1.0</v>
      </c>
      <c r="P314" s="5">
        <v>0.0</v>
      </c>
      <c r="Q314" s="5" t="s">
        <v>116</v>
      </c>
      <c r="R314" s="7"/>
      <c r="S314" s="7"/>
      <c r="T314" s="1">
        <v>1.6</v>
      </c>
    </row>
    <row r="315">
      <c r="C315" s="1">
        <v>4.0</v>
      </c>
      <c r="D315" s="9"/>
      <c r="E315" s="11" t="s">
        <v>1853</v>
      </c>
      <c r="F315" s="46" t="s">
        <v>1854</v>
      </c>
      <c r="G315" s="13" t="s">
        <v>268</v>
      </c>
      <c r="H315" s="14">
        <v>39.33413497</v>
      </c>
      <c r="I315" s="14">
        <v>-81.4232166</v>
      </c>
      <c r="L315" s="5">
        <v>39.33413497</v>
      </c>
      <c r="M315" s="5">
        <v>-81.4232166</v>
      </c>
      <c r="N315" s="7"/>
      <c r="O315" s="5">
        <v>1.0</v>
      </c>
      <c r="P315" s="5">
        <v>0.0</v>
      </c>
      <c r="Q315" s="5" t="s">
        <v>116</v>
      </c>
      <c r="R315" s="7"/>
      <c r="S315" s="7"/>
      <c r="T315" s="1">
        <v>4.8</v>
      </c>
    </row>
    <row r="316">
      <c r="C316" s="1">
        <v>1.0</v>
      </c>
      <c r="D316" s="9"/>
      <c r="E316" s="11" t="s">
        <v>1855</v>
      </c>
      <c r="F316" s="46" t="s">
        <v>1856</v>
      </c>
      <c r="G316" s="13" t="s">
        <v>218</v>
      </c>
      <c r="H316" s="27"/>
      <c r="I316" s="27"/>
      <c r="L316" s="5">
        <v>38.53667433</v>
      </c>
      <c r="M316" s="5">
        <v>-81.88853</v>
      </c>
      <c r="N316" s="7"/>
      <c r="O316" s="5">
        <v>0.0</v>
      </c>
      <c r="P316" s="5">
        <v>0.0</v>
      </c>
      <c r="Q316" s="5" t="s">
        <v>116</v>
      </c>
      <c r="R316" s="7"/>
      <c r="S316" s="7"/>
      <c r="T316" s="1">
        <v>1.7</v>
      </c>
    </row>
    <row r="317">
      <c r="C317" s="1">
        <v>1.0</v>
      </c>
      <c r="D317" s="9"/>
      <c r="E317" s="11" t="s">
        <v>1857</v>
      </c>
      <c r="F317" s="46">
        <v>25213.0</v>
      </c>
      <c r="G317" s="13" t="s">
        <v>218</v>
      </c>
      <c r="H317" s="14">
        <v>38.49625644</v>
      </c>
      <c r="I317" s="14">
        <v>-81.84580717</v>
      </c>
      <c r="L317" s="5">
        <v>38.49625644</v>
      </c>
      <c r="M317" s="5">
        <v>-81.84580717</v>
      </c>
      <c r="N317" s="7"/>
      <c r="O317" s="5">
        <v>0.0</v>
      </c>
      <c r="P317" s="5">
        <v>0.0</v>
      </c>
      <c r="Q317" s="5" t="s">
        <v>116</v>
      </c>
      <c r="R317" s="7"/>
      <c r="S317" s="7"/>
      <c r="T317" s="1">
        <v>2.3</v>
      </c>
    </row>
    <row r="318">
      <c r="C318" s="1">
        <v>5.0</v>
      </c>
      <c r="D318" s="9"/>
      <c r="E318" s="11" t="s">
        <v>1858</v>
      </c>
      <c r="F318" s="46">
        <v>26591.0</v>
      </c>
      <c r="G318" s="13" t="s">
        <v>159</v>
      </c>
      <c r="H318" s="14">
        <v>39.45151872</v>
      </c>
      <c r="I318" s="14">
        <v>-80.27033004</v>
      </c>
      <c r="L318" s="5">
        <v>39.45151872</v>
      </c>
      <c r="M318" s="5">
        <v>-80.27033004</v>
      </c>
      <c r="N318" s="7"/>
      <c r="O318" s="5">
        <v>1.0</v>
      </c>
      <c r="P318" s="5">
        <v>0.0</v>
      </c>
      <c r="Q318" s="5" t="s">
        <v>116</v>
      </c>
      <c r="R318" s="7"/>
      <c r="S318" s="7"/>
      <c r="T318" s="1">
        <v>4.6</v>
      </c>
    </row>
    <row r="319">
      <c r="C319" s="1">
        <v>2.0</v>
      </c>
      <c r="D319" s="9"/>
      <c r="E319" s="11" t="s">
        <v>1859</v>
      </c>
      <c r="F319" s="46" t="s">
        <v>1862</v>
      </c>
      <c r="G319" s="13" t="s">
        <v>585</v>
      </c>
      <c r="H319" s="14">
        <v>38.22197285</v>
      </c>
      <c r="I319" s="14">
        <v>-81.95723755</v>
      </c>
      <c r="O319" s="5">
        <v>0.0</v>
      </c>
      <c r="P319" s="5">
        <v>0.0</v>
      </c>
      <c r="Q319" s="5" t="s">
        <v>116</v>
      </c>
      <c r="R319" s="7"/>
      <c r="S319" s="7"/>
      <c r="T319" s="1">
        <v>8.4</v>
      </c>
    </row>
    <row r="320">
      <c r="D320" s="9"/>
      <c r="E320" s="15"/>
      <c r="F320" s="43"/>
      <c r="G320" s="15"/>
      <c r="H320" s="15"/>
      <c r="I320" s="15"/>
      <c r="O320" s="7"/>
      <c r="P320" s="7"/>
      <c r="Q320" s="7"/>
      <c r="R320" s="7"/>
      <c r="S320" s="7"/>
    </row>
    <row r="321">
      <c r="D321" s="9"/>
      <c r="E321" s="15"/>
      <c r="F321" s="43"/>
      <c r="G321" s="15"/>
      <c r="H321" s="15"/>
      <c r="I321" s="15"/>
      <c r="O321" s="7"/>
      <c r="P321" s="7"/>
      <c r="Q321" s="7"/>
      <c r="R321" s="7"/>
      <c r="S321" s="7"/>
    </row>
    <row r="322">
      <c r="D322" s="9"/>
      <c r="E322" s="15"/>
      <c r="F322" s="43"/>
      <c r="G322" s="15"/>
      <c r="H322" s="15"/>
      <c r="I322" s="15"/>
      <c r="O322" s="7"/>
      <c r="P322" s="7"/>
      <c r="Q322" s="7"/>
      <c r="R322" s="7"/>
      <c r="S322" s="7"/>
    </row>
    <row r="323">
      <c r="D323" s="9"/>
      <c r="E323" s="15"/>
      <c r="F323" s="43"/>
      <c r="G323" s="15"/>
      <c r="H323" s="15"/>
      <c r="I323" s="15"/>
      <c r="O323" s="7"/>
      <c r="P323" s="7"/>
      <c r="Q323" s="7"/>
      <c r="R323" s="7"/>
      <c r="S323" s="7"/>
    </row>
    <row r="324">
      <c r="D324" s="9"/>
      <c r="E324" s="15"/>
      <c r="F324" s="43"/>
      <c r="G324" s="15"/>
      <c r="H324" s="15"/>
      <c r="I324" s="15"/>
      <c r="O324" s="7"/>
      <c r="P324" s="7"/>
      <c r="Q324" s="7"/>
      <c r="R324" s="7"/>
      <c r="S324" s="7"/>
    </row>
    <row r="325">
      <c r="D325" s="9"/>
      <c r="E325" s="15"/>
      <c r="F325" s="43"/>
      <c r="G325" s="15"/>
      <c r="H325" s="15"/>
      <c r="I325" s="15"/>
      <c r="O325" s="7"/>
      <c r="P325" s="7"/>
      <c r="Q325" s="7"/>
      <c r="R325" s="7"/>
      <c r="S325" s="7"/>
    </row>
    <row r="326">
      <c r="D326" s="9"/>
      <c r="E326" s="15"/>
      <c r="F326" s="43"/>
      <c r="G326" s="15"/>
      <c r="H326" s="15"/>
      <c r="I326" s="15"/>
      <c r="O326" s="7"/>
      <c r="P326" s="7"/>
      <c r="Q326" s="7"/>
      <c r="R326" s="7"/>
      <c r="S326" s="7"/>
    </row>
    <row r="327">
      <c r="D327" s="9"/>
      <c r="E327" s="15"/>
      <c r="F327" s="43"/>
      <c r="G327" s="15"/>
      <c r="H327" s="15"/>
      <c r="I327" s="15"/>
      <c r="O327" s="7"/>
      <c r="P327" s="7"/>
      <c r="Q327" s="7"/>
      <c r="R327" s="7"/>
      <c r="S327" s="7"/>
    </row>
    <row r="328">
      <c r="D328" s="9"/>
      <c r="E328" s="15"/>
      <c r="F328" s="43"/>
      <c r="G328" s="15"/>
      <c r="H328" s="15"/>
      <c r="I328" s="15"/>
      <c r="O328" s="7"/>
      <c r="P328" s="7"/>
      <c r="Q328" s="7"/>
      <c r="R328" s="7"/>
      <c r="S328" s="7"/>
    </row>
    <row r="329">
      <c r="D329" s="9"/>
      <c r="E329" s="15"/>
      <c r="F329" s="43"/>
      <c r="G329" s="15"/>
      <c r="H329" s="15"/>
      <c r="I329" s="15"/>
      <c r="O329" s="7"/>
      <c r="P329" s="7"/>
      <c r="Q329" s="7"/>
      <c r="R329" s="7"/>
      <c r="S329" s="7"/>
    </row>
    <row r="330">
      <c r="D330" s="9"/>
      <c r="E330" s="15"/>
      <c r="F330" s="43"/>
      <c r="G330" s="15"/>
      <c r="H330" s="15"/>
      <c r="I330" s="15"/>
      <c r="O330" s="7"/>
      <c r="P330" s="7"/>
      <c r="Q330" s="7"/>
      <c r="R330" s="7"/>
      <c r="S330" s="7"/>
    </row>
    <row r="331">
      <c r="D331" s="9"/>
      <c r="E331" s="15"/>
      <c r="F331" s="43"/>
      <c r="G331" s="15"/>
      <c r="H331" s="15"/>
      <c r="I331" s="15"/>
      <c r="O331" s="7"/>
      <c r="P331" s="7"/>
      <c r="Q331" s="7"/>
      <c r="R331" s="7"/>
      <c r="S331" s="7"/>
    </row>
    <row r="332">
      <c r="D332" s="9"/>
      <c r="E332" s="15"/>
      <c r="F332" s="43"/>
      <c r="G332" s="15"/>
      <c r="H332" s="15"/>
      <c r="I332" s="15"/>
      <c r="O332" s="7"/>
      <c r="P332" s="7"/>
      <c r="Q332" s="7"/>
      <c r="R332" s="7"/>
      <c r="S332" s="7"/>
    </row>
    <row r="333">
      <c r="D333" s="9"/>
      <c r="E333" s="15"/>
      <c r="F333" s="43"/>
      <c r="G333" s="15"/>
      <c r="H333" s="15"/>
      <c r="I333" s="15"/>
      <c r="O333" s="7"/>
      <c r="P333" s="7"/>
      <c r="Q333" s="7"/>
      <c r="R333" s="7"/>
      <c r="S333" s="7"/>
    </row>
    <row r="334">
      <c r="D334" s="9"/>
      <c r="E334" s="15"/>
      <c r="F334" s="43"/>
      <c r="G334" s="15"/>
      <c r="H334" s="15"/>
      <c r="I334" s="15"/>
      <c r="O334" s="7"/>
      <c r="P334" s="7"/>
      <c r="Q334" s="7"/>
      <c r="R334" s="7"/>
      <c r="S334" s="7"/>
    </row>
    <row r="335">
      <c r="D335" s="9"/>
      <c r="E335" s="15"/>
      <c r="F335" s="43"/>
      <c r="G335" s="15"/>
      <c r="H335" s="15"/>
      <c r="I335" s="15"/>
      <c r="O335" s="7"/>
      <c r="P335" s="7"/>
      <c r="Q335" s="7"/>
      <c r="R335" s="7"/>
      <c r="S335" s="7"/>
    </row>
    <row r="336">
      <c r="D336" s="9"/>
      <c r="E336" s="15"/>
      <c r="F336" s="43"/>
      <c r="G336" s="15"/>
      <c r="H336" s="15"/>
      <c r="I336" s="15"/>
      <c r="O336" s="7"/>
      <c r="P336" s="7"/>
      <c r="Q336" s="7"/>
      <c r="R336" s="7"/>
      <c r="S336" s="7"/>
    </row>
    <row r="337">
      <c r="D337" s="9"/>
      <c r="E337" s="15"/>
      <c r="F337" s="43"/>
      <c r="G337" s="15"/>
      <c r="H337" s="15"/>
      <c r="I337" s="15"/>
      <c r="O337" s="7"/>
      <c r="P337" s="7"/>
      <c r="Q337" s="7"/>
      <c r="R337" s="7"/>
      <c r="S337" s="7"/>
    </row>
    <row r="338">
      <c r="D338" s="9"/>
      <c r="E338" s="15"/>
      <c r="F338" s="43"/>
      <c r="G338" s="15"/>
      <c r="H338" s="15"/>
      <c r="I338" s="15"/>
      <c r="O338" s="7"/>
      <c r="P338" s="7"/>
      <c r="Q338" s="7"/>
      <c r="R338" s="7"/>
      <c r="S338" s="7"/>
    </row>
    <row r="339">
      <c r="D339" s="9"/>
      <c r="E339" s="15"/>
      <c r="F339" s="43"/>
      <c r="G339" s="15"/>
      <c r="H339" s="15"/>
      <c r="I339" s="15"/>
      <c r="O339" s="7"/>
      <c r="P339" s="7"/>
      <c r="Q339" s="7"/>
      <c r="R339" s="7"/>
      <c r="S339" s="7"/>
    </row>
    <row r="340">
      <c r="D340" s="9"/>
      <c r="E340" s="15"/>
      <c r="F340" s="43"/>
      <c r="G340" s="15"/>
      <c r="H340" s="15"/>
      <c r="I340" s="15"/>
      <c r="O340" s="7"/>
      <c r="P340" s="7"/>
      <c r="Q340" s="7"/>
      <c r="R340" s="7"/>
      <c r="S340" s="7"/>
    </row>
    <row r="341">
      <c r="D341" s="9"/>
      <c r="E341" s="15"/>
      <c r="F341" s="43"/>
      <c r="G341" s="15"/>
      <c r="H341" s="15"/>
      <c r="I341" s="15"/>
      <c r="O341" s="7"/>
      <c r="P341" s="7"/>
      <c r="Q341" s="7"/>
      <c r="R341" s="7"/>
      <c r="S341" s="7"/>
    </row>
    <row r="342">
      <c r="D342" s="9"/>
      <c r="E342" s="15"/>
      <c r="F342" s="43"/>
      <c r="G342" s="15"/>
      <c r="H342" s="15"/>
      <c r="I342" s="15"/>
      <c r="O342" s="7"/>
      <c r="P342" s="7"/>
      <c r="Q342" s="7"/>
      <c r="R342" s="7"/>
      <c r="S342" s="7"/>
    </row>
    <row r="343">
      <c r="D343" s="9"/>
      <c r="E343" s="15"/>
      <c r="F343" s="43"/>
      <c r="G343" s="15"/>
      <c r="H343" s="15"/>
      <c r="I343" s="15"/>
      <c r="O343" s="7"/>
      <c r="P343" s="7"/>
      <c r="Q343" s="7"/>
      <c r="R343" s="7"/>
      <c r="S343" s="7"/>
    </row>
    <row r="344">
      <c r="D344" s="9"/>
      <c r="E344" s="15"/>
      <c r="F344" s="43"/>
      <c r="G344" s="15"/>
      <c r="H344" s="15"/>
      <c r="I344" s="15"/>
      <c r="O344" s="7"/>
      <c r="P344" s="7"/>
      <c r="Q344" s="7"/>
      <c r="R344" s="7"/>
      <c r="S344" s="7"/>
    </row>
    <row r="345">
      <c r="D345" s="9"/>
      <c r="E345" s="15"/>
      <c r="F345" s="43"/>
      <c r="G345" s="15"/>
      <c r="H345" s="15"/>
      <c r="I345" s="15"/>
      <c r="O345" s="7"/>
      <c r="P345" s="7"/>
      <c r="Q345" s="7"/>
      <c r="R345" s="7"/>
      <c r="S345" s="7"/>
    </row>
    <row r="346">
      <c r="D346" s="9"/>
      <c r="E346" s="15"/>
      <c r="F346" s="43"/>
      <c r="G346" s="15"/>
      <c r="H346" s="15"/>
      <c r="I346" s="15"/>
      <c r="O346" s="7"/>
      <c r="P346" s="7"/>
      <c r="Q346" s="7"/>
      <c r="R346" s="7"/>
      <c r="S346" s="7"/>
    </row>
    <row r="347">
      <c r="D347" s="9"/>
      <c r="E347" s="15"/>
      <c r="F347" s="43"/>
      <c r="G347" s="15"/>
      <c r="H347" s="15"/>
      <c r="I347" s="15"/>
      <c r="O347" s="7"/>
      <c r="P347" s="7"/>
      <c r="Q347" s="7"/>
      <c r="R347" s="7"/>
      <c r="S347" s="7"/>
    </row>
    <row r="348">
      <c r="D348" s="9"/>
      <c r="E348" s="15"/>
      <c r="F348" s="43"/>
      <c r="G348" s="15"/>
      <c r="H348" s="15"/>
      <c r="I348" s="15"/>
      <c r="O348" s="7"/>
      <c r="P348" s="7"/>
      <c r="Q348" s="7"/>
      <c r="R348" s="7"/>
      <c r="S348" s="7"/>
    </row>
    <row r="349">
      <c r="D349" s="9"/>
      <c r="E349" s="15"/>
      <c r="F349" s="43"/>
      <c r="G349" s="15"/>
      <c r="H349" s="15"/>
      <c r="I349" s="15"/>
      <c r="O349" s="7"/>
      <c r="P349" s="7"/>
      <c r="Q349" s="7"/>
      <c r="R349" s="7"/>
      <c r="S349" s="7"/>
    </row>
    <row r="350">
      <c r="D350" s="9"/>
      <c r="E350" s="15"/>
      <c r="F350" s="43"/>
      <c r="G350" s="15"/>
      <c r="H350" s="15"/>
      <c r="I350" s="15"/>
      <c r="O350" s="7"/>
      <c r="P350" s="7"/>
      <c r="Q350" s="7"/>
      <c r="R350" s="7"/>
      <c r="S350" s="7"/>
    </row>
    <row r="351">
      <c r="D351" s="9"/>
      <c r="E351" s="15"/>
      <c r="F351" s="43"/>
      <c r="G351" s="15"/>
      <c r="H351" s="15"/>
      <c r="I351" s="15"/>
      <c r="O351" s="7"/>
      <c r="P351" s="7"/>
      <c r="Q351" s="7"/>
      <c r="R351" s="7"/>
      <c r="S351" s="7"/>
    </row>
    <row r="352">
      <c r="D352" s="9"/>
      <c r="E352" s="15"/>
      <c r="F352" s="43"/>
      <c r="G352" s="15"/>
      <c r="H352" s="15"/>
      <c r="I352" s="15"/>
      <c r="O352" s="7"/>
      <c r="P352" s="7"/>
      <c r="Q352" s="7"/>
      <c r="R352" s="7"/>
      <c r="S352" s="7"/>
    </row>
    <row r="353">
      <c r="D353" s="9"/>
      <c r="E353" s="15"/>
      <c r="F353" s="43"/>
      <c r="G353" s="15"/>
      <c r="H353" s="15"/>
      <c r="I353" s="15"/>
      <c r="O353" s="7"/>
      <c r="P353" s="7"/>
      <c r="Q353" s="7"/>
      <c r="R353" s="7"/>
      <c r="S353" s="7"/>
    </row>
    <row r="354">
      <c r="D354" s="9"/>
      <c r="E354" s="15"/>
      <c r="F354" s="43"/>
      <c r="G354" s="15"/>
      <c r="H354" s="15"/>
      <c r="I354" s="15"/>
      <c r="O354" s="7"/>
      <c r="P354" s="7"/>
      <c r="Q354" s="7"/>
      <c r="R354" s="7"/>
      <c r="S354" s="7"/>
    </row>
    <row r="355">
      <c r="D355" s="9"/>
      <c r="E355" s="15"/>
      <c r="F355" s="43"/>
      <c r="G355" s="15"/>
      <c r="H355" s="15"/>
      <c r="I355" s="15"/>
      <c r="O355" s="7"/>
      <c r="P355" s="7"/>
      <c r="Q355" s="7"/>
      <c r="R355" s="7"/>
      <c r="S355" s="7"/>
    </row>
    <row r="356">
      <c r="D356" s="9"/>
      <c r="E356" s="15"/>
      <c r="F356" s="43"/>
      <c r="G356" s="15"/>
      <c r="H356" s="15"/>
      <c r="I356" s="15"/>
      <c r="O356" s="7"/>
      <c r="P356" s="7"/>
      <c r="Q356" s="7"/>
      <c r="R356" s="7"/>
      <c r="S356" s="7"/>
    </row>
    <row r="357">
      <c r="D357" s="9"/>
      <c r="E357" s="15"/>
      <c r="F357" s="43"/>
      <c r="G357" s="15"/>
      <c r="H357" s="15"/>
      <c r="I357" s="15"/>
      <c r="O357" s="7"/>
      <c r="P357" s="7"/>
      <c r="Q357" s="7"/>
      <c r="R357" s="7"/>
      <c r="S357" s="7"/>
    </row>
    <row r="358">
      <c r="D358" s="9"/>
      <c r="E358" s="15"/>
      <c r="F358" s="43"/>
      <c r="G358" s="15"/>
      <c r="H358" s="15"/>
      <c r="I358" s="15"/>
      <c r="O358" s="7"/>
      <c r="P358" s="7"/>
      <c r="Q358" s="7"/>
      <c r="R358" s="7"/>
      <c r="S358" s="7"/>
    </row>
    <row r="359">
      <c r="D359" s="9"/>
      <c r="E359" s="15"/>
      <c r="F359" s="43"/>
      <c r="G359" s="15"/>
      <c r="H359" s="15"/>
      <c r="I359" s="15"/>
      <c r="O359" s="7"/>
      <c r="P359" s="7"/>
      <c r="Q359" s="7"/>
      <c r="R359" s="7"/>
      <c r="S359" s="7"/>
    </row>
    <row r="360">
      <c r="D360" s="9"/>
      <c r="E360" s="15"/>
      <c r="F360" s="43"/>
      <c r="G360" s="15"/>
      <c r="H360" s="15"/>
      <c r="I360" s="15"/>
      <c r="O360" s="7"/>
      <c r="P360" s="7"/>
      <c r="Q360" s="7"/>
      <c r="R360" s="7"/>
      <c r="S360" s="7"/>
    </row>
    <row r="361">
      <c r="D361" s="9"/>
      <c r="E361" s="15"/>
      <c r="F361" s="43"/>
      <c r="G361" s="15"/>
      <c r="H361" s="15"/>
      <c r="I361" s="15"/>
      <c r="O361" s="7"/>
      <c r="P361" s="7"/>
      <c r="Q361" s="7"/>
      <c r="R361" s="7"/>
      <c r="S361" s="7"/>
    </row>
    <row r="362">
      <c r="D362" s="9"/>
      <c r="E362" s="15"/>
      <c r="F362" s="43"/>
      <c r="G362" s="15"/>
      <c r="H362" s="15"/>
      <c r="I362" s="15"/>
      <c r="O362" s="7"/>
      <c r="P362" s="7"/>
      <c r="Q362" s="7"/>
      <c r="R362" s="7"/>
      <c r="S362" s="7"/>
    </row>
    <row r="363">
      <c r="D363" s="9"/>
      <c r="E363" s="15"/>
      <c r="F363" s="43"/>
      <c r="G363" s="15"/>
      <c r="H363" s="15"/>
      <c r="I363" s="15"/>
      <c r="O363" s="7"/>
      <c r="P363" s="7"/>
      <c r="Q363" s="7"/>
      <c r="R363" s="7"/>
      <c r="S363" s="7"/>
    </row>
    <row r="364">
      <c r="D364" s="9"/>
      <c r="E364" s="15"/>
      <c r="F364" s="43"/>
      <c r="G364" s="15"/>
      <c r="H364" s="15"/>
      <c r="I364" s="15"/>
      <c r="O364" s="7"/>
      <c r="P364" s="7"/>
      <c r="Q364" s="7"/>
      <c r="R364" s="7"/>
      <c r="S364" s="7"/>
    </row>
    <row r="365">
      <c r="D365" s="9"/>
      <c r="E365" s="15"/>
      <c r="F365" s="43"/>
      <c r="G365" s="15"/>
      <c r="H365" s="15"/>
      <c r="I365" s="15"/>
      <c r="O365" s="7"/>
      <c r="P365" s="7"/>
      <c r="Q365" s="7"/>
      <c r="R365" s="7"/>
      <c r="S365" s="7"/>
    </row>
    <row r="366">
      <c r="D366" s="9"/>
      <c r="E366" s="15"/>
      <c r="F366" s="43"/>
      <c r="G366" s="15"/>
      <c r="H366" s="15"/>
      <c r="I366" s="15"/>
      <c r="O366" s="7"/>
      <c r="P366" s="7"/>
      <c r="Q366" s="7"/>
      <c r="R366" s="7"/>
      <c r="S366" s="7"/>
    </row>
    <row r="367">
      <c r="D367" s="9"/>
      <c r="E367" s="15"/>
      <c r="F367" s="43"/>
      <c r="G367" s="15"/>
      <c r="H367" s="15"/>
      <c r="I367" s="15"/>
      <c r="O367" s="7"/>
      <c r="P367" s="7"/>
      <c r="Q367" s="7"/>
      <c r="R367" s="7"/>
      <c r="S367" s="7"/>
    </row>
    <row r="368">
      <c r="D368" s="9"/>
      <c r="E368" s="15"/>
      <c r="F368" s="43"/>
      <c r="G368" s="15"/>
      <c r="H368" s="15"/>
      <c r="I368" s="15"/>
      <c r="O368" s="7"/>
      <c r="P368" s="7"/>
      <c r="Q368" s="7"/>
      <c r="R368" s="7"/>
      <c r="S368" s="7"/>
    </row>
    <row r="369">
      <c r="D369" s="9"/>
      <c r="E369" s="15"/>
      <c r="F369" s="43"/>
      <c r="G369" s="15"/>
      <c r="H369" s="15"/>
      <c r="I369" s="15"/>
      <c r="O369" s="7"/>
      <c r="P369" s="7"/>
      <c r="Q369" s="7"/>
      <c r="R369" s="7"/>
      <c r="S369" s="7"/>
    </row>
    <row r="370">
      <c r="D370" s="9"/>
      <c r="E370" s="15"/>
      <c r="F370" s="43"/>
      <c r="G370" s="15"/>
      <c r="H370" s="15"/>
      <c r="I370" s="15"/>
      <c r="O370" s="7"/>
      <c r="P370" s="7"/>
      <c r="Q370" s="7"/>
      <c r="R370" s="7"/>
      <c r="S370" s="7"/>
    </row>
    <row r="371">
      <c r="D371" s="9"/>
      <c r="E371" s="15"/>
      <c r="F371" s="43"/>
      <c r="G371" s="15"/>
      <c r="H371" s="15"/>
      <c r="I371" s="15"/>
      <c r="O371" s="7"/>
      <c r="P371" s="7"/>
      <c r="Q371" s="7"/>
      <c r="R371" s="7"/>
      <c r="S371" s="7"/>
    </row>
    <row r="372">
      <c r="D372" s="9"/>
      <c r="E372" s="15"/>
      <c r="F372" s="43"/>
      <c r="G372" s="15"/>
      <c r="H372" s="15"/>
      <c r="I372" s="15"/>
      <c r="O372" s="7"/>
      <c r="P372" s="7"/>
      <c r="Q372" s="7"/>
      <c r="R372" s="7"/>
      <c r="S372" s="7"/>
    </row>
    <row r="373">
      <c r="D373" s="9"/>
      <c r="E373" s="15"/>
      <c r="F373" s="43"/>
      <c r="G373" s="15"/>
      <c r="H373" s="15"/>
      <c r="I373" s="15"/>
      <c r="O373" s="7"/>
      <c r="P373" s="7"/>
      <c r="Q373" s="7"/>
      <c r="R373" s="7"/>
      <c r="S373" s="7"/>
    </row>
    <row r="374">
      <c r="D374" s="9"/>
      <c r="E374" s="15"/>
      <c r="F374" s="43"/>
      <c r="G374" s="15"/>
      <c r="H374" s="15"/>
      <c r="I374" s="15"/>
      <c r="O374" s="7"/>
      <c r="P374" s="7"/>
      <c r="Q374" s="7"/>
      <c r="R374" s="7"/>
      <c r="S374" s="7"/>
    </row>
    <row r="375">
      <c r="D375" s="9"/>
      <c r="E375" s="15"/>
      <c r="F375" s="43"/>
      <c r="G375" s="15"/>
      <c r="H375" s="15"/>
      <c r="I375" s="15"/>
      <c r="O375" s="7"/>
      <c r="P375" s="7"/>
      <c r="Q375" s="7"/>
      <c r="R375" s="7"/>
      <c r="S375" s="7"/>
    </row>
    <row r="376">
      <c r="D376" s="9"/>
      <c r="E376" s="15"/>
      <c r="F376" s="43"/>
      <c r="G376" s="15"/>
      <c r="H376" s="15"/>
      <c r="I376" s="15"/>
      <c r="O376" s="7"/>
      <c r="P376" s="7"/>
      <c r="Q376" s="7"/>
      <c r="R376" s="7"/>
      <c r="S376" s="7"/>
    </row>
    <row r="377">
      <c r="D377" s="9"/>
      <c r="E377" s="15"/>
      <c r="F377" s="43"/>
      <c r="G377" s="15"/>
      <c r="H377" s="15"/>
      <c r="I377" s="15"/>
      <c r="O377" s="7"/>
      <c r="P377" s="7"/>
      <c r="Q377" s="7"/>
      <c r="R377" s="7"/>
      <c r="S377" s="7"/>
    </row>
    <row r="378">
      <c r="D378" s="9"/>
      <c r="E378" s="15"/>
      <c r="F378" s="43"/>
      <c r="G378" s="15"/>
      <c r="H378" s="15"/>
      <c r="I378" s="15"/>
      <c r="O378" s="7"/>
      <c r="P378" s="7"/>
      <c r="Q378" s="7"/>
      <c r="R378" s="7"/>
      <c r="S378" s="7"/>
    </row>
    <row r="379">
      <c r="D379" s="9"/>
      <c r="E379" s="15"/>
      <c r="F379" s="43"/>
      <c r="G379" s="15"/>
      <c r="H379" s="15"/>
      <c r="I379" s="15"/>
      <c r="O379" s="7"/>
      <c r="P379" s="7"/>
      <c r="Q379" s="7"/>
      <c r="R379" s="7"/>
      <c r="S379" s="7"/>
    </row>
    <row r="380">
      <c r="D380" s="9"/>
      <c r="E380" s="15"/>
      <c r="F380" s="43"/>
      <c r="G380" s="15"/>
      <c r="H380" s="15"/>
      <c r="I380" s="15"/>
      <c r="O380" s="7"/>
      <c r="P380" s="7"/>
      <c r="Q380" s="7"/>
      <c r="R380" s="7"/>
      <c r="S380" s="7"/>
    </row>
    <row r="381">
      <c r="D381" s="9"/>
      <c r="E381" s="15"/>
      <c r="F381" s="43"/>
      <c r="G381" s="15"/>
      <c r="H381" s="15"/>
      <c r="I381" s="15"/>
      <c r="O381" s="7"/>
      <c r="P381" s="7"/>
      <c r="Q381" s="7"/>
      <c r="R381" s="7"/>
      <c r="S381" s="7"/>
    </row>
    <row r="382">
      <c r="D382" s="9"/>
      <c r="E382" s="15"/>
      <c r="F382" s="43"/>
      <c r="G382" s="15"/>
      <c r="H382" s="15"/>
      <c r="I382" s="15"/>
      <c r="O382" s="7"/>
      <c r="P382" s="7"/>
      <c r="Q382" s="7"/>
      <c r="R382" s="7"/>
      <c r="S382" s="7"/>
    </row>
    <row r="383">
      <c r="D383" s="9"/>
      <c r="E383" s="15"/>
      <c r="F383" s="43"/>
      <c r="G383" s="15"/>
      <c r="H383" s="15"/>
      <c r="I383" s="15"/>
      <c r="O383" s="7"/>
      <c r="P383" s="7"/>
      <c r="Q383" s="7"/>
      <c r="R383" s="7"/>
      <c r="S383" s="7"/>
    </row>
    <row r="384">
      <c r="D384" s="9"/>
      <c r="E384" s="15"/>
      <c r="F384" s="43"/>
      <c r="G384" s="15"/>
      <c r="H384" s="15"/>
      <c r="I384" s="15"/>
      <c r="O384" s="7"/>
      <c r="P384" s="7"/>
      <c r="Q384" s="7"/>
      <c r="R384" s="7"/>
      <c r="S384" s="7"/>
    </row>
    <row r="385">
      <c r="D385" s="9"/>
      <c r="E385" s="15"/>
      <c r="F385" s="43"/>
      <c r="G385" s="15"/>
      <c r="H385" s="15"/>
      <c r="I385" s="15"/>
      <c r="O385" s="7"/>
      <c r="P385" s="7"/>
      <c r="Q385" s="7"/>
      <c r="R385" s="7"/>
      <c r="S385" s="7"/>
    </row>
    <row r="386">
      <c r="D386" s="9"/>
      <c r="E386" s="15"/>
      <c r="F386" s="43"/>
      <c r="G386" s="15"/>
      <c r="H386" s="15"/>
      <c r="I386" s="15"/>
      <c r="O386" s="7"/>
      <c r="P386" s="7"/>
      <c r="Q386" s="7"/>
      <c r="R386" s="7"/>
      <c r="S386" s="7"/>
    </row>
    <row r="387">
      <c r="D387" s="9"/>
      <c r="E387" s="15"/>
      <c r="F387" s="43"/>
      <c r="G387" s="15"/>
      <c r="H387" s="15"/>
      <c r="I387" s="15"/>
      <c r="O387" s="7"/>
      <c r="P387" s="7"/>
      <c r="Q387" s="7"/>
      <c r="R387" s="7"/>
      <c r="S387" s="7"/>
    </row>
    <row r="388">
      <c r="D388" s="9"/>
      <c r="E388" s="15"/>
      <c r="F388" s="43"/>
      <c r="G388" s="15"/>
      <c r="H388" s="15"/>
      <c r="I388" s="15"/>
      <c r="O388" s="7"/>
      <c r="P388" s="7"/>
      <c r="Q388" s="7"/>
      <c r="R388" s="7"/>
      <c r="S388" s="7"/>
    </row>
    <row r="389">
      <c r="D389" s="9"/>
      <c r="E389" s="15"/>
      <c r="F389" s="43"/>
      <c r="G389" s="15"/>
      <c r="H389" s="15"/>
      <c r="I389" s="15"/>
      <c r="O389" s="7"/>
      <c r="P389" s="7"/>
      <c r="Q389" s="7"/>
      <c r="R389" s="7"/>
      <c r="S389" s="7"/>
    </row>
    <row r="390">
      <c r="D390" s="9"/>
      <c r="E390" s="15"/>
      <c r="F390" s="43"/>
      <c r="G390" s="15"/>
      <c r="H390" s="15"/>
      <c r="I390" s="15"/>
      <c r="O390" s="7"/>
      <c r="P390" s="7"/>
      <c r="Q390" s="7"/>
      <c r="R390" s="7"/>
      <c r="S390" s="7"/>
    </row>
    <row r="391">
      <c r="D391" s="9"/>
      <c r="E391" s="15"/>
      <c r="F391" s="43"/>
      <c r="G391" s="15"/>
      <c r="H391" s="15"/>
      <c r="I391" s="15"/>
      <c r="O391" s="7"/>
      <c r="P391" s="7"/>
      <c r="Q391" s="7"/>
      <c r="R391" s="7"/>
      <c r="S391" s="7"/>
    </row>
    <row r="392">
      <c r="D392" s="9"/>
      <c r="E392" s="15"/>
      <c r="F392" s="43"/>
      <c r="G392" s="15"/>
      <c r="H392" s="15"/>
      <c r="I392" s="15"/>
      <c r="O392" s="7"/>
      <c r="P392" s="7"/>
      <c r="Q392" s="7"/>
      <c r="R392" s="7"/>
      <c r="S392" s="7"/>
    </row>
    <row r="393">
      <c r="D393" s="9"/>
      <c r="E393" s="15"/>
      <c r="F393" s="43"/>
      <c r="G393" s="15"/>
      <c r="H393" s="15"/>
      <c r="I393" s="15"/>
      <c r="O393" s="7"/>
      <c r="P393" s="7"/>
      <c r="Q393" s="7"/>
      <c r="R393" s="7"/>
      <c r="S393" s="7"/>
    </row>
    <row r="394">
      <c r="D394" s="9"/>
      <c r="E394" s="15"/>
      <c r="F394" s="43"/>
      <c r="G394" s="15"/>
      <c r="H394" s="15"/>
      <c r="I394" s="15"/>
      <c r="O394" s="7"/>
      <c r="P394" s="7"/>
      <c r="Q394" s="7"/>
      <c r="R394" s="7"/>
      <c r="S394" s="7"/>
    </row>
    <row r="395">
      <c r="D395" s="9"/>
      <c r="E395" s="15"/>
      <c r="F395" s="43"/>
      <c r="G395" s="15"/>
      <c r="H395" s="15"/>
      <c r="I395" s="15"/>
      <c r="O395" s="7"/>
      <c r="P395" s="7"/>
      <c r="Q395" s="7"/>
      <c r="R395" s="7"/>
      <c r="S395" s="7"/>
    </row>
    <row r="396">
      <c r="D396" s="9"/>
      <c r="E396" s="15"/>
      <c r="F396" s="43"/>
      <c r="G396" s="15"/>
      <c r="H396" s="15"/>
      <c r="I396" s="15"/>
      <c r="O396" s="7"/>
      <c r="P396" s="7"/>
      <c r="Q396" s="7"/>
      <c r="R396" s="7"/>
      <c r="S396" s="7"/>
    </row>
    <row r="397">
      <c r="D397" s="9"/>
      <c r="E397" s="15"/>
      <c r="F397" s="43"/>
      <c r="G397" s="15"/>
      <c r="H397" s="15"/>
      <c r="I397" s="15"/>
      <c r="O397" s="7"/>
      <c r="P397" s="7"/>
      <c r="Q397" s="7"/>
      <c r="R397" s="7"/>
      <c r="S397" s="7"/>
    </row>
    <row r="398">
      <c r="D398" s="9"/>
      <c r="E398" s="15"/>
      <c r="F398" s="43"/>
      <c r="G398" s="15"/>
      <c r="H398" s="15"/>
      <c r="I398" s="15"/>
      <c r="O398" s="7"/>
      <c r="P398" s="7"/>
      <c r="Q398" s="7"/>
      <c r="R398" s="7"/>
      <c r="S398" s="7"/>
    </row>
    <row r="399">
      <c r="D399" s="9"/>
      <c r="E399" s="15"/>
      <c r="F399" s="43"/>
      <c r="G399" s="15"/>
      <c r="H399" s="15"/>
      <c r="I399" s="15"/>
      <c r="O399" s="7"/>
      <c r="P399" s="7"/>
      <c r="Q399" s="7"/>
      <c r="R399" s="7"/>
      <c r="S399" s="7"/>
    </row>
    <row r="400">
      <c r="D400" s="9"/>
      <c r="E400" s="15"/>
      <c r="F400" s="43"/>
      <c r="G400" s="15"/>
      <c r="H400" s="15"/>
      <c r="I400" s="15"/>
      <c r="O400" s="7"/>
      <c r="P400" s="7"/>
      <c r="Q400" s="7"/>
      <c r="R400" s="7"/>
      <c r="S400" s="7"/>
    </row>
    <row r="401">
      <c r="D401" s="9"/>
      <c r="E401" s="15"/>
      <c r="F401" s="43"/>
      <c r="G401" s="15"/>
      <c r="H401" s="15"/>
      <c r="I401" s="15"/>
      <c r="O401" s="7"/>
      <c r="P401" s="7"/>
      <c r="Q401" s="7"/>
      <c r="R401" s="7"/>
      <c r="S401" s="7"/>
    </row>
    <row r="402">
      <c r="D402" s="9"/>
      <c r="E402" s="15"/>
      <c r="F402" s="43"/>
      <c r="G402" s="15"/>
      <c r="H402" s="15"/>
      <c r="I402" s="15"/>
      <c r="O402" s="7"/>
      <c r="P402" s="7"/>
      <c r="Q402" s="7"/>
      <c r="R402" s="7"/>
      <c r="S402" s="7"/>
    </row>
    <row r="403">
      <c r="D403" s="9"/>
      <c r="E403" s="15"/>
      <c r="F403" s="43"/>
      <c r="G403" s="15"/>
      <c r="H403" s="15"/>
      <c r="I403" s="15"/>
      <c r="O403" s="7"/>
      <c r="P403" s="7"/>
      <c r="Q403" s="7"/>
      <c r="R403" s="7"/>
      <c r="S403" s="7"/>
    </row>
    <row r="404">
      <c r="D404" s="9"/>
      <c r="E404" s="15"/>
      <c r="F404" s="43"/>
      <c r="G404" s="15"/>
      <c r="H404" s="15"/>
      <c r="I404" s="15"/>
      <c r="O404" s="7"/>
      <c r="P404" s="7"/>
      <c r="Q404" s="7"/>
      <c r="R404" s="7"/>
      <c r="S404" s="7"/>
    </row>
    <row r="405">
      <c r="D405" s="9"/>
      <c r="E405" s="15"/>
      <c r="F405" s="43"/>
      <c r="G405" s="15"/>
      <c r="H405" s="15"/>
      <c r="I405" s="15"/>
      <c r="O405" s="7"/>
      <c r="P405" s="7"/>
      <c r="Q405" s="7"/>
      <c r="R405" s="7"/>
      <c r="S405" s="7"/>
    </row>
    <row r="406">
      <c r="D406" s="9"/>
      <c r="E406" s="15"/>
      <c r="F406" s="43"/>
      <c r="G406" s="15"/>
      <c r="H406" s="15"/>
      <c r="I406" s="15"/>
      <c r="O406" s="7"/>
      <c r="P406" s="7"/>
      <c r="Q406" s="7"/>
      <c r="R406" s="7"/>
      <c r="S406" s="7"/>
    </row>
    <row r="407">
      <c r="D407" s="9"/>
      <c r="E407" s="15"/>
      <c r="F407" s="43"/>
      <c r="G407" s="15"/>
      <c r="H407" s="15"/>
      <c r="I407" s="15"/>
      <c r="O407" s="7"/>
      <c r="P407" s="7"/>
      <c r="Q407" s="7"/>
      <c r="R407" s="7"/>
      <c r="S407" s="7"/>
    </row>
    <row r="408">
      <c r="D408" s="9"/>
      <c r="E408" s="15"/>
      <c r="F408" s="43"/>
      <c r="G408" s="15"/>
      <c r="H408" s="15"/>
      <c r="I408" s="15"/>
      <c r="O408" s="7"/>
      <c r="P408" s="7"/>
      <c r="Q408" s="7"/>
      <c r="R408" s="7"/>
      <c r="S408" s="7"/>
    </row>
    <row r="409">
      <c r="D409" s="9"/>
      <c r="E409" s="15"/>
      <c r="F409" s="43"/>
      <c r="G409" s="15"/>
      <c r="H409" s="15"/>
      <c r="I409" s="15"/>
      <c r="O409" s="7"/>
      <c r="P409" s="7"/>
      <c r="Q409" s="7"/>
      <c r="R409" s="7"/>
      <c r="S409" s="7"/>
    </row>
    <row r="410">
      <c r="D410" s="9"/>
      <c r="E410" s="15"/>
      <c r="F410" s="43"/>
      <c r="G410" s="15"/>
      <c r="H410" s="15"/>
      <c r="I410" s="15"/>
      <c r="O410" s="7"/>
      <c r="P410" s="7"/>
      <c r="Q410" s="7"/>
      <c r="R410" s="7"/>
      <c r="S410" s="7"/>
    </row>
    <row r="411">
      <c r="D411" s="9"/>
      <c r="E411" s="15"/>
      <c r="F411" s="43"/>
      <c r="G411" s="15"/>
      <c r="H411" s="15"/>
      <c r="I411" s="15"/>
      <c r="O411" s="7"/>
      <c r="P411" s="7"/>
      <c r="Q411" s="7"/>
      <c r="R411" s="7"/>
      <c r="S411" s="7"/>
    </row>
    <row r="412">
      <c r="D412" s="9"/>
      <c r="E412" s="15"/>
      <c r="F412" s="43"/>
      <c r="G412" s="15"/>
      <c r="H412" s="15"/>
      <c r="I412" s="15"/>
      <c r="O412" s="7"/>
      <c r="P412" s="7"/>
      <c r="Q412" s="7"/>
      <c r="R412" s="7"/>
      <c r="S412" s="7"/>
    </row>
    <row r="413">
      <c r="D413" s="9"/>
      <c r="E413" s="15"/>
      <c r="F413" s="43"/>
      <c r="G413" s="15"/>
      <c r="H413" s="15"/>
      <c r="I413" s="15"/>
      <c r="O413" s="7"/>
      <c r="P413" s="7"/>
      <c r="Q413" s="7"/>
      <c r="R413" s="7"/>
      <c r="S413" s="7"/>
    </row>
    <row r="414">
      <c r="D414" s="9"/>
      <c r="E414" s="15"/>
      <c r="F414" s="43"/>
      <c r="G414" s="15"/>
      <c r="H414" s="15"/>
      <c r="I414" s="15"/>
      <c r="O414" s="7"/>
      <c r="P414" s="7"/>
      <c r="Q414" s="7"/>
      <c r="R414" s="7"/>
      <c r="S414" s="7"/>
    </row>
    <row r="415">
      <c r="D415" s="9"/>
      <c r="E415" s="15"/>
      <c r="F415" s="43"/>
      <c r="G415" s="15"/>
      <c r="H415" s="15"/>
      <c r="I415" s="15"/>
      <c r="O415" s="7"/>
      <c r="P415" s="7"/>
      <c r="Q415" s="7"/>
      <c r="R415" s="7"/>
      <c r="S415" s="7"/>
    </row>
    <row r="416">
      <c r="D416" s="9"/>
      <c r="E416" s="15"/>
      <c r="F416" s="43"/>
      <c r="G416" s="15"/>
      <c r="H416" s="15"/>
      <c r="I416" s="15"/>
      <c r="O416" s="7"/>
      <c r="P416" s="7"/>
      <c r="Q416" s="7"/>
      <c r="R416" s="7"/>
      <c r="S416" s="7"/>
    </row>
    <row r="417">
      <c r="D417" s="9"/>
      <c r="E417" s="15"/>
      <c r="F417" s="43"/>
      <c r="G417" s="15"/>
      <c r="H417" s="15"/>
      <c r="I417" s="15"/>
      <c r="O417" s="7"/>
      <c r="P417" s="7"/>
      <c r="Q417" s="7"/>
      <c r="R417" s="7"/>
      <c r="S417" s="7"/>
    </row>
    <row r="418">
      <c r="D418" s="9"/>
      <c r="E418" s="15"/>
      <c r="F418" s="43"/>
      <c r="G418" s="15"/>
      <c r="H418" s="15"/>
      <c r="I418" s="15"/>
      <c r="O418" s="7"/>
      <c r="P418" s="7"/>
      <c r="Q418" s="7"/>
      <c r="R418" s="7"/>
      <c r="S418" s="7"/>
    </row>
    <row r="419">
      <c r="D419" s="9"/>
      <c r="E419" s="15"/>
      <c r="F419" s="43"/>
      <c r="G419" s="15"/>
      <c r="H419" s="15"/>
      <c r="I419" s="15"/>
      <c r="O419" s="7"/>
      <c r="P419" s="7"/>
      <c r="Q419" s="7"/>
      <c r="R419" s="7"/>
      <c r="S419" s="7"/>
    </row>
    <row r="420">
      <c r="D420" s="9"/>
      <c r="E420" s="15"/>
      <c r="F420" s="43"/>
      <c r="G420" s="15"/>
      <c r="H420" s="15"/>
      <c r="I420" s="15"/>
      <c r="O420" s="7"/>
      <c r="P420" s="7"/>
      <c r="Q420" s="7"/>
      <c r="R420" s="7"/>
      <c r="S420" s="7"/>
    </row>
    <row r="421">
      <c r="D421" s="9"/>
      <c r="E421" s="15"/>
      <c r="F421" s="43"/>
      <c r="G421" s="15"/>
      <c r="H421" s="15"/>
      <c r="I421" s="15"/>
      <c r="O421" s="7"/>
      <c r="P421" s="7"/>
      <c r="Q421" s="7"/>
      <c r="R421" s="7"/>
      <c r="S421" s="7"/>
    </row>
    <row r="422">
      <c r="D422" s="9"/>
      <c r="E422" s="15"/>
      <c r="F422" s="43"/>
      <c r="G422" s="15"/>
      <c r="H422" s="15"/>
      <c r="I422" s="15"/>
      <c r="O422" s="7"/>
      <c r="P422" s="7"/>
      <c r="Q422" s="7"/>
      <c r="R422" s="7"/>
      <c r="S422" s="7"/>
    </row>
    <row r="423">
      <c r="D423" s="9"/>
      <c r="E423" s="15"/>
      <c r="F423" s="43"/>
      <c r="G423" s="15"/>
      <c r="H423" s="15"/>
      <c r="I423" s="15"/>
      <c r="O423" s="7"/>
      <c r="P423" s="7"/>
      <c r="Q423" s="7"/>
      <c r="R423" s="7"/>
      <c r="S423" s="7"/>
    </row>
    <row r="424">
      <c r="D424" s="9"/>
      <c r="E424" s="15"/>
      <c r="F424" s="43"/>
      <c r="G424" s="15"/>
      <c r="H424" s="15"/>
      <c r="I424" s="15"/>
      <c r="O424" s="7"/>
      <c r="P424" s="7"/>
      <c r="Q424" s="7"/>
      <c r="R424" s="7"/>
      <c r="S424" s="7"/>
    </row>
    <row r="425">
      <c r="D425" s="9"/>
      <c r="E425" s="15"/>
      <c r="F425" s="43"/>
      <c r="G425" s="15"/>
      <c r="H425" s="15"/>
      <c r="I425" s="15"/>
      <c r="O425" s="7"/>
      <c r="P425" s="7"/>
      <c r="Q425" s="7"/>
      <c r="R425" s="7"/>
      <c r="S425" s="7"/>
    </row>
    <row r="426">
      <c r="D426" s="9"/>
      <c r="E426" s="15"/>
      <c r="F426" s="43"/>
      <c r="G426" s="15"/>
      <c r="H426" s="15"/>
      <c r="I426" s="15"/>
      <c r="O426" s="7"/>
      <c r="P426" s="7"/>
      <c r="Q426" s="7"/>
      <c r="R426" s="7"/>
      <c r="S426" s="7"/>
    </row>
    <row r="427">
      <c r="D427" s="9"/>
      <c r="E427" s="15"/>
      <c r="F427" s="43"/>
      <c r="G427" s="15"/>
      <c r="H427" s="15"/>
      <c r="I427" s="15"/>
      <c r="O427" s="7"/>
      <c r="P427" s="7"/>
      <c r="Q427" s="7"/>
      <c r="R427" s="7"/>
      <c r="S427" s="7"/>
    </row>
    <row r="428">
      <c r="D428" s="9"/>
      <c r="E428" s="15"/>
      <c r="F428" s="43"/>
      <c r="G428" s="15"/>
      <c r="H428" s="15"/>
      <c r="I428" s="15"/>
      <c r="O428" s="7"/>
      <c r="P428" s="7"/>
      <c r="Q428" s="7"/>
      <c r="R428" s="7"/>
      <c r="S428" s="7"/>
    </row>
    <row r="429">
      <c r="D429" s="9"/>
      <c r="E429" s="15"/>
      <c r="F429" s="43"/>
      <c r="G429" s="15"/>
      <c r="H429" s="15"/>
      <c r="I429" s="15"/>
      <c r="O429" s="7"/>
      <c r="P429" s="7"/>
      <c r="Q429" s="7"/>
      <c r="R429" s="7"/>
      <c r="S429" s="7"/>
    </row>
    <row r="430">
      <c r="D430" s="9"/>
      <c r="E430" s="15"/>
      <c r="F430" s="43"/>
      <c r="G430" s="15"/>
      <c r="H430" s="15"/>
      <c r="I430" s="15"/>
      <c r="O430" s="7"/>
      <c r="P430" s="7"/>
      <c r="Q430" s="7"/>
      <c r="R430" s="7"/>
      <c r="S430" s="7"/>
    </row>
    <row r="431">
      <c r="D431" s="9"/>
      <c r="E431" s="15"/>
      <c r="F431" s="43"/>
      <c r="G431" s="15"/>
      <c r="H431" s="15"/>
      <c r="I431" s="15"/>
      <c r="O431" s="7"/>
      <c r="P431" s="7"/>
      <c r="Q431" s="7"/>
      <c r="R431" s="7"/>
      <c r="S431" s="7"/>
    </row>
    <row r="432">
      <c r="D432" s="9"/>
      <c r="E432" s="15"/>
      <c r="F432" s="43"/>
      <c r="G432" s="15"/>
      <c r="H432" s="15"/>
      <c r="I432" s="15"/>
      <c r="O432" s="7"/>
      <c r="P432" s="7"/>
      <c r="Q432" s="7"/>
      <c r="R432" s="7"/>
      <c r="S432" s="7"/>
    </row>
    <row r="433">
      <c r="D433" s="9"/>
      <c r="E433" s="15"/>
      <c r="F433" s="43"/>
      <c r="G433" s="15"/>
      <c r="H433" s="15"/>
      <c r="I433" s="15"/>
      <c r="O433" s="7"/>
      <c r="P433" s="7"/>
      <c r="Q433" s="7"/>
      <c r="R433" s="7"/>
      <c r="S433" s="7"/>
    </row>
    <row r="434">
      <c r="D434" s="9"/>
      <c r="E434" s="15"/>
      <c r="F434" s="43"/>
      <c r="G434" s="15"/>
      <c r="H434" s="15"/>
      <c r="I434" s="15"/>
      <c r="O434" s="7"/>
      <c r="P434" s="7"/>
      <c r="Q434" s="7"/>
      <c r="R434" s="7"/>
      <c r="S434" s="7"/>
    </row>
    <row r="435">
      <c r="D435" s="9"/>
      <c r="E435" s="15"/>
      <c r="F435" s="43"/>
      <c r="G435" s="15"/>
      <c r="H435" s="15"/>
      <c r="I435" s="15"/>
      <c r="O435" s="7"/>
      <c r="P435" s="7"/>
      <c r="Q435" s="7"/>
      <c r="R435" s="7"/>
      <c r="S435" s="7"/>
    </row>
    <row r="436">
      <c r="D436" s="9"/>
      <c r="E436" s="15"/>
      <c r="F436" s="43"/>
      <c r="G436" s="15"/>
      <c r="H436" s="15"/>
      <c r="I436" s="15"/>
      <c r="O436" s="7"/>
      <c r="P436" s="7"/>
      <c r="Q436" s="7"/>
      <c r="R436" s="7"/>
      <c r="S436" s="7"/>
    </row>
    <row r="437">
      <c r="D437" s="9"/>
      <c r="E437" s="15"/>
      <c r="F437" s="43"/>
      <c r="G437" s="15"/>
      <c r="H437" s="15"/>
      <c r="I437" s="15"/>
      <c r="O437" s="7"/>
      <c r="P437" s="7"/>
      <c r="Q437" s="7"/>
      <c r="R437" s="7"/>
      <c r="S437" s="7"/>
    </row>
    <row r="438">
      <c r="D438" s="9"/>
      <c r="E438" s="15"/>
      <c r="F438" s="43"/>
      <c r="G438" s="15"/>
      <c r="H438" s="15"/>
      <c r="I438" s="15"/>
      <c r="O438" s="7"/>
      <c r="P438" s="7"/>
      <c r="Q438" s="7"/>
      <c r="R438" s="7"/>
      <c r="S438" s="7"/>
    </row>
    <row r="439">
      <c r="D439" s="9"/>
      <c r="E439" s="15"/>
      <c r="F439" s="43"/>
      <c r="G439" s="15"/>
      <c r="H439" s="15"/>
      <c r="I439" s="15"/>
      <c r="O439" s="7"/>
      <c r="P439" s="7"/>
      <c r="Q439" s="7"/>
      <c r="R439" s="7"/>
      <c r="S439" s="7"/>
    </row>
    <row r="440">
      <c r="D440" s="9"/>
      <c r="E440" s="15"/>
      <c r="F440" s="43"/>
      <c r="G440" s="15"/>
      <c r="H440" s="15"/>
      <c r="I440" s="15"/>
      <c r="O440" s="7"/>
      <c r="P440" s="7"/>
      <c r="Q440" s="7"/>
      <c r="R440" s="7"/>
      <c r="S440" s="7"/>
    </row>
    <row r="441">
      <c r="D441" s="9"/>
      <c r="E441" s="15"/>
      <c r="F441" s="43"/>
      <c r="G441" s="15"/>
      <c r="H441" s="15"/>
      <c r="I441" s="15"/>
      <c r="O441" s="7"/>
      <c r="P441" s="7"/>
      <c r="Q441" s="7"/>
      <c r="R441" s="7"/>
      <c r="S441" s="7"/>
    </row>
    <row r="442">
      <c r="D442" s="9"/>
      <c r="E442" s="15"/>
      <c r="F442" s="43"/>
      <c r="G442" s="15"/>
      <c r="H442" s="15"/>
      <c r="I442" s="15"/>
      <c r="O442" s="7"/>
      <c r="P442" s="7"/>
      <c r="Q442" s="7"/>
      <c r="R442" s="7"/>
      <c r="S442" s="7"/>
    </row>
    <row r="443">
      <c r="D443" s="9"/>
      <c r="E443" s="15"/>
      <c r="F443" s="43"/>
      <c r="G443" s="15"/>
      <c r="H443" s="15"/>
      <c r="I443" s="15"/>
      <c r="O443" s="7"/>
      <c r="P443" s="7"/>
      <c r="Q443" s="7"/>
      <c r="R443" s="7"/>
      <c r="S443" s="7"/>
    </row>
    <row r="444">
      <c r="D444" s="9"/>
      <c r="E444" s="15"/>
      <c r="F444" s="43"/>
      <c r="G444" s="15"/>
      <c r="H444" s="15"/>
      <c r="I444" s="15"/>
      <c r="O444" s="7"/>
      <c r="P444" s="7"/>
      <c r="Q444" s="7"/>
      <c r="R444" s="7"/>
      <c r="S444" s="7"/>
    </row>
    <row r="445">
      <c r="D445" s="9"/>
      <c r="E445" s="15"/>
      <c r="F445" s="43"/>
      <c r="G445" s="15"/>
      <c r="H445" s="15"/>
      <c r="I445" s="15"/>
      <c r="O445" s="7"/>
      <c r="P445" s="7"/>
      <c r="Q445" s="7"/>
      <c r="R445" s="7"/>
      <c r="S445" s="7"/>
    </row>
    <row r="446">
      <c r="D446" s="9"/>
      <c r="E446" s="15"/>
      <c r="F446" s="43"/>
      <c r="G446" s="15"/>
      <c r="H446" s="15"/>
      <c r="I446" s="15"/>
      <c r="O446" s="7"/>
      <c r="P446" s="7"/>
      <c r="Q446" s="7"/>
      <c r="R446" s="7"/>
      <c r="S446" s="7"/>
    </row>
    <row r="447">
      <c r="D447" s="9"/>
      <c r="E447" s="15"/>
      <c r="F447" s="43"/>
      <c r="G447" s="15"/>
      <c r="H447" s="15"/>
      <c r="I447" s="15"/>
      <c r="O447" s="7"/>
      <c r="P447" s="7"/>
      <c r="Q447" s="7"/>
      <c r="R447" s="7"/>
      <c r="S447" s="7"/>
    </row>
    <row r="448">
      <c r="D448" s="9"/>
      <c r="E448" s="15"/>
      <c r="F448" s="43"/>
      <c r="G448" s="15"/>
      <c r="H448" s="15"/>
      <c r="I448" s="15"/>
      <c r="O448" s="7"/>
      <c r="P448" s="7"/>
      <c r="Q448" s="7"/>
      <c r="R448" s="7"/>
      <c r="S448" s="7"/>
    </row>
    <row r="449">
      <c r="D449" s="9"/>
      <c r="E449" s="15"/>
      <c r="F449" s="43"/>
      <c r="G449" s="15"/>
      <c r="H449" s="15"/>
      <c r="I449" s="15"/>
      <c r="O449" s="7"/>
      <c r="P449" s="7"/>
      <c r="Q449" s="7"/>
      <c r="R449" s="7"/>
      <c r="S449" s="7"/>
    </row>
    <row r="450">
      <c r="D450" s="9"/>
      <c r="E450" s="15"/>
      <c r="F450" s="43"/>
      <c r="G450" s="15"/>
      <c r="H450" s="15"/>
      <c r="I450" s="15"/>
      <c r="O450" s="7"/>
      <c r="P450" s="7"/>
      <c r="Q450" s="7"/>
      <c r="R450" s="7"/>
      <c r="S450" s="7"/>
    </row>
    <row r="451">
      <c r="D451" s="9"/>
      <c r="E451" s="15"/>
      <c r="F451" s="43"/>
      <c r="G451" s="15"/>
      <c r="H451" s="15"/>
      <c r="I451" s="15"/>
      <c r="O451" s="7"/>
      <c r="P451" s="7"/>
      <c r="Q451" s="7"/>
      <c r="R451" s="7"/>
      <c r="S451" s="7"/>
    </row>
    <row r="452">
      <c r="D452" s="9"/>
      <c r="E452" s="15"/>
      <c r="F452" s="43"/>
      <c r="G452" s="15"/>
      <c r="H452" s="15"/>
      <c r="I452" s="15"/>
      <c r="O452" s="7"/>
      <c r="P452" s="7"/>
      <c r="Q452" s="7"/>
      <c r="R452" s="7"/>
      <c r="S452" s="7"/>
    </row>
    <row r="453">
      <c r="D453" s="9"/>
      <c r="E453" s="15"/>
      <c r="F453" s="43"/>
      <c r="G453" s="15"/>
      <c r="H453" s="15"/>
      <c r="I453" s="15"/>
      <c r="O453" s="7"/>
      <c r="P453" s="7"/>
      <c r="Q453" s="7"/>
      <c r="R453" s="7"/>
      <c r="S453" s="7"/>
    </row>
    <row r="454">
      <c r="D454" s="9"/>
      <c r="E454" s="15"/>
      <c r="F454" s="43"/>
      <c r="G454" s="15"/>
      <c r="H454" s="15"/>
      <c r="I454" s="15"/>
      <c r="O454" s="7"/>
      <c r="P454" s="7"/>
      <c r="Q454" s="7"/>
      <c r="R454" s="7"/>
      <c r="S454" s="7"/>
    </row>
    <row r="455">
      <c r="D455" s="9"/>
      <c r="E455" s="15"/>
      <c r="F455" s="43"/>
      <c r="G455" s="15"/>
      <c r="H455" s="15"/>
      <c r="I455" s="15"/>
      <c r="O455" s="7"/>
      <c r="P455" s="7"/>
      <c r="Q455" s="7"/>
      <c r="R455" s="7"/>
      <c r="S455" s="7"/>
    </row>
    <row r="456">
      <c r="D456" s="9"/>
      <c r="E456" s="15"/>
      <c r="F456" s="43"/>
      <c r="G456" s="15"/>
      <c r="H456" s="15"/>
      <c r="I456" s="15"/>
      <c r="O456" s="7"/>
      <c r="P456" s="7"/>
      <c r="Q456" s="7"/>
      <c r="R456" s="7"/>
      <c r="S456" s="7"/>
    </row>
    <row r="457">
      <c r="D457" s="9"/>
      <c r="E457" s="15"/>
      <c r="F457" s="43"/>
      <c r="G457" s="15"/>
      <c r="H457" s="15"/>
      <c r="I457" s="15"/>
      <c r="O457" s="7"/>
      <c r="P457" s="7"/>
      <c r="Q457" s="7"/>
      <c r="R457" s="7"/>
      <c r="S457" s="7"/>
    </row>
    <row r="458">
      <c r="D458" s="9"/>
      <c r="E458" s="15"/>
      <c r="F458" s="43"/>
      <c r="G458" s="15"/>
      <c r="H458" s="15"/>
      <c r="I458" s="15"/>
      <c r="O458" s="7"/>
      <c r="P458" s="7"/>
      <c r="Q458" s="7"/>
      <c r="R458" s="7"/>
      <c r="S458" s="7"/>
    </row>
    <row r="459">
      <c r="D459" s="9"/>
      <c r="E459" s="15"/>
      <c r="F459" s="43"/>
      <c r="G459" s="15"/>
      <c r="H459" s="15"/>
      <c r="I459" s="15"/>
      <c r="O459" s="7"/>
      <c r="P459" s="7"/>
      <c r="Q459" s="7"/>
      <c r="R459" s="7"/>
      <c r="S459" s="7"/>
    </row>
    <row r="460">
      <c r="D460" s="9"/>
      <c r="E460" s="15"/>
      <c r="F460" s="43"/>
      <c r="G460" s="15"/>
      <c r="H460" s="15"/>
      <c r="I460" s="15"/>
      <c r="O460" s="7"/>
      <c r="P460" s="7"/>
      <c r="Q460" s="7"/>
      <c r="R460" s="7"/>
      <c r="S460" s="7"/>
    </row>
    <row r="461">
      <c r="D461" s="9"/>
      <c r="E461" s="15"/>
      <c r="F461" s="43"/>
      <c r="G461" s="15"/>
      <c r="H461" s="15"/>
      <c r="I461" s="15"/>
      <c r="O461" s="7"/>
      <c r="P461" s="7"/>
      <c r="Q461" s="7"/>
      <c r="R461" s="7"/>
      <c r="S461" s="7"/>
    </row>
    <row r="462">
      <c r="D462" s="9"/>
      <c r="E462" s="15"/>
      <c r="F462" s="43"/>
      <c r="G462" s="15"/>
      <c r="H462" s="15"/>
      <c r="I462" s="15"/>
      <c r="O462" s="7"/>
      <c r="P462" s="7"/>
      <c r="Q462" s="7"/>
      <c r="R462" s="7"/>
      <c r="S462" s="7"/>
    </row>
    <row r="463">
      <c r="D463" s="9"/>
      <c r="E463" s="15"/>
      <c r="F463" s="43"/>
      <c r="G463" s="15"/>
      <c r="H463" s="15"/>
      <c r="I463" s="15"/>
      <c r="O463" s="7"/>
      <c r="P463" s="7"/>
      <c r="Q463" s="7"/>
      <c r="R463" s="7"/>
      <c r="S463" s="7"/>
    </row>
    <row r="464">
      <c r="D464" s="9"/>
      <c r="E464" s="15"/>
      <c r="F464" s="43"/>
      <c r="G464" s="15"/>
      <c r="H464" s="15"/>
      <c r="I464" s="15"/>
      <c r="O464" s="7"/>
      <c r="P464" s="7"/>
      <c r="Q464" s="7"/>
      <c r="R464" s="7"/>
      <c r="S464" s="7"/>
    </row>
    <row r="465">
      <c r="D465" s="9"/>
      <c r="E465" s="15"/>
      <c r="F465" s="43"/>
      <c r="G465" s="15"/>
      <c r="H465" s="15"/>
      <c r="I465" s="15"/>
      <c r="O465" s="7"/>
      <c r="P465" s="7"/>
      <c r="Q465" s="7"/>
      <c r="R465" s="7"/>
      <c r="S465" s="7"/>
    </row>
    <row r="466">
      <c r="D466" s="9"/>
      <c r="E466" s="15"/>
      <c r="F466" s="43"/>
      <c r="G466" s="15"/>
      <c r="H466" s="15"/>
      <c r="I466" s="15"/>
      <c r="O466" s="7"/>
      <c r="P466" s="7"/>
      <c r="Q466" s="7"/>
      <c r="R466" s="7"/>
      <c r="S466" s="7"/>
    </row>
    <row r="467">
      <c r="D467" s="9"/>
      <c r="E467" s="15"/>
      <c r="F467" s="43"/>
      <c r="G467" s="15"/>
      <c r="H467" s="15"/>
      <c r="I467" s="15"/>
      <c r="O467" s="7"/>
      <c r="P467" s="7"/>
      <c r="Q467" s="7"/>
      <c r="R467" s="7"/>
      <c r="S467" s="7"/>
    </row>
    <row r="468">
      <c r="D468" s="9"/>
      <c r="E468" s="15"/>
      <c r="F468" s="43"/>
      <c r="G468" s="15"/>
      <c r="H468" s="15"/>
      <c r="I468" s="15"/>
      <c r="O468" s="7"/>
      <c r="P468" s="7"/>
      <c r="Q468" s="7"/>
      <c r="R468" s="7"/>
      <c r="S468" s="7"/>
    </row>
    <row r="469">
      <c r="D469" s="9"/>
      <c r="E469" s="15"/>
      <c r="F469" s="43"/>
      <c r="G469" s="15"/>
      <c r="H469" s="15"/>
      <c r="I469" s="15"/>
      <c r="O469" s="7"/>
      <c r="P469" s="7"/>
      <c r="Q469" s="7"/>
      <c r="R469" s="7"/>
      <c r="S469" s="7"/>
    </row>
    <row r="470">
      <c r="D470" s="9"/>
      <c r="E470" s="15"/>
      <c r="F470" s="43"/>
      <c r="G470" s="15"/>
      <c r="H470" s="15"/>
      <c r="I470" s="15"/>
      <c r="O470" s="7"/>
      <c r="P470" s="7"/>
      <c r="Q470" s="7"/>
      <c r="R470" s="7"/>
      <c r="S470" s="7"/>
    </row>
    <row r="471">
      <c r="D471" s="9"/>
      <c r="E471" s="15"/>
      <c r="F471" s="43"/>
      <c r="G471" s="15"/>
      <c r="H471" s="15"/>
      <c r="I471" s="15"/>
      <c r="O471" s="7"/>
      <c r="P471" s="7"/>
      <c r="Q471" s="7"/>
      <c r="R471" s="7"/>
      <c r="S471" s="7"/>
    </row>
    <row r="472">
      <c r="D472" s="9"/>
      <c r="E472" s="15"/>
      <c r="F472" s="43"/>
      <c r="G472" s="15"/>
      <c r="H472" s="15"/>
      <c r="I472" s="15"/>
      <c r="O472" s="7"/>
      <c r="P472" s="7"/>
      <c r="Q472" s="7"/>
      <c r="R472" s="7"/>
      <c r="S472" s="7"/>
    </row>
    <row r="473">
      <c r="D473" s="9"/>
      <c r="E473" s="15"/>
      <c r="F473" s="43"/>
      <c r="G473" s="15"/>
      <c r="H473" s="15"/>
      <c r="I473" s="15"/>
      <c r="O473" s="7"/>
      <c r="P473" s="7"/>
      <c r="Q473" s="7"/>
      <c r="R473" s="7"/>
      <c r="S473" s="7"/>
    </row>
    <row r="474">
      <c r="D474" s="9"/>
      <c r="E474" s="15"/>
      <c r="F474" s="43"/>
      <c r="G474" s="15"/>
      <c r="H474" s="15"/>
      <c r="I474" s="15"/>
      <c r="O474" s="7"/>
      <c r="P474" s="7"/>
      <c r="Q474" s="7"/>
      <c r="R474" s="7"/>
      <c r="S474" s="7"/>
    </row>
    <row r="475">
      <c r="D475" s="9"/>
      <c r="E475" s="15"/>
      <c r="F475" s="43"/>
      <c r="G475" s="15"/>
      <c r="H475" s="15"/>
      <c r="I475" s="15"/>
      <c r="O475" s="7"/>
      <c r="P475" s="7"/>
      <c r="Q475" s="7"/>
      <c r="R475" s="7"/>
      <c r="S475" s="7"/>
    </row>
    <row r="476">
      <c r="D476" s="9"/>
      <c r="E476" s="15"/>
      <c r="F476" s="43"/>
      <c r="G476" s="15"/>
      <c r="H476" s="15"/>
      <c r="I476" s="15"/>
      <c r="O476" s="7"/>
      <c r="P476" s="7"/>
      <c r="Q476" s="7"/>
      <c r="R476" s="7"/>
      <c r="S476" s="7"/>
    </row>
    <row r="477">
      <c r="D477" s="9"/>
      <c r="E477" s="15"/>
      <c r="F477" s="43"/>
      <c r="G477" s="15"/>
      <c r="H477" s="15"/>
      <c r="I477" s="15"/>
      <c r="O477" s="7"/>
      <c r="P477" s="7"/>
      <c r="Q477" s="7"/>
      <c r="R477" s="7"/>
      <c r="S477" s="7"/>
    </row>
    <row r="478">
      <c r="D478" s="9"/>
      <c r="E478" s="15"/>
      <c r="F478" s="43"/>
      <c r="G478" s="15"/>
      <c r="H478" s="15"/>
      <c r="I478" s="15"/>
      <c r="O478" s="7"/>
      <c r="P478" s="7"/>
      <c r="Q478" s="7"/>
      <c r="R478" s="7"/>
      <c r="S478" s="7"/>
    </row>
    <row r="479">
      <c r="D479" s="9"/>
      <c r="E479" s="15"/>
      <c r="F479" s="43"/>
      <c r="G479" s="15"/>
      <c r="H479" s="15"/>
      <c r="I479" s="15"/>
      <c r="O479" s="7"/>
      <c r="P479" s="7"/>
      <c r="Q479" s="7"/>
      <c r="R479" s="7"/>
      <c r="S479" s="7"/>
    </row>
    <row r="480">
      <c r="D480" s="9"/>
      <c r="E480" s="15"/>
      <c r="F480" s="43"/>
      <c r="G480" s="15"/>
      <c r="H480" s="15"/>
      <c r="I480" s="15"/>
      <c r="O480" s="7"/>
      <c r="P480" s="7"/>
      <c r="Q480" s="7"/>
      <c r="R480" s="7"/>
      <c r="S480" s="7"/>
    </row>
    <row r="481">
      <c r="D481" s="9"/>
      <c r="E481" s="15"/>
      <c r="F481" s="43"/>
      <c r="G481" s="15"/>
      <c r="H481" s="15"/>
      <c r="I481" s="15"/>
      <c r="O481" s="7"/>
      <c r="P481" s="7"/>
      <c r="Q481" s="7"/>
      <c r="R481" s="7"/>
      <c r="S481" s="7"/>
    </row>
    <row r="482">
      <c r="D482" s="9"/>
      <c r="E482" s="15"/>
      <c r="F482" s="43"/>
      <c r="G482" s="15"/>
      <c r="H482" s="15"/>
      <c r="I482" s="15"/>
      <c r="O482" s="7"/>
      <c r="P482" s="7"/>
      <c r="Q482" s="7"/>
      <c r="R482" s="7"/>
      <c r="S482" s="7"/>
    </row>
    <row r="483">
      <c r="D483" s="9"/>
      <c r="E483" s="15"/>
      <c r="F483" s="43"/>
      <c r="G483" s="15"/>
      <c r="H483" s="15"/>
      <c r="I483" s="15"/>
      <c r="O483" s="7"/>
      <c r="P483" s="7"/>
      <c r="Q483" s="7"/>
      <c r="R483" s="7"/>
      <c r="S483" s="7"/>
    </row>
    <row r="484">
      <c r="D484" s="9"/>
      <c r="E484" s="15"/>
      <c r="F484" s="43"/>
      <c r="G484" s="15"/>
      <c r="H484" s="15"/>
      <c r="I484" s="15"/>
      <c r="O484" s="7"/>
      <c r="P484" s="7"/>
      <c r="Q484" s="7"/>
      <c r="R484" s="7"/>
      <c r="S484" s="7"/>
    </row>
    <row r="485">
      <c r="D485" s="9"/>
      <c r="E485" s="15"/>
      <c r="F485" s="43"/>
      <c r="G485" s="15"/>
      <c r="H485" s="15"/>
      <c r="I485" s="15"/>
      <c r="O485" s="7"/>
      <c r="P485" s="7"/>
      <c r="Q485" s="7"/>
      <c r="R485" s="7"/>
      <c r="S485" s="7"/>
    </row>
    <row r="486">
      <c r="D486" s="9"/>
      <c r="E486" s="15"/>
      <c r="F486" s="43"/>
      <c r="G486" s="15"/>
      <c r="H486" s="15"/>
      <c r="I486" s="15"/>
      <c r="O486" s="7"/>
      <c r="P486" s="7"/>
      <c r="Q486" s="7"/>
      <c r="R486" s="7"/>
      <c r="S486" s="7"/>
    </row>
    <row r="487">
      <c r="D487" s="9"/>
      <c r="E487" s="15"/>
      <c r="F487" s="43"/>
      <c r="G487" s="15"/>
      <c r="H487" s="15"/>
      <c r="I487" s="15"/>
      <c r="O487" s="7"/>
      <c r="P487" s="7"/>
      <c r="Q487" s="7"/>
      <c r="R487" s="7"/>
      <c r="S487" s="7"/>
    </row>
    <row r="488">
      <c r="D488" s="9"/>
      <c r="E488" s="15"/>
      <c r="F488" s="43"/>
      <c r="G488" s="15"/>
      <c r="H488" s="15"/>
      <c r="I488" s="15"/>
      <c r="O488" s="7"/>
      <c r="P488" s="7"/>
      <c r="Q488" s="7"/>
      <c r="R488" s="7"/>
      <c r="S488" s="7"/>
    </row>
    <row r="489">
      <c r="D489" s="9"/>
      <c r="E489" s="15"/>
      <c r="F489" s="43"/>
      <c r="G489" s="15"/>
      <c r="H489" s="15"/>
      <c r="I489" s="15"/>
      <c r="O489" s="7"/>
      <c r="P489" s="7"/>
      <c r="Q489" s="7"/>
      <c r="R489" s="7"/>
      <c r="S489" s="7"/>
    </row>
    <row r="490">
      <c r="D490" s="9"/>
      <c r="E490" s="15"/>
      <c r="F490" s="43"/>
      <c r="G490" s="15"/>
      <c r="H490" s="15"/>
      <c r="I490" s="15"/>
      <c r="O490" s="7"/>
      <c r="P490" s="7"/>
      <c r="Q490" s="7"/>
      <c r="R490" s="7"/>
      <c r="S490" s="7"/>
    </row>
    <row r="491">
      <c r="D491" s="9"/>
      <c r="E491" s="15"/>
      <c r="F491" s="43"/>
      <c r="G491" s="15"/>
      <c r="H491" s="15"/>
      <c r="I491" s="15"/>
      <c r="O491" s="7"/>
      <c r="P491" s="7"/>
      <c r="Q491" s="7"/>
      <c r="R491" s="7"/>
      <c r="S491" s="7"/>
    </row>
    <row r="492">
      <c r="D492" s="9"/>
      <c r="E492" s="15"/>
      <c r="F492" s="43"/>
      <c r="G492" s="15"/>
      <c r="H492" s="15"/>
      <c r="I492" s="15"/>
      <c r="O492" s="7"/>
      <c r="P492" s="7"/>
      <c r="Q492" s="7"/>
      <c r="R492" s="7"/>
      <c r="S492" s="7"/>
    </row>
    <row r="493">
      <c r="D493" s="9"/>
      <c r="E493" s="15"/>
      <c r="F493" s="43"/>
      <c r="G493" s="15"/>
      <c r="H493" s="15"/>
      <c r="I493" s="15"/>
      <c r="O493" s="7"/>
      <c r="P493" s="7"/>
      <c r="Q493" s="7"/>
      <c r="R493" s="7"/>
      <c r="S493" s="7"/>
    </row>
    <row r="494">
      <c r="D494" s="9"/>
      <c r="E494" s="15"/>
      <c r="F494" s="43"/>
      <c r="G494" s="15"/>
      <c r="H494" s="15"/>
      <c r="I494" s="15"/>
      <c r="O494" s="7"/>
      <c r="P494" s="7"/>
      <c r="Q494" s="7"/>
      <c r="R494" s="7"/>
      <c r="S494" s="7"/>
    </row>
    <row r="495">
      <c r="D495" s="9"/>
      <c r="E495" s="15"/>
      <c r="F495" s="43"/>
      <c r="G495" s="15"/>
      <c r="H495" s="15"/>
      <c r="I495" s="15"/>
      <c r="O495" s="7"/>
      <c r="P495" s="7"/>
      <c r="Q495" s="7"/>
      <c r="R495" s="7"/>
      <c r="S495" s="7"/>
    </row>
    <row r="496">
      <c r="D496" s="9"/>
      <c r="E496" s="15"/>
      <c r="F496" s="43"/>
      <c r="G496" s="15"/>
      <c r="H496" s="15"/>
      <c r="I496" s="15"/>
      <c r="O496" s="7"/>
      <c r="P496" s="7"/>
      <c r="Q496" s="7"/>
      <c r="R496" s="7"/>
      <c r="S496" s="7"/>
    </row>
    <row r="497">
      <c r="D497" s="9"/>
      <c r="E497" s="15"/>
      <c r="F497" s="43"/>
      <c r="G497" s="15"/>
      <c r="H497" s="15"/>
      <c r="I497" s="15"/>
      <c r="O497" s="7"/>
      <c r="P497" s="7"/>
      <c r="Q497" s="7"/>
      <c r="R497" s="7"/>
      <c r="S497" s="7"/>
    </row>
    <row r="498">
      <c r="D498" s="9"/>
      <c r="E498" s="15"/>
      <c r="F498" s="43"/>
      <c r="G498" s="15"/>
      <c r="H498" s="15"/>
      <c r="I498" s="15"/>
      <c r="O498" s="7"/>
      <c r="P498" s="7"/>
      <c r="Q498" s="7"/>
      <c r="R498" s="7"/>
      <c r="S498" s="7"/>
    </row>
    <row r="499">
      <c r="D499" s="9"/>
      <c r="E499" s="15"/>
      <c r="F499" s="43"/>
      <c r="G499" s="15"/>
      <c r="H499" s="15"/>
      <c r="I499" s="15"/>
      <c r="O499" s="7"/>
      <c r="P499" s="7"/>
      <c r="Q499" s="7"/>
      <c r="R499" s="7"/>
      <c r="S499" s="7"/>
    </row>
    <row r="500">
      <c r="D500" s="9"/>
      <c r="E500" s="15"/>
      <c r="F500" s="43"/>
      <c r="G500" s="15"/>
      <c r="H500" s="15"/>
      <c r="I500" s="15"/>
      <c r="O500" s="7"/>
      <c r="P500" s="7"/>
      <c r="Q500" s="7"/>
      <c r="R500" s="7"/>
      <c r="S500" s="7"/>
    </row>
    <row r="501">
      <c r="D501" s="9"/>
      <c r="E501" s="15"/>
      <c r="F501" s="43"/>
      <c r="G501" s="15"/>
      <c r="H501" s="15"/>
      <c r="I501" s="15"/>
    </row>
    <row r="502">
      <c r="D502" s="9"/>
      <c r="E502" s="15"/>
      <c r="F502" s="43"/>
      <c r="G502" s="15"/>
      <c r="H502" s="15"/>
      <c r="I502" s="15"/>
    </row>
    <row r="503">
      <c r="D503" s="9"/>
      <c r="E503" s="15"/>
      <c r="F503" s="43"/>
      <c r="G503" s="15"/>
      <c r="H503" s="15"/>
      <c r="I503" s="15"/>
    </row>
    <row r="504">
      <c r="D504" s="9"/>
      <c r="E504" s="15"/>
      <c r="F504" s="43"/>
      <c r="G504" s="15"/>
      <c r="H504" s="15"/>
      <c r="I504" s="15"/>
    </row>
    <row r="505">
      <c r="D505" s="9"/>
      <c r="E505" s="15"/>
      <c r="F505" s="43"/>
      <c r="G505" s="15"/>
      <c r="H505" s="15"/>
      <c r="I505" s="15"/>
    </row>
    <row r="506">
      <c r="D506" s="9"/>
      <c r="E506" s="15"/>
      <c r="F506" s="43"/>
      <c r="G506" s="15"/>
      <c r="H506" s="15"/>
      <c r="I506" s="15"/>
    </row>
    <row r="507">
      <c r="D507" s="9"/>
      <c r="E507" s="15"/>
      <c r="F507" s="43"/>
      <c r="G507" s="15"/>
      <c r="H507" s="15"/>
      <c r="I507" s="15"/>
    </row>
    <row r="508">
      <c r="D508" s="9"/>
      <c r="E508" s="15"/>
      <c r="F508" s="43"/>
      <c r="G508" s="15"/>
      <c r="H508" s="15"/>
      <c r="I508" s="15"/>
    </row>
    <row r="509">
      <c r="D509" s="9"/>
      <c r="E509" s="15"/>
      <c r="F509" s="43"/>
      <c r="G509" s="15"/>
      <c r="H509" s="15"/>
      <c r="I509" s="15"/>
    </row>
    <row r="510">
      <c r="D510" s="9"/>
      <c r="E510" s="15"/>
      <c r="F510" s="43"/>
      <c r="G510" s="15"/>
      <c r="H510" s="15"/>
      <c r="I510" s="15"/>
    </row>
    <row r="511">
      <c r="D511" s="9"/>
      <c r="E511" s="15"/>
      <c r="F511" s="43"/>
      <c r="G511" s="15"/>
      <c r="H511" s="15"/>
      <c r="I511" s="15"/>
    </row>
    <row r="512">
      <c r="D512" s="9"/>
      <c r="E512" s="15"/>
      <c r="F512" s="43"/>
      <c r="G512" s="15"/>
      <c r="H512" s="15"/>
      <c r="I512" s="15"/>
    </row>
    <row r="513">
      <c r="D513" s="9"/>
      <c r="E513" s="15"/>
      <c r="F513" s="43"/>
      <c r="G513" s="15"/>
      <c r="H513" s="15"/>
      <c r="I513" s="15"/>
    </row>
    <row r="514">
      <c r="D514" s="9"/>
      <c r="E514" s="15"/>
      <c r="F514" s="43"/>
      <c r="G514" s="15"/>
      <c r="H514" s="15"/>
      <c r="I514" s="15"/>
    </row>
    <row r="515">
      <c r="D515" s="9"/>
      <c r="E515" s="15"/>
      <c r="F515" s="43"/>
      <c r="G515" s="15"/>
      <c r="H515" s="15"/>
      <c r="I515" s="15"/>
    </row>
    <row r="516">
      <c r="D516" s="9"/>
      <c r="E516" s="15"/>
      <c r="F516" s="43"/>
      <c r="G516" s="15"/>
      <c r="H516" s="15"/>
      <c r="I516" s="15"/>
    </row>
    <row r="517">
      <c r="D517" s="9"/>
      <c r="E517" s="15"/>
      <c r="F517" s="43"/>
      <c r="G517" s="15"/>
      <c r="H517" s="15"/>
      <c r="I517" s="15"/>
    </row>
    <row r="518">
      <c r="D518" s="9"/>
      <c r="E518" s="15"/>
      <c r="F518" s="43"/>
      <c r="G518" s="15"/>
      <c r="H518" s="15"/>
      <c r="I518" s="15"/>
    </row>
    <row r="519">
      <c r="D519" s="9"/>
      <c r="E519" s="15"/>
      <c r="F519" s="43"/>
      <c r="G519" s="15"/>
      <c r="H519" s="15"/>
      <c r="I519" s="15"/>
    </row>
    <row r="520">
      <c r="D520" s="9"/>
      <c r="E520" s="15"/>
      <c r="F520" s="43"/>
      <c r="G520" s="15"/>
      <c r="H520" s="15"/>
      <c r="I520" s="15"/>
    </row>
    <row r="521">
      <c r="D521" s="9"/>
      <c r="E521" s="15"/>
      <c r="F521" s="43"/>
      <c r="G521" s="15"/>
      <c r="H521" s="15"/>
      <c r="I521" s="15"/>
    </row>
    <row r="522">
      <c r="D522" s="9"/>
      <c r="E522" s="15"/>
      <c r="F522" s="43"/>
      <c r="G522" s="15"/>
      <c r="H522" s="15"/>
      <c r="I522" s="15"/>
    </row>
    <row r="523">
      <c r="D523" s="9"/>
      <c r="E523" s="15"/>
      <c r="F523" s="43"/>
      <c r="G523" s="15"/>
      <c r="H523" s="15"/>
      <c r="I523" s="15"/>
    </row>
    <row r="524">
      <c r="D524" s="9"/>
      <c r="E524" s="15"/>
      <c r="F524" s="43"/>
      <c r="G524" s="15"/>
      <c r="H524" s="15"/>
      <c r="I524" s="15"/>
    </row>
    <row r="525">
      <c r="D525" s="9"/>
      <c r="E525" s="15"/>
      <c r="F525" s="43"/>
      <c r="G525" s="15"/>
      <c r="H525" s="15"/>
      <c r="I525" s="15"/>
    </row>
    <row r="526">
      <c r="D526" s="9"/>
      <c r="E526" s="15"/>
      <c r="F526" s="43"/>
      <c r="G526" s="15"/>
      <c r="H526" s="15"/>
      <c r="I526" s="15"/>
    </row>
    <row r="527">
      <c r="D527" s="9"/>
      <c r="E527" s="15"/>
      <c r="F527" s="43"/>
      <c r="G527" s="15"/>
      <c r="H527" s="15"/>
      <c r="I527" s="15"/>
    </row>
    <row r="528">
      <c r="D528" s="9"/>
      <c r="E528" s="15"/>
      <c r="F528" s="43"/>
      <c r="G528" s="15"/>
      <c r="H528" s="15"/>
      <c r="I528" s="15"/>
    </row>
    <row r="529">
      <c r="D529" s="9"/>
      <c r="E529" s="15"/>
      <c r="F529" s="43"/>
      <c r="G529" s="15"/>
      <c r="H529" s="15"/>
      <c r="I529" s="15"/>
    </row>
    <row r="530">
      <c r="D530" s="9"/>
      <c r="E530" s="15"/>
      <c r="F530" s="43"/>
      <c r="G530" s="15"/>
      <c r="H530" s="15"/>
      <c r="I530" s="15"/>
    </row>
    <row r="531">
      <c r="D531" s="9"/>
      <c r="E531" s="15"/>
      <c r="F531" s="43"/>
      <c r="G531" s="15"/>
      <c r="H531" s="15"/>
      <c r="I531" s="15"/>
    </row>
    <row r="532">
      <c r="D532" s="9"/>
      <c r="E532" s="15"/>
      <c r="F532" s="43"/>
      <c r="G532" s="15"/>
      <c r="H532" s="15"/>
      <c r="I532" s="15"/>
    </row>
    <row r="533">
      <c r="D533" s="9"/>
      <c r="E533" s="15"/>
      <c r="F533" s="43"/>
      <c r="G533" s="15"/>
      <c r="H533" s="15"/>
      <c r="I533" s="15"/>
    </row>
    <row r="534">
      <c r="D534" s="9"/>
      <c r="E534" s="15"/>
      <c r="F534" s="43"/>
      <c r="G534" s="15"/>
      <c r="H534" s="15"/>
      <c r="I534" s="15"/>
    </row>
    <row r="535">
      <c r="D535" s="9"/>
      <c r="E535" s="15"/>
      <c r="F535" s="43"/>
      <c r="G535" s="15"/>
      <c r="H535" s="15"/>
      <c r="I535" s="15"/>
    </row>
    <row r="536">
      <c r="D536" s="9"/>
      <c r="E536" s="15"/>
      <c r="F536" s="43"/>
      <c r="G536" s="15"/>
      <c r="H536" s="15"/>
      <c r="I536" s="15"/>
    </row>
    <row r="537">
      <c r="D537" s="9"/>
      <c r="E537" s="15"/>
      <c r="F537" s="43"/>
      <c r="G537" s="15"/>
      <c r="H537" s="15"/>
      <c r="I537" s="15"/>
    </row>
    <row r="538">
      <c r="D538" s="9"/>
      <c r="E538" s="15"/>
      <c r="F538" s="43"/>
      <c r="G538" s="15"/>
      <c r="H538" s="15"/>
      <c r="I538" s="15"/>
    </row>
    <row r="539">
      <c r="D539" s="9"/>
      <c r="E539" s="15"/>
      <c r="F539" s="43"/>
      <c r="G539" s="15"/>
      <c r="H539" s="15"/>
      <c r="I539" s="15"/>
    </row>
    <row r="540">
      <c r="D540" s="9"/>
      <c r="E540" s="15"/>
      <c r="F540" s="43"/>
      <c r="G540" s="15"/>
      <c r="H540" s="15"/>
      <c r="I540" s="15"/>
    </row>
    <row r="541">
      <c r="D541" s="9"/>
      <c r="E541" s="15"/>
      <c r="F541" s="43"/>
      <c r="G541" s="15"/>
      <c r="H541" s="15"/>
      <c r="I541" s="15"/>
    </row>
    <row r="542">
      <c r="D542" s="9"/>
      <c r="E542" s="15"/>
      <c r="F542" s="43"/>
      <c r="G542" s="15"/>
      <c r="H542" s="15"/>
      <c r="I542" s="15"/>
    </row>
    <row r="543">
      <c r="D543" s="9"/>
      <c r="E543" s="15"/>
      <c r="F543" s="43"/>
      <c r="G543" s="15"/>
      <c r="H543" s="15"/>
      <c r="I543" s="15"/>
    </row>
    <row r="544">
      <c r="D544" s="9"/>
      <c r="E544" s="15"/>
      <c r="F544" s="43"/>
      <c r="G544" s="15"/>
      <c r="H544" s="15"/>
      <c r="I544" s="15"/>
    </row>
    <row r="545">
      <c r="D545" s="9"/>
      <c r="E545" s="15"/>
      <c r="F545" s="43"/>
      <c r="G545" s="15"/>
      <c r="H545" s="15"/>
      <c r="I545" s="15"/>
    </row>
    <row r="546">
      <c r="D546" s="9"/>
      <c r="E546" s="15"/>
      <c r="F546" s="43"/>
      <c r="G546" s="15"/>
      <c r="H546" s="15"/>
      <c r="I546" s="15"/>
    </row>
    <row r="547">
      <c r="D547" s="9"/>
      <c r="E547" s="15"/>
      <c r="F547" s="43"/>
      <c r="G547" s="15"/>
      <c r="H547" s="15"/>
      <c r="I547" s="15"/>
    </row>
    <row r="548">
      <c r="D548" s="9"/>
      <c r="E548" s="15"/>
      <c r="F548" s="43"/>
      <c r="G548" s="15"/>
      <c r="H548" s="15"/>
      <c r="I548" s="15"/>
    </row>
    <row r="549">
      <c r="D549" s="9"/>
      <c r="E549" s="15"/>
      <c r="F549" s="43"/>
      <c r="G549" s="15"/>
      <c r="H549" s="15"/>
      <c r="I549" s="15"/>
    </row>
    <row r="550">
      <c r="D550" s="9"/>
      <c r="E550" s="15"/>
      <c r="F550" s="43"/>
      <c r="G550" s="15"/>
      <c r="H550" s="15"/>
      <c r="I550" s="15"/>
    </row>
    <row r="551">
      <c r="D551" s="9"/>
      <c r="E551" s="15"/>
      <c r="F551" s="43"/>
      <c r="G551" s="15"/>
      <c r="H551" s="15"/>
      <c r="I551" s="15"/>
    </row>
    <row r="552">
      <c r="D552" s="9"/>
      <c r="E552" s="15"/>
      <c r="F552" s="43"/>
      <c r="G552" s="15"/>
      <c r="H552" s="15"/>
      <c r="I552" s="15"/>
    </row>
    <row r="553">
      <c r="D553" s="9"/>
      <c r="E553" s="15"/>
      <c r="F553" s="43"/>
      <c r="G553" s="15"/>
      <c r="H553" s="15"/>
      <c r="I553" s="15"/>
    </row>
    <row r="554">
      <c r="D554" s="9"/>
      <c r="E554" s="15"/>
      <c r="F554" s="43"/>
      <c r="G554" s="15"/>
      <c r="H554" s="15"/>
      <c r="I554" s="15"/>
    </row>
    <row r="555">
      <c r="D555" s="9"/>
      <c r="E555" s="15"/>
      <c r="F555" s="43"/>
      <c r="G555" s="15"/>
      <c r="H555" s="15"/>
      <c r="I555" s="15"/>
    </row>
    <row r="556">
      <c r="D556" s="9"/>
      <c r="E556" s="15"/>
      <c r="F556" s="43"/>
      <c r="G556" s="15"/>
      <c r="H556" s="15"/>
      <c r="I556" s="15"/>
    </row>
    <row r="557">
      <c r="D557" s="9"/>
      <c r="E557" s="15"/>
      <c r="F557" s="43"/>
      <c r="G557" s="15"/>
      <c r="H557" s="15"/>
      <c r="I557" s="15"/>
    </row>
    <row r="558">
      <c r="D558" s="9"/>
      <c r="E558" s="15"/>
      <c r="F558" s="43"/>
      <c r="G558" s="15"/>
      <c r="H558" s="15"/>
      <c r="I558" s="15"/>
    </row>
    <row r="559">
      <c r="D559" s="9"/>
      <c r="E559" s="15"/>
      <c r="F559" s="43"/>
      <c r="G559" s="15"/>
      <c r="H559" s="15"/>
      <c r="I559" s="15"/>
    </row>
    <row r="560">
      <c r="D560" s="9"/>
      <c r="E560" s="15"/>
      <c r="F560" s="43"/>
      <c r="G560" s="15"/>
      <c r="H560" s="15"/>
      <c r="I560" s="15"/>
    </row>
    <row r="561">
      <c r="D561" s="9"/>
      <c r="E561" s="15"/>
      <c r="F561" s="43"/>
      <c r="G561" s="15"/>
      <c r="H561" s="15"/>
      <c r="I561" s="15"/>
    </row>
    <row r="562">
      <c r="D562" s="9"/>
      <c r="E562" s="15"/>
      <c r="F562" s="43"/>
      <c r="G562" s="15"/>
      <c r="H562" s="15"/>
      <c r="I562" s="15"/>
    </row>
    <row r="563">
      <c r="D563" s="9"/>
      <c r="E563" s="15"/>
      <c r="F563" s="43"/>
      <c r="G563" s="15"/>
      <c r="H563" s="15"/>
      <c r="I563" s="15"/>
    </row>
    <row r="564">
      <c r="D564" s="9"/>
      <c r="E564" s="15"/>
      <c r="F564" s="43"/>
      <c r="G564" s="15"/>
      <c r="H564" s="15"/>
      <c r="I564" s="15"/>
    </row>
    <row r="565">
      <c r="D565" s="9"/>
      <c r="E565" s="15"/>
      <c r="F565" s="43"/>
      <c r="G565" s="15"/>
      <c r="H565" s="15"/>
      <c r="I565" s="15"/>
    </row>
    <row r="566">
      <c r="D566" s="9"/>
      <c r="E566" s="15"/>
      <c r="F566" s="43"/>
      <c r="G566" s="15"/>
      <c r="H566" s="15"/>
      <c r="I566" s="15"/>
    </row>
    <row r="567">
      <c r="D567" s="9"/>
      <c r="E567" s="15"/>
      <c r="F567" s="43"/>
      <c r="G567" s="15"/>
      <c r="H567" s="15"/>
      <c r="I567" s="15"/>
    </row>
    <row r="568">
      <c r="D568" s="9"/>
      <c r="E568" s="15"/>
      <c r="F568" s="43"/>
      <c r="G568" s="15"/>
      <c r="H568" s="15"/>
      <c r="I568" s="15"/>
    </row>
    <row r="569">
      <c r="D569" s="9"/>
      <c r="E569" s="15"/>
      <c r="F569" s="43"/>
      <c r="G569" s="15"/>
      <c r="H569" s="15"/>
      <c r="I569" s="15"/>
    </row>
    <row r="570">
      <c r="D570" s="9"/>
      <c r="E570" s="15"/>
      <c r="F570" s="43"/>
      <c r="G570" s="15"/>
      <c r="H570" s="15"/>
      <c r="I570" s="15"/>
    </row>
    <row r="571">
      <c r="D571" s="9"/>
      <c r="E571" s="15"/>
      <c r="F571" s="43"/>
      <c r="G571" s="15"/>
      <c r="H571" s="15"/>
      <c r="I571" s="15"/>
    </row>
    <row r="572">
      <c r="D572" s="9"/>
      <c r="E572" s="15"/>
      <c r="F572" s="43"/>
      <c r="G572" s="15"/>
      <c r="H572" s="15"/>
      <c r="I572" s="15"/>
    </row>
    <row r="573">
      <c r="D573" s="9"/>
      <c r="E573" s="15"/>
      <c r="F573" s="43"/>
      <c r="G573" s="15"/>
      <c r="H573" s="15"/>
      <c r="I573" s="15"/>
    </row>
    <row r="574">
      <c r="D574" s="9"/>
      <c r="E574" s="15"/>
      <c r="F574" s="43"/>
      <c r="G574" s="15"/>
      <c r="H574" s="15"/>
      <c r="I574" s="15"/>
    </row>
    <row r="575">
      <c r="D575" s="9"/>
      <c r="E575" s="15"/>
      <c r="F575" s="43"/>
      <c r="G575" s="15"/>
      <c r="H575" s="15"/>
      <c r="I575" s="15"/>
    </row>
    <row r="576">
      <c r="D576" s="9"/>
      <c r="E576" s="15"/>
      <c r="F576" s="43"/>
      <c r="G576" s="15"/>
      <c r="H576" s="15"/>
      <c r="I576" s="15"/>
    </row>
    <row r="577">
      <c r="D577" s="9"/>
      <c r="E577" s="15"/>
      <c r="F577" s="43"/>
      <c r="G577" s="15"/>
      <c r="H577" s="15"/>
      <c r="I577" s="15"/>
    </row>
    <row r="578">
      <c r="D578" s="9"/>
      <c r="E578" s="15"/>
      <c r="F578" s="43"/>
      <c r="G578" s="15"/>
      <c r="H578" s="15"/>
      <c r="I578" s="15"/>
    </row>
    <row r="579">
      <c r="D579" s="9"/>
      <c r="E579" s="15"/>
      <c r="F579" s="43"/>
      <c r="G579" s="15"/>
      <c r="H579" s="15"/>
      <c r="I579" s="15"/>
    </row>
    <row r="580">
      <c r="D580" s="9"/>
      <c r="E580" s="15"/>
      <c r="F580" s="43"/>
      <c r="G580" s="15"/>
      <c r="H580" s="15"/>
      <c r="I580" s="15"/>
    </row>
    <row r="581">
      <c r="D581" s="9"/>
      <c r="E581" s="15"/>
      <c r="F581" s="43"/>
      <c r="G581" s="15"/>
      <c r="H581" s="15"/>
      <c r="I581" s="15"/>
    </row>
    <row r="582">
      <c r="D582" s="9"/>
      <c r="E582" s="15"/>
      <c r="F582" s="43"/>
      <c r="G582" s="15"/>
      <c r="H582" s="15"/>
      <c r="I582" s="15"/>
    </row>
    <row r="583">
      <c r="D583" s="9"/>
      <c r="E583" s="15"/>
      <c r="F583" s="43"/>
      <c r="G583" s="15"/>
      <c r="H583" s="15"/>
      <c r="I583" s="15"/>
    </row>
    <row r="584">
      <c r="D584" s="9"/>
      <c r="E584" s="15"/>
      <c r="F584" s="43"/>
      <c r="G584" s="15"/>
      <c r="H584" s="15"/>
      <c r="I584" s="15"/>
    </row>
    <row r="585">
      <c r="D585" s="9"/>
      <c r="E585" s="15"/>
      <c r="F585" s="43"/>
      <c r="G585" s="15"/>
      <c r="H585" s="15"/>
      <c r="I585" s="15"/>
    </row>
    <row r="586">
      <c r="D586" s="9"/>
      <c r="E586" s="15"/>
      <c r="F586" s="43"/>
      <c r="G586" s="15"/>
      <c r="H586" s="15"/>
      <c r="I586" s="15"/>
    </row>
    <row r="587">
      <c r="D587" s="9"/>
      <c r="E587" s="15"/>
      <c r="F587" s="43"/>
      <c r="G587" s="15"/>
      <c r="H587" s="15"/>
      <c r="I587" s="15"/>
    </row>
    <row r="588">
      <c r="D588" s="9"/>
      <c r="E588" s="15"/>
      <c r="F588" s="43"/>
      <c r="G588" s="15"/>
      <c r="H588" s="15"/>
      <c r="I588" s="15"/>
    </row>
    <row r="589">
      <c r="D589" s="9"/>
      <c r="E589" s="15"/>
      <c r="F589" s="43"/>
      <c r="G589" s="15"/>
      <c r="H589" s="15"/>
      <c r="I589" s="15"/>
    </row>
    <row r="590">
      <c r="D590" s="9"/>
      <c r="E590" s="15"/>
      <c r="F590" s="43"/>
      <c r="G590" s="15"/>
      <c r="H590" s="15"/>
      <c r="I590" s="15"/>
    </row>
    <row r="591">
      <c r="D591" s="9"/>
      <c r="E591" s="15"/>
      <c r="F591" s="43"/>
      <c r="G591" s="15"/>
      <c r="H591" s="15"/>
      <c r="I591" s="15"/>
    </row>
    <row r="592">
      <c r="D592" s="9"/>
      <c r="E592" s="15"/>
      <c r="F592" s="43"/>
      <c r="G592" s="15"/>
      <c r="H592" s="15"/>
      <c r="I592" s="15"/>
    </row>
    <row r="593">
      <c r="D593" s="9"/>
      <c r="E593" s="15"/>
      <c r="F593" s="43"/>
      <c r="G593" s="15"/>
      <c r="H593" s="15"/>
      <c r="I593" s="15"/>
    </row>
    <row r="594">
      <c r="D594" s="9"/>
      <c r="E594" s="15"/>
      <c r="F594" s="43"/>
      <c r="G594" s="15"/>
      <c r="H594" s="15"/>
      <c r="I594" s="15"/>
    </row>
    <row r="595">
      <c r="D595" s="9"/>
      <c r="E595" s="15"/>
      <c r="F595" s="43"/>
      <c r="G595" s="15"/>
      <c r="H595" s="15"/>
      <c r="I595" s="15"/>
    </row>
    <row r="596">
      <c r="D596" s="9"/>
      <c r="E596" s="15"/>
      <c r="F596" s="43"/>
      <c r="G596" s="15"/>
      <c r="H596" s="15"/>
      <c r="I596" s="15"/>
    </row>
    <row r="597">
      <c r="D597" s="9"/>
      <c r="E597" s="15"/>
      <c r="F597" s="43"/>
      <c r="G597" s="15"/>
      <c r="H597" s="15"/>
      <c r="I597" s="15"/>
    </row>
    <row r="598">
      <c r="D598" s="9"/>
      <c r="E598" s="15"/>
      <c r="F598" s="43"/>
      <c r="G598" s="15"/>
      <c r="H598" s="15"/>
      <c r="I598" s="15"/>
    </row>
    <row r="599">
      <c r="F599" s="77"/>
    </row>
    <row r="600">
      <c r="F600" s="77"/>
    </row>
    <row r="601">
      <c r="F601" s="77"/>
    </row>
    <row r="602">
      <c r="F602" s="77"/>
    </row>
    <row r="603">
      <c r="F603" s="77"/>
    </row>
    <row r="604">
      <c r="F604" s="77"/>
    </row>
    <row r="605">
      <c r="F605" s="77"/>
    </row>
    <row r="606">
      <c r="F606" s="77"/>
    </row>
    <row r="607">
      <c r="F607" s="77"/>
    </row>
    <row r="608">
      <c r="F608" s="77"/>
    </row>
    <row r="609">
      <c r="F609" s="77"/>
    </row>
    <row r="610">
      <c r="F610" s="77"/>
    </row>
    <row r="611">
      <c r="F611" s="77"/>
    </row>
    <row r="612">
      <c r="F612" s="77"/>
    </row>
    <row r="613">
      <c r="F613" s="77"/>
    </row>
    <row r="614">
      <c r="F614" s="77"/>
    </row>
    <row r="615">
      <c r="F615" s="77"/>
    </row>
    <row r="616">
      <c r="F616" s="77"/>
    </row>
    <row r="617">
      <c r="F617" s="77"/>
    </row>
    <row r="618">
      <c r="F618" s="77"/>
    </row>
    <row r="619">
      <c r="F619" s="77"/>
    </row>
    <row r="620">
      <c r="F620" s="77"/>
    </row>
    <row r="621">
      <c r="F621" s="77"/>
    </row>
    <row r="622">
      <c r="F622" s="77"/>
    </row>
    <row r="623">
      <c r="F623" s="77"/>
    </row>
    <row r="624">
      <c r="F624" s="77"/>
    </row>
    <row r="625">
      <c r="F625" s="77"/>
    </row>
    <row r="626">
      <c r="F626" s="77"/>
    </row>
    <row r="627">
      <c r="F627" s="77"/>
    </row>
    <row r="628">
      <c r="F628" s="77"/>
    </row>
    <row r="629">
      <c r="F629" s="77"/>
    </row>
    <row r="630">
      <c r="F630" s="77"/>
    </row>
    <row r="631">
      <c r="F631" s="77"/>
    </row>
    <row r="632">
      <c r="F632" s="77"/>
    </row>
    <row r="633">
      <c r="F633" s="77"/>
    </row>
    <row r="634">
      <c r="F634" s="77"/>
    </row>
    <row r="635">
      <c r="F635" s="77"/>
    </row>
    <row r="636">
      <c r="F636" s="77"/>
    </row>
    <row r="637">
      <c r="F637" s="77"/>
    </row>
    <row r="638">
      <c r="F638" s="77"/>
    </row>
    <row r="639">
      <c r="F639" s="77"/>
    </row>
    <row r="640">
      <c r="F640" s="77"/>
    </row>
    <row r="641">
      <c r="F641" s="77"/>
    </row>
    <row r="642">
      <c r="F642" s="77"/>
    </row>
    <row r="643">
      <c r="F643" s="77"/>
    </row>
    <row r="644">
      <c r="F644" s="77"/>
    </row>
    <row r="645">
      <c r="F645" s="77"/>
    </row>
    <row r="646">
      <c r="F646" s="77"/>
    </row>
    <row r="647">
      <c r="F647" s="77"/>
    </row>
    <row r="648">
      <c r="F648" s="77"/>
    </row>
    <row r="649">
      <c r="F649" s="77"/>
    </row>
    <row r="650">
      <c r="F650" s="77"/>
    </row>
    <row r="651">
      <c r="F651" s="77"/>
    </row>
    <row r="652">
      <c r="F652" s="77"/>
    </row>
    <row r="653">
      <c r="F653" s="77"/>
    </row>
    <row r="654">
      <c r="F654" s="77"/>
    </row>
    <row r="655">
      <c r="F655" s="77"/>
    </row>
    <row r="656">
      <c r="F656" s="77"/>
    </row>
    <row r="657">
      <c r="F657" s="77"/>
    </row>
    <row r="658">
      <c r="F658" s="77"/>
    </row>
    <row r="659">
      <c r="F659" s="77"/>
    </row>
    <row r="660">
      <c r="F660" s="77"/>
    </row>
    <row r="661">
      <c r="F661" s="77"/>
    </row>
    <row r="662">
      <c r="F662" s="77"/>
    </row>
    <row r="663">
      <c r="F663" s="77"/>
    </row>
    <row r="664">
      <c r="F664" s="77"/>
    </row>
    <row r="665">
      <c r="F665" s="77"/>
    </row>
    <row r="666">
      <c r="F666" s="77"/>
    </row>
    <row r="667">
      <c r="F667" s="77"/>
    </row>
    <row r="668">
      <c r="F668" s="77"/>
    </row>
    <row r="669">
      <c r="F669" s="77"/>
    </row>
    <row r="670">
      <c r="F670" s="77"/>
    </row>
    <row r="671">
      <c r="F671" s="77"/>
    </row>
    <row r="672">
      <c r="F672" s="77"/>
    </row>
    <row r="673">
      <c r="F673" s="77"/>
    </row>
    <row r="674">
      <c r="F674" s="77"/>
    </row>
    <row r="675">
      <c r="F675" s="77"/>
    </row>
    <row r="676">
      <c r="F676" s="77"/>
    </row>
    <row r="677">
      <c r="F677" s="77"/>
    </row>
    <row r="678">
      <c r="F678" s="77"/>
    </row>
    <row r="679">
      <c r="F679" s="77"/>
    </row>
    <row r="680">
      <c r="F680" s="77"/>
    </row>
    <row r="681">
      <c r="F681" s="77"/>
    </row>
    <row r="682">
      <c r="F682" s="77"/>
    </row>
    <row r="683">
      <c r="F683" s="77"/>
    </row>
    <row r="684">
      <c r="F684" s="77"/>
    </row>
    <row r="685">
      <c r="F685" s="77"/>
    </row>
    <row r="686">
      <c r="F686" s="77"/>
    </row>
    <row r="687">
      <c r="F687" s="77"/>
    </row>
    <row r="688">
      <c r="F688" s="77"/>
    </row>
    <row r="689">
      <c r="F689" s="77"/>
    </row>
    <row r="690">
      <c r="F690" s="77"/>
    </row>
    <row r="691">
      <c r="F691" s="77"/>
    </row>
    <row r="692">
      <c r="F692" s="77"/>
    </row>
    <row r="693">
      <c r="F693" s="77"/>
    </row>
    <row r="694">
      <c r="F694" s="77"/>
    </row>
    <row r="695">
      <c r="F695" s="77"/>
    </row>
    <row r="696">
      <c r="F696" s="77"/>
    </row>
    <row r="697">
      <c r="F697" s="77"/>
    </row>
    <row r="698">
      <c r="F698" s="77"/>
    </row>
    <row r="699">
      <c r="F699" s="77"/>
    </row>
    <row r="700">
      <c r="F700" s="77"/>
    </row>
    <row r="701">
      <c r="F701" s="77"/>
    </row>
    <row r="702">
      <c r="F702" s="77"/>
    </row>
    <row r="703">
      <c r="F703" s="77"/>
    </row>
    <row r="704">
      <c r="F704" s="77"/>
    </row>
    <row r="705">
      <c r="F705" s="77"/>
    </row>
    <row r="706">
      <c r="F706" s="77"/>
    </row>
    <row r="707">
      <c r="F707" s="77"/>
    </row>
    <row r="708">
      <c r="F708" s="77"/>
    </row>
    <row r="709">
      <c r="F709" s="77"/>
    </row>
    <row r="710">
      <c r="F710" s="77"/>
    </row>
    <row r="711">
      <c r="F711" s="77"/>
    </row>
    <row r="712">
      <c r="F712" s="77"/>
    </row>
    <row r="713">
      <c r="F713" s="77"/>
    </row>
    <row r="714">
      <c r="F714" s="77"/>
    </row>
    <row r="715">
      <c r="F715" s="77"/>
    </row>
    <row r="716">
      <c r="F716" s="77"/>
    </row>
    <row r="717">
      <c r="F717" s="77"/>
    </row>
    <row r="718">
      <c r="F718" s="77"/>
    </row>
    <row r="719">
      <c r="F719" s="77"/>
    </row>
    <row r="720">
      <c r="F720" s="77"/>
    </row>
    <row r="721">
      <c r="F721" s="77"/>
    </row>
    <row r="722">
      <c r="F722" s="77"/>
    </row>
    <row r="723">
      <c r="F723" s="77"/>
    </row>
    <row r="724">
      <c r="F724" s="77"/>
    </row>
    <row r="725">
      <c r="F725" s="77"/>
    </row>
    <row r="726">
      <c r="F726" s="77"/>
    </row>
    <row r="727">
      <c r="F727" s="77"/>
    </row>
    <row r="728">
      <c r="F728" s="77"/>
    </row>
    <row r="729">
      <c r="F729" s="77"/>
    </row>
    <row r="730">
      <c r="F730" s="77"/>
    </row>
    <row r="731">
      <c r="F731" s="77"/>
    </row>
    <row r="732">
      <c r="F732" s="77"/>
    </row>
    <row r="733">
      <c r="F733" s="77"/>
    </row>
    <row r="734">
      <c r="F734" s="77"/>
    </row>
    <row r="735">
      <c r="F735" s="77"/>
    </row>
    <row r="736">
      <c r="F736" s="77"/>
    </row>
    <row r="737">
      <c r="F737" s="77"/>
    </row>
    <row r="738">
      <c r="F738" s="77"/>
    </row>
    <row r="739">
      <c r="F739" s="77"/>
    </row>
    <row r="740">
      <c r="F740" s="77"/>
    </row>
    <row r="741">
      <c r="F741" s="77"/>
    </row>
    <row r="742">
      <c r="F742" s="77"/>
    </row>
    <row r="743">
      <c r="F743" s="77"/>
    </row>
    <row r="744">
      <c r="F744" s="77"/>
    </row>
    <row r="745">
      <c r="F745" s="77"/>
    </row>
    <row r="746">
      <c r="F746" s="77"/>
    </row>
    <row r="747">
      <c r="F747" s="77"/>
    </row>
    <row r="748">
      <c r="F748" s="77"/>
    </row>
    <row r="749">
      <c r="F749" s="77"/>
    </row>
    <row r="750">
      <c r="F750" s="77"/>
    </row>
    <row r="751">
      <c r="F751" s="77"/>
    </row>
    <row r="752">
      <c r="F752" s="77"/>
    </row>
    <row r="753">
      <c r="F753" s="77"/>
    </row>
    <row r="754">
      <c r="F754" s="77"/>
    </row>
    <row r="755">
      <c r="F755" s="77"/>
    </row>
    <row r="756">
      <c r="F756" s="77"/>
    </row>
    <row r="757">
      <c r="F757" s="77"/>
    </row>
    <row r="758">
      <c r="F758" s="77"/>
    </row>
    <row r="759">
      <c r="F759" s="77"/>
    </row>
    <row r="760">
      <c r="F760" s="77"/>
    </row>
    <row r="761">
      <c r="F761" s="77"/>
    </row>
    <row r="762">
      <c r="F762" s="77"/>
    </row>
    <row r="763">
      <c r="F763" s="77"/>
    </row>
    <row r="764">
      <c r="F764" s="77"/>
    </row>
    <row r="765">
      <c r="F765" s="77"/>
    </row>
    <row r="766">
      <c r="F766" s="77"/>
    </row>
    <row r="767">
      <c r="F767" s="77"/>
    </row>
    <row r="768">
      <c r="F768" s="77"/>
    </row>
    <row r="769">
      <c r="F769" s="77"/>
    </row>
    <row r="770">
      <c r="F770" s="77"/>
    </row>
    <row r="771">
      <c r="F771" s="77"/>
    </row>
    <row r="772">
      <c r="F772" s="77"/>
    </row>
    <row r="773">
      <c r="F773" s="77"/>
    </row>
    <row r="774">
      <c r="F774" s="77"/>
    </row>
    <row r="775">
      <c r="F775" s="77"/>
    </row>
    <row r="776">
      <c r="F776" s="77"/>
    </row>
    <row r="777">
      <c r="F777" s="77"/>
    </row>
    <row r="778">
      <c r="F778" s="77"/>
    </row>
    <row r="779">
      <c r="F779" s="77"/>
    </row>
    <row r="780">
      <c r="F780" s="77"/>
    </row>
    <row r="781">
      <c r="F781" s="77"/>
    </row>
    <row r="782">
      <c r="F782" s="77"/>
    </row>
    <row r="783">
      <c r="F783" s="77"/>
    </row>
    <row r="784">
      <c r="F784" s="77"/>
    </row>
    <row r="785">
      <c r="F785" s="77"/>
    </row>
    <row r="786">
      <c r="F786" s="77"/>
    </row>
    <row r="787">
      <c r="F787" s="77"/>
    </row>
    <row r="788">
      <c r="F788" s="77"/>
    </row>
    <row r="789">
      <c r="F789" s="77"/>
    </row>
    <row r="790">
      <c r="F790" s="77"/>
    </row>
    <row r="791">
      <c r="F791" s="77"/>
    </row>
    <row r="792">
      <c r="F792" s="77"/>
    </row>
    <row r="793">
      <c r="F793" s="77"/>
    </row>
    <row r="794">
      <c r="F794" s="77"/>
    </row>
    <row r="795">
      <c r="F795" s="77"/>
    </row>
    <row r="796">
      <c r="F796" s="77"/>
    </row>
    <row r="797">
      <c r="F797" s="77"/>
    </row>
    <row r="798">
      <c r="F798" s="77"/>
    </row>
    <row r="799">
      <c r="F799" s="77"/>
    </row>
    <row r="800">
      <c r="F800" s="77"/>
    </row>
    <row r="801">
      <c r="F801" s="77"/>
    </row>
    <row r="802">
      <c r="F802" s="77"/>
    </row>
    <row r="803">
      <c r="F803" s="77"/>
    </row>
    <row r="804">
      <c r="F804" s="77"/>
    </row>
    <row r="805">
      <c r="F805" s="77"/>
    </row>
    <row r="806">
      <c r="F806" s="77"/>
    </row>
    <row r="807">
      <c r="F807" s="77"/>
    </row>
    <row r="808">
      <c r="F808" s="77"/>
    </row>
    <row r="809">
      <c r="F809" s="77"/>
    </row>
    <row r="810">
      <c r="F810" s="77"/>
    </row>
    <row r="811">
      <c r="F811" s="77"/>
    </row>
    <row r="812">
      <c r="F812" s="77"/>
    </row>
    <row r="813">
      <c r="F813" s="77"/>
    </row>
    <row r="814">
      <c r="F814" s="77"/>
    </row>
    <row r="815">
      <c r="F815" s="77"/>
    </row>
    <row r="816">
      <c r="F816" s="77"/>
    </row>
    <row r="817">
      <c r="F817" s="77"/>
    </row>
    <row r="818">
      <c r="F818" s="77"/>
    </row>
    <row r="819">
      <c r="F819" s="77"/>
    </row>
    <row r="820">
      <c r="F820" s="77"/>
    </row>
    <row r="821">
      <c r="F821" s="77"/>
    </row>
    <row r="822">
      <c r="F822" s="77"/>
    </row>
    <row r="823">
      <c r="F823" s="77"/>
    </row>
    <row r="824">
      <c r="F824" s="77"/>
    </row>
    <row r="825">
      <c r="F825" s="77"/>
    </row>
    <row r="826">
      <c r="F826" s="77"/>
    </row>
    <row r="827">
      <c r="F827" s="77"/>
    </row>
    <row r="828">
      <c r="F828" s="77"/>
    </row>
    <row r="829">
      <c r="F829" s="77"/>
    </row>
    <row r="830">
      <c r="F830" s="77"/>
    </row>
    <row r="831">
      <c r="F831" s="77"/>
    </row>
    <row r="832">
      <c r="F832" s="77"/>
    </row>
    <row r="833">
      <c r="F833" s="77"/>
    </row>
    <row r="834">
      <c r="F834" s="77"/>
    </row>
    <row r="835">
      <c r="F835" s="77"/>
    </row>
    <row r="836">
      <c r="F836" s="77"/>
    </row>
    <row r="837">
      <c r="F837" s="77"/>
    </row>
    <row r="838">
      <c r="F838" s="77"/>
    </row>
    <row r="839">
      <c r="F839" s="77"/>
    </row>
    <row r="840">
      <c r="F840" s="77"/>
    </row>
    <row r="841">
      <c r="F841" s="77"/>
    </row>
    <row r="842">
      <c r="F842" s="77"/>
    </row>
    <row r="843">
      <c r="F843" s="77"/>
    </row>
    <row r="844">
      <c r="F844" s="77"/>
    </row>
    <row r="845">
      <c r="F845" s="77"/>
    </row>
    <row r="846">
      <c r="F846" s="77"/>
    </row>
    <row r="847">
      <c r="F847" s="77"/>
    </row>
    <row r="848">
      <c r="F848" s="77"/>
    </row>
    <row r="849">
      <c r="F849" s="77"/>
    </row>
    <row r="850">
      <c r="F850" s="77"/>
    </row>
    <row r="851">
      <c r="F851" s="77"/>
    </row>
    <row r="852">
      <c r="F852" s="77"/>
    </row>
    <row r="853">
      <c r="F853" s="77"/>
    </row>
    <row r="854">
      <c r="F854" s="77"/>
    </row>
    <row r="855">
      <c r="F855" s="77"/>
    </row>
    <row r="856">
      <c r="F856" s="77"/>
    </row>
    <row r="857">
      <c r="F857" s="77"/>
    </row>
    <row r="858">
      <c r="F858" s="77"/>
    </row>
    <row r="859">
      <c r="F859" s="77"/>
    </row>
    <row r="860">
      <c r="F860" s="77"/>
    </row>
    <row r="861">
      <c r="F861" s="77"/>
    </row>
    <row r="862">
      <c r="F862" s="77"/>
    </row>
    <row r="863">
      <c r="F863" s="77"/>
    </row>
    <row r="864">
      <c r="F864" s="77"/>
    </row>
    <row r="865">
      <c r="F865" s="77"/>
    </row>
    <row r="866">
      <c r="F866" s="77"/>
    </row>
    <row r="867">
      <c r="F867" s="77"/>
    </row>
    <row r="868">
      <c r="F868" s="77"/>
    </row>
    <row r="869">
      <c r="F869" s="77"/>
    </row>
    <row r="870">
      <c r="F870" s="77"/>
    </row>
    <row r="871">
      <c r="F871" s="77"/>
    </row>
    <row r="872">
      <c r="F872" s="77"/>
    </row>
    <row r="873">
      <c r="F873" s="77"/>
    </row>
    <row r="874">
      <c r="F874" s="77"/>
    </row>
    <row r="875">
      <c r="F875" s="77"/>
    </row>
    <row r="876">
      <c r="F876" s="77"/>
    </row>
    <row r="877">
      <c r="F877" s="77"/>
    </row>
    <row r="878">
      <c r="F878" s="77"/>
    </row>
    <row r="879">
      <c r="F879" s="77"/>
    </row>
    <row r="880">
      <c r="F880" s="77"/>
    </row>
    <row r="881">
      <c r="F881" s="77"/>
    </row>
    <row r="882">
      <c r="F882" s="77"/>
    </row>
    <row r="883">
      <c r="F883" s="77"/>
    </row>
    <row r="884">
      <c r="F884" s="77"/>
    </row>
    <row r="885">
      <c r="F885" s="77"/>
    </row>
    <row r="886">
      <c r="F886" s="77"/>
    </row>
    <row r="887">
      <c r="F887" s="77"/>
    </row>
    <row r="888">
      <c r="F888" s="77"/>
    </row>
    <row r="889">
      <c r="F889" s="77"/>
    </row>
    <row r="890">
      <c r="F890" s="77"/>
    </row>
    <row r="891">
      <c r="F891" s="77"/>
    </row>
    <row r="892">
      <c r="F892" s="77"/>
    </row>
    <row r="893">
      <c r="F893" s="77"/>
    </row>
    <row r="894">
      <c r="F894" s="77"/>
    </row>
    <row r="895">
      <c r="F895" s="77"/>
    </row>
    <row r="896">
      <c r="F896" s="77"/>
    </row>
    <row r="897">
      <c r="F897" s="77"/>
    </row>
    <row r="898">
      <c r="F898" s="77"/>
    </row>
    <row r="899">
      <c r="F899" s="77"/>
    </row>
    <row r="900">
      <c r="F900" s="77"/>
    </row>
    <row r="901">
      <c r="F901" s="77"/>
    </row>
    <row r="902">
      <c r="F902" s="77"/>
    </row>
    <row r="903">
      <c r="F903" s="77"/>
    </row>
    <row r="904">
      <c r="F904" s="77"/>
    </row>
    <row r="905">
      <c r="F905" s="77"/>
    </row>
    <row r="906">
      <c r="F906" s="77"/>
    </row>
    <row r="907">
      <c r="F907" s="77"/>
    </row>
    <row r="908">
      <c r="F908" s="77"/>
    </row>
    <row r="909">
      <c r="F909" s="77"/>
    </row>
    <row r="910">
      <c r="F910" s="77"/>
    </row>
    <row r="911">
      <c r="F911" s="77"/>
    </row>
    <row r="912">
      <c r="F912" s="77"/>
    </row>
    <row r="913">
      <c r="F913" s="77"/>
    </row>
    <row r="914">
      <c r="F914" s="77"/>
    </row>
    <row r="915">
      <c r="F915" s="77"/>
    </row>
    <row r="916">
      <c r="F916" s="77"/>
    </row>
    <row r="917">
      <c r="F917" s="77"/>
    </row>
    <row r="918">
      <c r="F918" s="77"/>
    </row>
    <row r="919">
      <c r="F919" s="77"/>
    </row>
    <row r="920">
      <c r="F920" s="77"/>
    </row>
    <row r="921">
      <c r="F921" s="77"/>
    </row>
    <row r="922">
      <c r="F922" s="77"/>
    </row>
    <row r="923">
      <c r="F923" s="77"/>
    </row>
    <row r="924">
      <c r="F924" s="77"/>
    </row>
    <row r="925">
      <c r="F925" s="77"/>
    </row>
    <row r="926">
      <c r="F926" s="77"/>
    </row>
    <row r="927">
      <c r="F927" s="77"/>
    </row>
    <row r="928">
      <c r="F928" s="77"/>
    </row>
    <row r="929">
      <c r="F929" s="77"/>
    </row>
    <row r="930">
      <c r="F930" s="77"/>
    </row>
    <row r="931">
      <c r="F931" s="77"/>
    </row>
    <row r="932">
      <c r="F932" s="77"/>
    </row>
    <row r="933">
      <c r="F933" s="77"/>
    </row>
    <row r="934">
      <c r="F934" s="77"/>
    </row>
    <row r="935">
      <c r="F935" s="77"/>
    </row>
    <row r="936">
      <c r="F936" s="77"/>
    </row>
    <row r="937">
      <c r="F937" s="77"/>
    </row>
    <row r="938">
      <c r="F938" s="77"/>
    </row>
    <row r="939">
      <c r="F939" s="77"/>
    </row>
    <row r="940">
      <c r="F940" s="77"/>
    </row>
    <row r="941">
      <c r="F941" s="77"/>
    </row>
    <row r="942">
      <c r="F942" s="77"/>
    </row>
    <row r="943">
      <c r="F943" s="77"/>
    </row>
    <row r="944">
      <c r="F944" s="77"/>
    </row>
    <row r="945">
      <c r="F945" s="77"/>
    </row>
    <row r="946">
      <c r="F946" s="77"/>
    </row>
    <row r="947">
      <c r="F947" s="77"/>
    </row>
    <row r="948">
      <c r="F948" s="77"/>
    </row>
    <row r="949">
      <c r="F949" s="77"/>
    </row>
    <row r="950">
      <c r="F950" s="77"/>
    </row>
    <row r="951">
      <c r="F951" s="77"/>
    </row>
    <row r="952">
      <c r="F952" s="77"/>
    </row>
    <row r="953">
      <c r="F953" s="77"/>
    </row>
    <row r="954">
      <c r="F954" s="77"/>
    </row>
    <row r="955">
      <c r="F955" s="77"/>
    </row>
    <row r="956">
      <c r="F956" s="77"/>
    </row>
    <row r="957">
      <c r="F957" s="77"/>
    </row>
    <row r="958">
      <c r="F958" s="77"/>
    </row>
    <row r="959">
      <c r="F959" s="77"/>
    </row>
    <row r="960">
      <c r="F960" s="77"/>
    </row>
    <row r="961">
      <c r="F961" s="77"/>
    </row>
    <row r="962">
      <c r="F962" s="77"/>
    </row>
    <row r="963">
      <c r="F963" s="77"/>
    </row>
    <row r="964">
      <c r="F964" s="77"/>
    </row>
    <row r="965">
      <c r="F965" s="77"/>
    </row>
    <row r="966">
      <c r="F966" s="77"/>
    </row>
    <row r="967">
      <c r="F967" s="77"/>
    </row>
    <row r="968">
      <c r="F968" s="77"/>
    </row>
    <row r="969">
      <c r="F969" s="77"/>
    </row>
    <row r="970">
      <c r="F970" s="77"/>
    </row>
    <row r="971">
      <c r="F971" s="77"/>
    </row>
    <row r="972">
      <c r="F972" s="77"/>
    </row>
    <row r="973">
      <c r="F973" s="77"/>
    </row>
    <row r="974">
      <c r="F974" s="77"/>
    </row>
    <row r="975">
      <c r="F975" s="77"/>
    </row>
    <row r="976">
      <c r="F976" s="77"/>
    </row>
    <row r="977">
      <c r="F977" s="77"/>
    </row>
    <row r="978">
      <c r="F978" s="77"/>
    </row>
    <row r="979">
      <c r="F979" s="77"/>
    </row>
    <row r="980">
      <c r="F980" s="77"/>
    </row>
    <row r="981">
      <c r="F981" s="77"/>
    </row>
    <row r="982">
      <c r="F982" s="77"/>
    </row>
    <row r="983">
      <c r="F983" s="77"/>
    </row>
    <row r="984">
      <c r="F984" s="77"/>
    </row>
    <row r="985">
      <c r="F985" s="77"/>
    </row>
    <row r="986">
      <c r="F986" s="77"/>
    </row>
    <row r="987">
      <c r="F987" s="77"/>
    </row>
    <row r="988">
      <c r="F988" s="77"/>
    </row>
    <row r="989">
      <c r="F989" s="77"/>
    </row>
    <row r="990">
      <c r="F990" s="77"/>
    </row>
    <row r="991">
      <c r="F991" s="77"/>
    </row>
    <row r="992">
      <c r="F992" s="77"/>
    </row>
    <row r="993">
      <c r="F993" s="77"/>
    </row>
    <row r="994">
      <c r="F994" s="77"/>
    </row>
    <row r="995">
      <c r="F995" s="77"/>
    </row>
    <row r="996">
      <c r="F996" s="77"/>
    </row>
    <row r="997">
      <c r="F997" s="77"/>
    </row>
    <row r="998">
      <c r="F998" s="77"/>
    </row>
    <row r="999">
      <c r="F999" s="77"/>
    </row>
    <row r="1000">
      <c r="F1000" s="77"/>
    </row>
    <row r="1001">
      <c r="F1001" s="77"/>
    </row>
    <row r="1002">
      <c r="F1002" s="77"/>
    </row>
    <row r="1003">
      <c r="F1003" s="77"/>
    </row>
    <row r="1004">
      <c r="F1004" s="77"/>
    </row>
    <row r="1005">
      <c r="F1005" s="77"/>
    </row>
    <row r="1006">
      <c r="F1006" s="77"/>
    </row>
    <row r="1007">
      <c r="F1007" s="77"/>
    </row>
    <row r="1008">
      <c r="F1008" s="77"/>
    </row>
    <row r="1009">
      <c r="F1009" s="77"/>
    </row>
    <row r="1010">
      <c r="F1010" s="77"/>
    </row>
    <row r="1011">
      <c r="F1011" s="77"/>
    </row>
    <row r="1012">
      <c r="F1012" s="77"/>
    </row>
    <row r="1013">
      <c r="F1013" s="77"/>
    </row>
    <row r="1014">
      <c r="F1014" s="77"/>
    </row>
    <row r="1015">
      <c r="F1015" s="77"/>
    </row>
    <row r="1016">
      <c r="F1016" s="77"/>
    </row>
    <row r="1017">
      <c r="F1017" s="77"/>
    </row>
    <row r="1018">
      <c r="F1018" s="77"/>
    </row>
    <row r="1019">
      <c r="F1019" s="77"/>
    </row>
    <row r="1020">
      <c r="F1020" s="77"/>
    </row>
    <row r="1021">
      <c r="F1021" s="77"/>
    </row>
    <row r="1022">
      <c r="F1022" s="77"/>
    </row>
    <row r="1023">
      <c r="F1023" s="77"/>
    </row>
    <row r="1024">
      <c r="F1024" s="77"/>
    </row>
    <row r="1025">
      <c r="F1025" s="77"/>
    </row>
    <row r="1026">
      <c r="F1026" s="77"/>
    </row>
    <row r="1027">
      <c r="F1027" s="77"/>
    </row>
    <row r="1028">
      <c r="F1028" s="77"/>
    </row>
    <row r="1029">
      <c r="F1029" s="77"/>
    </row>
    <row r="1030">
      <c r="F1030" s="77"/>
    </row>
    <row r="1031">
      <c r="F1031" s="77"/>
    </row>
    <row r="1032">
      <c r="F1032" s="77"/>
    </row>
    <row r="1033">
      <c r="F1033" s="77"/>
    </row>
    <row r="1034">
      <c r="F1034" s="77"/>
    </row>
    <row r="1035">
      <c r="F1035" s="77"/>
    </row>
    <row r="1036">
      <c r="F1036" s="77"/>
    </row>
    <row r="1037">
      <c r="F1037" s="77"/>
    </row>
    <row r="1038">
      <c r="F1038" s="77"/>
    </row>
    <row r="1039">
      <c r="F1039" s="77"/>
    </row>
    <row r="1040">
      <c r="F1040" s="77"/>
    </row>
    <row r="1041">
      <c r="F1041" s="77"/>
    </row>
    <row r="1042">
      <c r="F1042" s="77"/>
    </row>
    <row r="1043">
      <c r="F1043" s="77"/>
    </row>
    <row r="1044">
      <c r="F1044" s="77"/>
    </row>
    <row r="1045">
      <c r="F1045" s="77"/>
    </row>
    <row r="1046">
      <c r="F1046" s="77"/>
    </row>
    <row r="1047">
      <c r="F1047" s="77"/>
    </row>
    <row r="1048">
      <c r="F1048" s="77"/>
    </row>
    <row r="1049">
      <c r="F1049" s="77"/>
    </row>
    <row r="1050">
      <c r="F1050" s="77"/>
    </row>
    <row r="1051">
      <c r="F1051" s="77"/>
    </row>
    <row r="1052">
      <c r="F1052" s="77"/>
    </row>
    <row r="1053">
      <c r="F1053" s="77"/>
    </row>
    <row r="1054">
      <c r="F1054" s="77"/>
    </row>
    <row r="1055">
      <c r="F1055" s="77"/>
    </row>
    <row r="1056">
      <c r="F1056" s="77"/>
    </row>
    <row r="1057">
      <c r="F1057" s="77"/>
    </row>
    <row r="1058">
      <c r="F1058" s="77"/>
    </row>
    <row r="1059">
      <c r="F1059" s="77"/>
    </row>
    <row r="1060">
      <c r="F1060" s="77"/>
    </row>
    <row r="1061">
      <c r="F1061" s="77"/>
    </row>
    <row r="1062">
      <c r="F1062" s="77"/>
    </row>
    <row r="1063">
      <c r="F1063" s="77"/>
    </row>
    <row r="1064">
      <c r="F1064" s="77"/>
    </row>
    <row r="1065">
      <c r="F1065" s="77"/>
    </row>
    <row r="1066">
      <c r="F1066" s="77"/>
    </row>
    <row r="1067">
      <c r="F1067" s="77"/>
    </row>
    <row r="1068">
      <c r="F1068" s="77"/>
    </row>
    <row r="1069">
      <c r="F1069" s="77"/>
    </row>
    <row r="1070">
      <c r="F1070" s="77"/>
    </row>
    <row r="1071">
      <c r="F1071" s="77"/>
    </row>
    <row r="1072">
      <c r="F1072" s="77"/>
    </row>
    <row r="1073">
      <c r="F1073" s="77"/>
    </row>
    <row r="1074">
      <c r="F1074" s="77"/>
    </row>
    <row r="1075">
      <c r="F1075" s="77"/>
    </row>
    <row r="1076">
      <c r="F1076" s="77"/>
    </row>
    <row r="1077">
      <c r="F1077" s="77"/>
    </row>
    <row r="1078">
      <c r="F1078" s="77"/>
    </row>
    <row r="1079">
      <c r="F1079" s="77"/>
    </row>
    <row r="1080">
      <c r="F1080" s="77"/>
    </row>
    <row r="1081">
      <c r="F1081" s="77"/>
    </row>
    <row r="1082">
      <c r="F1082" s="77"/>
    </row>
    <row r="1083">
      <c r="F1083" s="77"/>
    </row>
    <row r="1084">
      <c r="F1084" s="77"/>
    </row>
    <row r="1085">
      <c r="F1085" s="77"/>
    </row>
    <row r="1086">
      <c r="F1086" s="77"/>
    </row>
    <row r="1087">
      <c r="F1087" s="77"/>
    </row>
    <row r="1088">
      <c r="F1088" s="77"/>
    </row>
    <row r="1089">
      <c r="F1089" s="77"/>
    </row>
    <row r="1090">
      <c r="F1090" s="77"/>
    </row>
    <row r="1091">
      <c r="F1091" s="77"/>
    </row>
    <row r="1092">
      <c r="F1092" s="77"/>
    </row>
    <row r="1093">
      <c r="F1093" s="77"/>
    </row>
    <row r="1094">
      <c r="F1094" s="77"/>
    </row>
    <row r="1095">
      <c r="F1095" s="77"/>
    </row>
    <row r="1096">
      <c r="F1096" s="77"/>
    </row>
    <row r="1097">
      <c r="F1097" s="77"/>
    </row>
  </sheetData>
  <hyperlinks>
    <hyperlink r:id="rId1" ref="E2"/>
    <hyperlink r:id="rId2" ref="E3"/>
    <hyperlink r:id="rId3" ref="E4"/>
    <hyperlink r:id="rId4" ref="E5"/>
    <hyperlink r:id="rId5" ref="E6"/>
    <hyperlink r:id="rId6" ref="E7"/>
    <hyperlink r:id="rId7" ref="E8"/>
    <hyperlink r:id="rId8" ref="E9"/>
    <hyperlink r:id="rId9" ref="E10"/>
    <hyperlink r:id="rId10" ref="E11"/>
    <hyperlink r:id="rId11" ref="E12"/>
    <hyperlink r:id="rId12" ref="E13"/>
    <hyperlink r:id="rId13" ref="E14"/>
    <hyperlink r:id="rId14" ref="E15"/>
    <hyperlink r:id="rId15" ref="E16"/>
    <hyperlink r:id="rId16" ref="E17"/>
    <hyperlink r:id="rId17" ref="E18"/>
    <hyperlink r:id="rId18" ref="E19"/>
    <hyperlink r:id="rId19" ref="E20"/>
    <hyperlink r:id="rId20" ref="E21"/>
    <hyperlink r:id="rId21" ref="E22"/>
    <hyperlink r:id="rId22" ref="E23"/>
    <hyperlink r:id="rId23" ref="E24"/>
    <hyperlink r:id="rId24" ref="E25"/>
    <hyperlink r:id="rId25" ref="E26"/>
    <hyperlink r:id="rId26" ref="E27"/>
    <hyperlink r:id="rId27" ref="E28"/>
    <hyperlink r:id="rId28" ref="E29"/>
    <hyperlink r:id="rId29" ref="E30"/>
    <hyperlink r:id="rId30" ref="E31"/>
    <hyperlink r:id="rId31" ref="E32"/>
    <hyperlink r:id="rId32" ref="E33"/>
    <hyperlink r:id="rId33" ref="E34"/>
    <hyperlink r:id="rId34" ref="E35"/>
    <hyperlink r:id="rId35" ref="E36"/>
    <hyperlink r:id="rId36" ref="E37"/>
    <hyperlink r:id="rId37" ref="E38"/>
    <hyperlink r:id="rId38" ref="E39"/>
    <hyperlink r:id="rId39" ref="E40"/>
    <hyperlink r:id="rId40" ref="E41"/>
    <hyperlink r:id="rId41" ref="E42"/>
    <hyperlink r:id="rId42" ref="E43"/>
    <hyperlink r:id="rId43" ref="E44"/>
    <hyperlink r:id="rId44" ref="E45"/>
    <hyperlink r:id="rId45" ref="E46"/>
    <hyperlink r:id="rId46" ref="E47"/>
    <hyperlink r:id="rId47" ref="E48"/>
    <hyperlink r:id="rId48" ref="E49"/>
    <hyperlink r:id="rId49" ref="E50"/>
    <hyperlink r:id="rId50" ref="E51"/>
    <hyperlink r:id="rId51" ref="E52"/>
    <hyperlink r:id="rId52" ref="E53"/>
    <hyperlink r:id="rId53" ref="E54"/>
    <hyperlink r:id="rId54" ref="E55"/>
    <hyperlink r:id="rId55" ref="E56"/>
    <hyperlink r:id="rId56" ref="E57"/>
    <hyperlink r:id="rId57" ref="E58"/>
    <hyperlink r:id="rId58" ref="E59"/>
    <hyperlink r:id="rId59" ref="E60"/>
    <hyperlink r:id="rId60" ref="E61"/>
    <hyperlink r:id="rId61" ref="E62"/>
    <hyperlink r:id="rId62" ref="E63"/>
    <hyperlink r:id="rId63" ref="E64"/>
    <hyperlink r:id="rId64" ref="E65"/>
    <hyperlink r:id="rId65" ref="E66"/>
    <hyperlink r:id="rId66" ref="E67"/>
    <hyperlink r:id="rId67" ref="E68"/>
    <hyperlink r:id="rId68" ref="E69"/>
    <hyperlink r:id="rId69" ref="E70"/>
    <hyperlink r:id="rId70" ref="E71"/>
    <hyperlink r:id="rId71" ref="E72"/>
    <hyperlink r:id="rId72" ref="E73"/>
    <hyperlink r:id="rId73" ref="E74"/>
    <hyperlink r:id="rId74" ref="E75"/>
    <hyperlink r:id="rId75" ref="E76"/>
    <hyperlink r:id="rId76" ref="E77"/>
    <hyperlink r:id="rId77" ref="E78"/>
    <hyperlink r:id="rId78" ref="E79"/>
    <hyperlink r:id="rId79" ref="E80"/>
    <hyperlink r:id="rId80" ref="E81"/>
    <hyperlink r:id="rId81" ref="E82"/>
    <hyperlink r:id="rId82" ref="E83"/>
    <hyperlink r:id="rId83" ref="E84"/>
    <hyperlink r:id="rId84" ref="E85"/>
    <hyperlink r:id="rId85" ref="E86"/>
    <hyperlink r:id="rId86" ref="E87"/>
    <hyperlink r:id="rId87" ref="E88"/>
    <hyperlink r:id="rId88" ref="E89"/>
    <hyperlink r:id="rId89" ref="E90"/>
    <hyperlink r:id="rId90" ref="E91"/>
    <hyperlink r:id="rId91" ref="E92"/>
    <hyperlink r:id="rId92" ref="E93"/>
    <hyperlink r:id="rId93" ref="E94"/>
    <hyperlink r:id="rId94" ref="E95"/>
    <hyperlink r:id="rId95" ref="E96"/>
    <hyperlink r:id="rId96" ref="E97"/>
    <hyperlink r:id="rId97" ref="E98"/>
    <hyperlink r:id="rId98" ref="E99"/>
    <hyperlink r:id="rId99" ref="E100"/>
    <hyperlink r:id="rId100" ref="E101"/>
    <hyperlink r:id="rId101" ref="E102"/>
    <hyperlink r:id="rId102" ref="E103"/>
    <hyperlink r:id="rId103" ref="E104"/>
    <hyperlink r:id="rId104" ref="E105"/>
    <hyperlink r:id="rId105" ref="E106"/>
    <hyperlink r:id="rId106" ref="E107"/>
    <hyperlink r:id="rId107" ref="E108"/>
    <hyperlink r:id="rId108" ref="E109"/>
    <hyperlink r:id="rId109" ref="E110"/>
    <hyperlink r:id="rId110" ref="E111"/>
    <hyperlink r:id="rId111" ref="E112"/>
    <hyperlink r:id="rId112" ref="E113"/>
    <hyperlink r:id="rId113" ref="E114"/>
    <hyperlink r:id="rId114" ref="E115"/>
    <hyperlink r:id="rId115" ref="E116"/>
    <hyperlink r:id="rId116" ref="E117"/>
    <hyperlink r:id="rId117" ref="E118"/>
    <hyperlink r:id="rId118" ref="E119"/>
    <hyperlink r:id="rId119" ref="E120"/>
    <hyperlink r:id="rId120" ref="E121"/>
    <hyperlink r:id="rId121" ref="E122"/>
    <hyperlink r:id="rId122" ref="E123"/>
    <hyperlink r:id="rId123" ref="E124"/>
    <hyperlink r:id="rId124" ref="E125"/>
    <hyperlink r:id="rId125" ref="E126"/>
    <hyperlink r:id="rId126" ref="E127"/>
    <hyperlink r:id="rId127" ref="E128"/>
    <hyperlink r:id="rId128" ref="E129"/>
    <hyperlink r:id="rId129" ref="E130"/>
    <hyperlink r:id="rId130" ref="E131"/>
    <hyperlink r:id="rId131" ref="E132"/>
    <hyperlink r:id="rId132" ref="E133"/>
    <hyperlink r:id="rId133" ref="E134"/>
    <hyperlink r:id="rId134" ref="E135"/>
    <hyperlink r:id="rId135" ref="E136"/>
    <hyperlink r:id="rId136" ref="E137"/>
    <hyperlink r:id="rId137" ref="E138"/>
    <hyperlink r:id="rId138" ref="E139"/>
    <hyperlink r:id="rId139" ref="E140"/>
    <hyperlink r:id="rId140" ref="E141"/>
    <hyperlink r:id="rId141" ref="E142"/>
    <hyperlink r:id="rId142" ref="E143"/>
    <hyperlink r:id="rId143" ref="E144"/>
    <hyperlink r:id="rId144" ref="E145"/>
    <hyperlink r:id="rId145" ref="E146"/>
    <hyperlink r:id="rId146" ref="E147"/>
    <hyperlink r:id="rId147" ref="E148"/>
    <hyperlink r:id="rId148" ref="E149"/>
    <hyperlink r:id="rId149" ref="E150"/>
    <hyperlink r:id="rId150" ref="E151"/>
    <hyperlink r:id="rId151" ref="E152"/>
    <hyperlink r:id="rId152" ref="E153"/>
    <hyperlink r:id="rId153" ref="E154"/>
    <hyperlink r:id="rId154" ref="E155"/>
    <hyperlink r:id="rId155" ref="E156"/>
    <hyperlink r:id="rId156" ref="E157"/>
    <hyperlink r:id="rId157" ref="E158"/>
    <hyperlink r:id="rId158" ref="E159"/>
    <hyperlink r:id="rId159" ref="E160"/>
    <hyperlink r:id="rId160" ref="E161"/>
    <hyperlink r:id="rId161" ref="E162"/>
    <hyperlink r:id="rId162" ref="E163"/>
    <hyperlink r:id="rId163" ref="E164"/>
    <hyperlink r:id="rId164" ref="E165"/>
    <hyperlink r:id="rId165" ref="E166"/>
    <hyperlink r:id="rId166" ref="E167"/>
    <hyperlink r:id="rId167" ref="E168"/>
    <hyperlink r:id="rId168" ref="E169"/>
    <hyperlink r:id="rId169" ref="E170"/>
    <hyperlink r:id="rId170" ref="E171"/>
    <hyperlink r:id="rId171" ref="E172"/>
    <hyperlink r:id="rId172" ref="E173"/>
    <hyperlink r:id="rId173" ref="E174"/>
    <hyperlink r:id="rId174" ref="E175"/>
    <hyperlink r:id="rId175" ref="E176"/>
    <hyperlink r:id="rId176" ref="E177"/>
    <hyperlink r:id="rId177" ref="E178"/>
    <hyperlink r:id="rId178" ref="E179"/>
    <hyperlink r:id="rId179" ref="E180"/>
    <hyperlink r:id="rId180" ref="E181"/>
    <hyperlink r:id="rId181" ref="E182"/>
    <hyperlink r:id="rId182" ref="E183"/>
    <hyperlink r:id="rId183" ref="E184"/>
    <hyperlink r:id="rId184" ref="E185"/>
    <hyperlink r:id="rId185" ref="E186"/>
    <hyperlink r:id="rId186" ref="E187"/>
    <hyperlink r:id="rId187" ref="E188"/>
    <hyperlink r:id="rId188" ref="E189"/>
    <hyperlink r:id="rId189" ref="E190"/>
    <hyperlink r:id="rId190" ref="E191"/>
    <hyperlink r:id="rId191" ref="E192"/>
    <hyperlink r:id="rId192" ref="E193"/>
    <hyperlink r:id="rId193" ref="E194"/>
    <hyperlink r:id="rId194" ref="E195"/>
    <hyperlink r:id="rId195" ref="E196"/>
    <hyperlink r:id="rId196" ref="E197"/>
    <hyperlink r:id="rId197" ref="E198"/>
    <hyperlink r:id="rId198" ref="E199"/>
    <hyperlink r:id="rId199" ref="E200"/>
    <hyperlink r:id="rId200" ref="E201"/>
    <hyperlink r:id="rId201" ref="E202"/>
    <hyperlink r:id="rId202" ref="E203"/>
    <hyperlink r:id="rId203" ref="E204"/>
    <hyperlink r:id="rId204" ref="E206"/>
    <hyperlink r:id="rId205" ref="E207"/>
    <hyperlink r:id="rId206" ref="E208"/>
    <hyperlink r:id="rId207" ref="E209"/>
    <hyperlink r:id="rId208" ref="E210"/>
    <hyperlink r:id="rId209" ref="E211"/>
    <hyperlink r:id="rId210" ref="E212"/>
    <hyperlink r:id="rId211" ref="E213"/>
    <hyperlink r:id="rId212" ref="E214"/>
    <hyperlink r:id="rId213" ref="E215"/>
    <hyperlink r:id="rId214" ref="E216"/>
    <hyperlink r:id="rId215" ref="E217"/>
    <hyperlink r:id="rId216" ref="E218"/>
    <hyperlink r:id="rId217" ref="E219"/>
    <hyperlink r:id="rId218" ref="E220"/>
    <hyperlink r:id="rId219" ref="E221"/>
    <hyperlink r:id="rId220" ref="E222"/>
    <hyperlink r:id="rId221" ref="E223"/>
    <hyperlink r:id="rId222" ref="E224"/>
    <hyperlink r:id="rId223" ref="E225"/>
    <hyperlink r:id="rId224" ref="E226"/>
    <hyperlink r:id="rId225" ref="E227"/>
    <hyperlink r:id="rId226" ref="E228"/>
    <hyperlink r:id="rId227" ref="E229"/>
    <hyperlink r:id="rId228" ref="E230"/>
    <hyperlink r:id="rId229" ref="E231"/>
    <hyperlink r:id="rId230" ref="E232"/>
    <hyperlink r:id="rId231" ref="E233"/>
    <hyperlink r:id="rId232" ref="E234"/>
    <hyperlink r:id="rId233" ref="E235"/>
    <hyperlink r:id="rId234" ref="E236"/>
    <hyperlink r:id="rId235" ref="E237"/>
    <hyperlink r:id="rId236" ref="E238"/>
    <hyperlink r:id="rId237" ref="E239"/>
    <hyperlink r:id="rId238" ref="E240"/>
    <hyperlink r:id="rId239" ref="E241"/>
    <hyperlink r:id="rId240" ref="E242"/>
    <hyperlink r:id="rId241" ref="E243"/>
    <hyperlink r:id="rId242" ref="E244"/>
    <hyperlink r:id="rId243" ref="E245"/>
    <hyperlink r:id="rId244" ref="E246"/>
    <hyperlink r:id="rId245" ref="E247"/>
    <hyperlink r:id="rId246" ref="E248"/>
    <hyperlink r:id="rId247" ref="E249"/>
    <hyperlink r:id="rId248" ref="E250"/>
    <hyperlink r:id="rId249" ref="E251"/>
    <hyperlink r:id="rId250" ref="E252"/>
    <hyperlink r:id="rId251" ref="E253"/>
    <hyperlink r:id="rId252" ref="E254"/>
    <hyperlink r:id="rId253" ref="E255"/>
    <hyperlink r:id="rId254" ref="E257"/>
    <hyperlink r:id="rId255" ref="E258"/>
    <hyperlink r:id="rId256" ref="E259"/>
    <hyperlink r:id="rId257" ref="E260"/>
    <hyperlink r:id="rId258" ref="E261"/>
    <hyperlink r:id="rId259" ref="E262"/>
    <hyperlink r:id="rId260" ref="E263"/>
    <hyperlink r:id="rId261" ref="E264"/>
    <hyperlink r:id="rId262" ref="E265"/>
    <hyperlink r:id="rId263" ref="E266"/>
    <hyperlink r:id="rId264" ref="E267"/>
    <hyperlink r:id="rId265" ref="E268"/>
    <hyperlink r:id="rId266" ref="E269"/>
    <hyperlink r:id="rId267" ref="E270"/>
    <hyperlink r:id="rId268" ref="E271"/>
    <hyperlink r:id="rId269" ref="E272"/>
    <hyperlink r:id="rId270" ref="E273"/>
    <hyperlink r:id="rId271" ref="E274"/>
    <hyperlink r:id="rId272" ref="E275"/>
    <hyperlink r:id="rId273" ref="E276"/>
    <hyperlink r:id="rId274" ref="E277"/>
    <hyperlink r:id="rId275" ref="E278"/>
    <hyperlink r:id="rId276" ref="E279"/>
    <hyperlink r:id="rId277" ref="E280"/>
    <hyperlink r:id="rId278" ref="E281"/>
    <hyperlink r:id="rId279" ref="E282"/>
    <hyperlink r:id="rId280" ref="E283"/>
    <hyperlink r:id="rId281" ref="E284"/>
    <hyperlink r:id="rId282" ref="E285"/>
    <hyperlink r:id="rId283" ref="E286"/>
    <hyperlink r:id="rId284" ref="E287"/>
    <hyperlink r:id="rId285" ref="E288"/>
    <hyperlink r:id="rId286" ref="E289"/>
    <hyperlink r:id="rId287" ref="E290"/>
    <hyperlink r:id="rId288" ref="E291"/>
    <hyperlink r:id="rId289" ref="E292"/>
    <hyperlink r:id="rId290" ref="E293"/>
    <hyperlink r:id="rId291" ref="E294"/>
    <hyperlink r:id="rId292" ref="E295"/>
    <hyperlink r:id="rId293" ref="E296"/>
    <hyperlink r:id="rId294" ref="E297"/>
    <hyperlink r:id="rId295" ref="E298"/>
    <hyperlink r:id="rId296" ref="E299"/>
    <hyperlink r:id="rId297" ref="E300"/>
    <hyperlink r:id="rId298" ref="E301"/>
    <hyperlink r:id="rId299" ref="E302"/>
    <hyperlink r:id="rId300" ref="E303"/>
    <hyperlink r:id="rId301" ref="E304"/>
    <hyperlink r:id="rId302" ref="E305"/>
    <hyperlink r:id="rId303" ref="E306"/>
    <hyperlink r:id="rId304" ref="E307"/>
    <hyperlink r:id="rId305" ref="E308"/>
    <hyperlink r:id="rId306" ref="E309"/>
    <hyperlink r:id="rId307" ref="E310"/>
    <hyperlink r:id="rId308" ref="E311"/>
    <hyperlink r:id="rId309" ref="E312"/>
    <hyperlink r:id="rId310" ref="E313"/>
    <hyperlink r:id="rId311" ref="E314"/>
    <hyperlink r:id="rId312" ref="E315"/>
    <hyperlink r:id="rId313" ref="E316"/>
    <hyperlink r:id="rId314" ref="E317"/>
    <hyperlink r:id="rId315" ref="E318"/>
    <hyperlink r:id="rId316" ref="E319"/>
  </hyperlinks>
  <drawing r:id="rId317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2" max="2" width="18.75"/>
    <col customWidth="1" min="3" max="3" width="35.5"/>
    <col customWidth="1" min="4" max="4" width="17.75"/>
    <col customWidth="1" min="5" max="5" width="27.13"/>
    <col customWidth="1" min="8" max="8" width="15.88"/>
    <col customWidth="1" min="9" max="9" width="18.63"/>
    <col customWidth="1" min="10" max="10" width="33.13"/>
    <col customWidth="1" min="11" max="11" width="29.63"/>
    <col customWidth="1" min="12" max="12" width="33.25"/>
  </cols>
  <sheetData>
    <row r="1" ht="22.5" customHeight="1">
      <c r="A1" s="23" t="s">
        <v>15</v>
      </c>
      <c r="B1" s="23" t="s">
        <v>12</v>
      </c>
      <c r="C1" s="23" t="s">
        <v>190</v>
      </c>
      <c r="D1" s="23" t="s">
        <v>192</v>
      </c>
      <c r="E1" s="23" t="s">
        <v>196</v>
      </c>
      <c r="H1" s="28" t="s">
        <v>199</v>
      </c>
      <c r="I1" s="28" t="s">
        <v>204</v>
      </c>
      <c r="J1" s="28" t="s">
        <v>207</v>
      </c>
      <c r="K1" s="28" t="s">
        <v>210</v>
      </c>
      <c r="L1" s="28" t="s">
        <v>213</v>
      </c>
    </row>
    <row r="2" ht="22.5" customHeight="1">
      <c r="A2" s="29">
        <v>21502.0</v>
      </c>
      <c r="B2" s="30" t="s">
        <v>219</v>
      </c>
      <c r="C2" s="31">
        <v>36184.36</v>
      </c>
      <c r="D2" s="29">
        <v>1.0</v>
      </c>
      <c r="E2" s="31">
        <v>36184.36</v>
      </c>
      <c r="H2" s="29">
        <v>26519.0</v>
      </c>
      <c r="I2" s="33">
        <v>1.0</v>
      </c>
      <c r="J2" s="34"/>
      <c r="K2" s="34"/>
      <c r="L2" s="34"/>
    </row>
    <row r="3" ht="22.5" customHeight="1">
      <c r="A3" s="29">
        <v>24147.0</v>
      </c>
      <c r="B3" s="30" t="s">
        <v>245</v>
      </c>
      <c r="C3" s="31">
        <v>57279.57</v>
      </c>
      <c r="D3" s="29">
        <v>2.0</v>
      </c>
      <c r="E3" s="31">
        <v>28639.78</v>
      </c>
      <c r="H3" s="29">
        <v>24910.0</v>
      </c>
      <c r="I3" s="33">
        <v>1.0</v>
      </c>
      <c r="J3" s="34"/>
      <c r="K3" s="34"/>
      <c r="L3" s="34"/>
    </row>
    <row r="4" ht="22.5" customHeight="1">
      <c r="A4" s="29">
        <v>24605.0</v>
      </c>
      <c r="B4" s="30" t="s">
        <v>262</v>
      </c>
      <c r="C4" s="31">
        <v>154749.28</v>
      </c>
      <c r="D4" s="29">
        <v>1.0</v>
      </c>
      <c r="E4" s="31">
        <v>154749.28</v>
      </c>
      <c r="H4" s="29">
        <v>25812.0</v>
      </c>
      <c r="I4" s="33">
        <v>1.0</v>
      </c>
      <c r="J4" s="34"/>
      <c r="K4" s="34"/>
      <c r="L4" s="34"/>
    </row>
    <row r="5" ht="22.5" customHeight="1">
      <c r="A5" s="29">
        <v>24701.0</v>
      </c>
      <c r="B5" s="30" t="s">
        <v>262</v>
      </c>
      <c r="C5" s="31">
        <v>256228.35</v>
      </c>
      <c r="D5" s="29">
        <v>2.0</v>
      </c>
      <c r="E5" s="31">
        <v>128114.18</v>
      </c>
      <c r="H5" s="29">
        <v>25234.0</v>
      </c>
      <c r="I5" s="33">
        <v>1.0</v>
      </c>
      <c r="J5" s="34"/>
      <c r="K5" s="34"/>
      <c r="L5" s="34"/>
    </row>
    <row r="6" ht="22.5" customHeight="1">
      <c r="A6" s="29">
        <v>24740.0</v>
      </c>
      <c r="B6" s="30" t="s">
        <v>174</v>
      </c>
      <c r="C6" s="31">
        <v>1967873.43</v>
      </c>
      <c r="D6" s="29">
        <v>6.0</v>
      </c>
      <c r="E6" s="31">
        <v>327978.9</v>
      </c>
      <c r="H6" s="29">
        <v>25503.0</v>
      </c>
      <c r="I6" s="33">
        <v>1.0</v>
      </c>
      <c r="J6" s="34"/>
      <c r="K6" s="34"/>
      <c r="L6" s="34"/>
    </row>
    <row r="7" ht="22.5" customHeight="1">
      <c r="A7" s="29">
        <v>24801.0</v>
      </c>
      <c r="B7" s="30" t="s">
        <v>306</v>
      </c>
      <c r="C7" s="31">
        <v>723211.57</v>
      </c>
      <c r="D7" s="29">
        <v>2.0</v>
      </c>
      <c r="E7" s="31">
        <v>361605.78</v>
      </c>
      <c r="H7" s="29">
        <v>24712.0</v>
      </c>
      <c r="I7" s="33">
        <v>1.0</v>
      </c>
      <c r="J7" s="34"/>
      <c r="K7" s="34"/>
      <c r="L7" s="34"/>
    </row>
    <row r="8" ht="22.5" customHeight="1">
      <c r="A8" s="29">
        <v>24817.0</v>
      </c>
      <c r="B8" s="30" t="s">
        <v>334</v>
      </c>
      <c r="C8" s="31">
        <v>58237.78</v>
      </c>
      <c r="D8" s="29">
        <v>1.0</v>
      </c>
      <c r="E8" s="31">
        <v>58237.78</v>
      </c>
      <c r="H8" s="29">
        <v>26704.0</v>
      </c>
      <c r="I8" s="33">
        <v>1.0</v>
      </c>
      <c r="J8" s="34"/>
      <c r="K8" s="34"/>
      <c r="L8" s="34"/>
    </row>
    <row r="9" ht="22.5" customHeight="1">
      <c r="A9" s="29">
        <v>24844.0</v>
      </c>
      <c r="B9" s="30" t="s">
        <v>351</v>
      </c>
      <c r="C9" s="31">
        <v>26182.89</v>
      </c>
      <c r="D9" s="29">
        <v>1.0</v>
      </c>
      <c r="E9" s="31">
        <v>26182.89</v>
      </c>
      <c r="H9" s="29">
        <v>26705.0</v>
      </c>
      <c r="I9" s="33">
        <v>1.0</v>
      </c>
      <c r="J9" s="34"/>
      <c r="K9" s="34"/>
      <c r="L9" s="34"/>
    </row>
    <row r="10" ht="22.5" customHeight="1">
      <c r="A10" s="29">
        <v>24870.0</v>
      </c>
      <c r="B10" s="30" t="s">
        <v>370</v>
      </c>
      <c r="C10" s="31">
        <v>324049.1</v>
      </c>
      <c r="D10" s="29">
        <v>1.0</v>
      </c>
      <c r="E10" s="31">
        <v>324049.1</v>
      </c>
      <c r="H10" s="29">
        <v>26801.0</v>
      </c>
      <c r="I10" s="33">
        <v>1.0</v>
      </c>
      <c r="J10" s="34"/>
      <c r="K10" s="34"/>
      <c r="L10" s="34"/>
    </row>
    <row r="11" ht="22.5" customHeight="1">
      <c r="A11" s="29">
        <v>24874.0</v>
      </c>
      <c r="B11" s="30" t="s">
        <v>383</v>
      </c>
      <c r="C11" s="31">
        <v>124089.62</v>
      </c>
      <c r="D11" s="29">
        <v>2.0</v>
      </c>
      <c r="E11" s="31">
        <v>62044.81</v>
      </c>
      <c r="H11" s="29">
        <v>25504.0</v>
      </c>
      <c r="I11" s="33">
        <v>2.0</v>
      </c>
      <c r="J11" s="36">
        <v>1011376.53</v>
      </c>
      <c r="K11" s="33">
        <v>3.0</v>
      </c>
      <c r="L11" s="36">
        <v>337125.51</v>
      </c>
    </row>
    <row r="12" ht="22.5" customHeight="1">
      <c r="A12" s="29">
        <v>24892.0</v>
      </c>
      <c r="B12" s="30" t="s">
        <v>397</v>
      </c>
      <c r="C12" s="31">
        <v>225293.58</v>
      </c>
      <c r="D12" s="29">
        <v>1.0</v>
      </c>
      <c r="E12" s="31">
        <v>225293.58</v>
      </c>
      <c r="H12" s="29">
        <v>25504.0</v>
      </c>
      <c r="I12" s="33">
        <v>2.0</v>
      </c>
      <c r="J12" s="36">
        <v>1011376.53</v>
      </c>
      <c r="K12" s="33">
        <v>3.0</v>
      </c>
      <c r="L12" s="36">
        <v>337125.51</v>
      </c>
    </row>
    <row r="13" ht="22.5" customHeight="1">
      <c r="A13" s="29">
        <v>24901.0</v>
      </c>
      <c r="B13" s="30" t="s">
        <v>80</v>
      </c>
      <c r="C13" s="31">
        <v>798492.4</v>
      </c>
      <c r="D13" s="29">
        <v>2.0</v>
      </c>
      <c r="E13" s="31">
        <v>399246.2</v>
      </c>
      <c r="H13" s="29">
        <v>26559.0</v>
      </c>
      <c r="I13" s="33">
        <v>1.0</v>
      </c>
      <c r="J13" s="34"/>
      <c r="K13" s="34"/>
      <c r="L13" s="34"/>
    </row>
    <row r="14" ht="22.5" customHeight="1">
      <c r="A14" s="29">
        <v>24902.0</v>
      </c>
      <c r="B14" s="30" t="s">
        <v>425</v>
      </c>
      <c r="C14" s="31">
        <v>26421.52</v>
      </c>
      <c r="D14" s="29">
        <v>1.0</v>
      </c>
      <c r="E14" s="31">
        <v>26421.52</v>
      </c>
      <c r="H14" s="29">
        <v>25801.0</v>
      </c>
      <c r="I14" s="33">
        <v>5.0</v>
      </c>
      <c r="J14" s="36">
        <v>1035760.53</v>
      </c>
      <c r="K14" s="33">
        <v>4.0</v>
      </c>
      <c r="L14" s="36">
        <v>258940.13</v>
      </c>
    </row>
    <row r="15" ht="22.5" customHeight="1">
      <c r="A15" s="29">
        <v>24951.0</v>
      </c>
      <c r="B15" s="30" t="s">
        <v>441</v>
      </c>
      <c r="C15" s="31">
        <v>18253.36</v>
      </c>
      <c r="D15" s="29">
        <v>1.0</v>
      </c>
      <c r="E15" s="31">
        <v>18253.36</v>
      </c>
      <c r="H15" s="29">
        <v>25801.0</v>
      </c>
      <c r="I15" s="33">
        <v>5.0</v>
      </c>
      <c r="J15" s="36">
        <v>1035760.53</v>
      </c>
      <c r="K15" s="33">
        <v>4.0</v>
      </c>
      <c r="L15" s="36">
        <v>258940.13</v>
      </c>
    </row>
    <row r="16" ht="22.5" customHeight="1">
      <c r="A16" s="29">
        <v>24954.0</v>
      </c>
      <c r="B16" s="30" t="s">
        <v>457</v>
      </c>
      <c r="C16" s="31">
        <v>101121.7</v>
      </c>
      <c r="D16" s="29">
        <v>1.0</v>
      </c>
      <c r="E16" s="31">
        <v>101121.7</v>
      </c>
      <c r="H16" s="29">
        <v>25801.0</v>
      </c>
      <c r="I16" s="33">
        <v>5.0</v>
      </c>
      <c r="J16" s="36">
        <v>1035760.53</v>
      </c>
      <c r="K16" s="33">
        <v>4.0</v>
      </c>
      <c r="L16" s="36">
        <v>258940.13</v>
      </c>
    </row>
    <row r="17" ht="22.5" customHeight="1">
      <c r="A17" s="29">
        <v>24970.0</v>
      </c>
      <c r="B17" s="30" t="s">
        <v>316</v>
      </c>
      <c r="C17" s="31">
        <v>177519.95</v>
      </c>
      <c r="D17" s="29">
        <v>1.0</v>
      </c>
      <c r="E17" s="31">
        <v>177519.95</v>
      </c>
      <c r="H17" s="29">
        <v>25801.0</v>
      </c>
      <c r="I17" s="33">
        <v>5.0</v>
      </c>
      <c r="J17" s="36">
        <v>1035760.53</v>
      </c>
      <c r="K17" s="33">
        <v>4.0</v>
      </c>
      <c r="L17" s="36">
        <v>258940.13</v>
      </c>
    </row>
    <row r="18" ht="22.5" customHeight="1">
      <c r="A18" s="29">
        <v>24983.0</v>
      </c>
      <c r="B18" s="30" t="s">
        <v>488</v>
      </c>
      <c r="C18" s="31">
        <v>10824.47</v>
      </c>
      <c r="D18" s="29">
        <v>1.0</v>
      </c>
      <c r="E18" s="31">
        <v>10824.47</v>
      </c>
      <c r="H18" s="29">
        <v>25801.0</v>
      </c>
      <c r="I18" s="33">
        <v>5.0</v>
      </c>
      <c r="J18" s="36">
        <v>1035760.53</v>
      </c>
      <c r="K18" s="33">
        <v>4.0</v>
      </c>
      <c r="L18" s="36">
        <v>258940.13</v>
      </c>
    </row>
    <row r="19" ht="22.5" customHeight="1">
      <c r="A19" s="29">
        <v>24985.0</v>
      </c>
      <c r="B19" s="30" t="s">
        <v>499</v>
      </c>
      <c r="C19" s="31">
        <v>10824.47</v>
      </c>
      <c r="D19" s="29">
        <v>1.0</v>
      </c>
      <c r="E19" s="31">
        <v>10824.47</v>
      </c>
      <c r="H19" s="29">
        <v>26250.0</v>
      </c>
      <c r="I19" s="33">
        <v>2.0</v>
      </c>
      <c r="J19" s="36">
        <v>320899.75</v>
      </c>
      <c r="K19" s="33">
        <v>1.0</v>
      </c>
      <c r="L19" s="36">
        <v>320899.75</v>
      </c>
    </row>
    <row r="20" ht="22.5" customHeight="1">
      <c r="A20" s="29">
        <v>24986.0</v>
      </c>
      <c r="B20" s="30" t="s">
        <v>325</v>
      </c>
      <c r="C20" s="31">
        <v>65494.03</v>
      </c>
      <c r="D20" s="29">
        <v>1.0</v>
      </c>
      <c r="E20" s="31">
        <v>65494.03</v>
      </c>
      <c r="H20" s="29">
        <v>26250.0</v>
      </c>
      <c r="I20" s="33">
        <v>2.0</v>
      </c>
      <c r="J20" s="36">
        <v>320899.75</v>
      </c>
      <c r="K20" s="33">
        <v>1.0</v>
      </c>
      <c r="L20" s="36">
        <v>320899.75</v>
      </c>
    </row>
    <row r="21" ht="22.5" customHeight="1">
      <c r="A21" s="29">
        <v>25003.0</v>
      </c>
      <c r="B21" s="30" t="s">
        <v>533</v>
      </c>
      <c r="C21" s="31">
        <v>157.02</v>
      </c>
      <c r="D21" s="29">
        <v>1.0</v>
      </c>
      <c r="E21" s="31">
        <v>157.02</v>
      </c>
      <c r="H21" s="29">
        <v>25015.0</v>
      </c>
      <c r="I21" s="33">
        <v>2.0</v>
      </c>
      <c r="J21" s="36">
        <v>394762.05</v>
      </c>
      <c r="K21" s="33">
        <v>1.0</v>
      </c>
      <c r="L21" s="36">
        <v>394762.05</v>
      </c>
    </row>
    <row r="22" ht="22.5" customHeight="1">
      <c r="A22" s="29">
        <v>25015.0</v>
      </c>
      <c r="B22" s="30" t="s">
        <v>551</v>
      </c>
      <c r="C22" s="31">
        <v>394762.05</v>
      </c>
      <c r="D22" s="29">
        <v>1.0</v>
      </c>
      <c r="E22" s="31">
        <v>394762.05</v>
      </c>
      <c r="H22" s="29">
        <v>25015.0</v>
      </c>
      <c r="I22" s="33">
        <v>2.0</v>
      </c>
      <c r="J22" s="36">
        <v>394762.05</v>
      </c>
      <c r="K22" s="33">
        <v>1.0</v>
      </c>
      <c r="L22" s="36">
        <v>394762.05</v>
      </c>
    </row>
    <row r="23" ht="22.5" customHeight="1">
      <c r="A23" s="29">
        <v>25019.0</v>
      </c>
      <c r="B23" s="30" t="s">
        <v>567</v>
      </c>
      <c r="C23" s="31">
        <v>2496.47</v>
      </c>
      <c r="D23" s="29">
        <v>1.0</v>
      </c>
      <c r="E23" s="31">
        <v>2496.47</v>
      </c>
      <c r="H23" s="29">
        <v>26134.0</v>
      </c>
      <c r="I23" s="33">
        <v>1.0</v>
      </c>
      <c r="J23" s="34"/>
      <c r="K23" s="34"/>
      <c r="L23" s="34"/>
    </row>
    <row r="24" ht="22.5" customHeight="1">
      <c r="A24" s="29">
        <v>25033.0</v>
      </c>
      <c r="B24" s="30" t="s">
        <v>586</v>
      </c>
      <c r="C24" s="31">
        <v>4978.71</v>
      </c>
      <c r="D24" s="29">
        <v>1.0</v>
      </c>
      <c r="E24" s="31">
        <v>4978.71</v>
      </c>
      <c r="H24" s="29">
        <v>26013.0</v>
      </c>
      <c r="I24" s="33">
        <v>1.0</v>
      </c>
      <c r="J24" s="34"/>
      <c r="K24" s="34"/>
      <c r="L24" s="34"/>
    </row>
    <row r="25" ht="22.5" customHeight="1">
      <c r="A25" s="29">
        <v>25045.0</v>
      </c>
      <c r="B25" s="30" t="s">
        <v>601</v>
      </c>
      <c r="C25" s="31">
        <v>44707.2</v>
      </c>
      <c r="D25" s="29">
        <v>1.0</v>
      </c>
      <c r="E25" s="31">
        <v>44707.2</v>
      </c>
      <c r="H25" s="29">
        <v>25411.0</v>
      </c>
      <c r="I25" s="33">
        <v>2.0</v>
      </c>
      <c r="J25" s="36">
        <v>177436.57</v>
      </c>
      <c r="K25" s="33">
        <v>1.0</v>
      </c>
      <c r="L25" s="36">
        <v>177436.57</v>
      </c>
    </row>
    <row r="26" ht="22.5" customHeight="1">
      <c r="A26" s="29">
        <v>25049.0</v>
      </c>
      <c r="B26" s="30" t="s">
        <v>612</v>
      </c>
      <c r="C26" s="31">
        <v>6389.46</v>
      </c>
      <c r="D26" s="29">
        <v>1.0</v>
      </c>
      <c r="E26" s="31">
        <v>6389.46</v>
      </c>
      <c r="H26" s="29">
        <v>25411.0</v>
      </c>
      <c r="I26" s="33">
        <v>2.0</v>
      </c>
      <c r="J26" s="36">
        <v>177436.57</v>
      </c>
      <c r="K26" s="33">
        <v>1.0</v>
      </c>
      <c r="L26" s="36">
        <v>177436.57</v>
      </c>
    </row>
    <row r="27" ht="22.5" customHeight="1">
      <c r="A27" s="29">
        <v>25053.0</v>
      </c>
      <c r="B27" s="30" t="s">
        <v>627</v>
      </c>
      <c r="C27" s="31">
        <v>855112.76</v>
      </c>
      <c r="D27" s="29">
        <v>2.0</v>
      </c>
      <c r="E27" s="31">
        <v>427556.38</v>
      </c>
      <c r="H27" s="29">
        <v>26253.0</v>
      </c>
      <c r="I27" s="33">
        <v>1.0</v>
      </c>
      <c r="J27" s="34"/>
      <c r="K27" s="34"/>
      <c r="L27" s="34"/>
    </row>
    <row r="28" ht="22.5" customHeight="1">
      <c r="A28" s="29">
        <v>25064.0</v>
      </c>
      <c r="B28" s="30" t="s">
        <v>637</v>
      </c>
      <c r="C28" s="31">
        <v>205262.8</v>
      </c>
      <c r="D28" s="29">
        <v>1.0</v>
      </c>
      <c r="E28" s="31">
        <v>205262.8</v>
      </c>
      <c r="H28" s="29">
        <v>26610.0</v>
      </c>
      <c r="I28" s="33">
        <v>1.0</v>
      </c>
      <c r="J28" s="34"/>
      <c r="K28" s="34"/>
      <c r="L28" s="34"/>
    </row>
    <row r="29" ht="22.5" customHeight="1">
      <c r="A29" s="29">
        <v>25070.0</v>
      </c>
      <c r="B29" s="30" t="s">
        <v>537</v>
      </c>
      <c r="C29" s="31">
        <v>24325.57</v>
      </c>
      <c r="D29" s="29">
        <v>1.0</v>
      </c>
      <c r="E29" s="31">
        <v>24325.57</v>
      </c>
      <c r="H29" s="29">
        <v>26521.0</v>
      </c>
      <c r="I29" s="33">
        <v>1.0</v>
      </c>
      <c r="J29" s="34"/>
      <c r="K29" s="34"/>
      <c r="L29" s="34"/>
    </row>
    <row r="30" ht="22.5" customHeight="1">
      <c r="A30" s="29">
        <v>25071.0</v>
      </c>
      <c r="B30" s="30" t="s">
        <v>396</v>
      </c>
      <c r="C30" s="31">
        <v>309825.16</v>
      </c>
      <c r="D30" s="29">
        <v>2.0</v>
      </c>
      <c r="E30" s="31">
        <v>154912.58</v>
      </c>
      <c r="H30" s="29">
        <v>24701.0</v>
      </c>
      <c r="I30" s="33">
        <v>4.0</v>
      </c>
      <c r="J30" s="36">
        <v>256228.35</v>
      </c>
      <c r="K30" s="33">
        <v>2.0</v>
      </c>
      <c r="L30" s="36">
        <v>128114.18</v>
      </c>
    </row>
    <row r="31" ht="22.5" customHeight="1">
      <c r="A31" s="29">
        <v>25113.0</v>
      </c>
      <c r="B31" s="30" t="s">
        <v>673</v>
      </c>
      <c r="C31" s="31">
        <v>1826.77</v>
      </c>
      <c r="D31" s="29">
        <v>1.0</v>
      </c>
      <c r="E31" s="31">
        <v>1826.77</v>
      </c>
      <c r="H31" s="29">
        <v>24701.0</v>
      </c>
      <c r="I31" s="33">
        <v>4.0</v>
      </c>
      <c r="J31" s="36">
        <v>256228.35</v>
      </c>
      <c r="K31" s="33">
        <v>2.0</v>
      </c>
      <c r="L31" s="36">
        <v>128114.18</v>
      </c>
    </row>
    <row r="32" ht="22.5" customHeight="1">
      <c r="A32" s="29">
        <v>25114.0</v>
      </c>
      <c r="B32" s="30" t="s">
        <v>686</v>
      </c>
      <c r="C32" s="31">
        <v>530.54</v>
      </c>
      <c r="D32" s="29">
        <v>1.0</v>
      </c>
      <c r="E32" s="31">
        <v>530.54</v>
      </c>
      <c r="H32" s="29">
        <v>24701.0</v>
      </c>
      <c r="I32" s="33">
        <v>4.0</v>
      </c>
      <c r="J32" s="36">
        <v>256228.35</v>
      </c>
      <c r="K32" s="33">
        <v>2.0</v>
      </c>
      <c r="L32" s="36">
        <v>128114.18</v>
      </c>
    </row>
    <row r="33" ht="22.5" customHeight="1">
      <c r="A33" s="29">
        <v>25130.0</v>
      </c>
      <c r="B33" s="30" t="s">
        <v>287</v>
      </c>
      <c r="C33" s="31">
        <v>283943.15</v>
      </c>
      <c r="D33" s="29">
        <v>1.0</v>
      </c>
      <c r="E33" s="31">
        <v>283943.15</v>
      </c>
      <c r="H33" s="29">
        <v>24701.0</v>
      </c>
      <c r="I33" s="33">
        <v>4.0</v>
      </c>
      <c r="J33" s="36">
        <v>256228.35</v>
      </c>
      <c r="K33" s="33">
        <v>2.0</v>
      </c>
      <c r="L33" s="36">
        <v>128114.18</v>
      </c>
    </row>
    <row r="34" ht="22.5" customHeight="1">
      <c r="A34" s="29">
        <v>25133.0</v>
      </c>
      <c r="B34" s="30" t="s">
        <v>720</v>
      </c>
      <c r="C34" s="31">
        <v>1855.84</v>
      </c>
      <c r="D34" s="29">
        <v>1.0</v>
      </c>
      <c r="E34" s="31">
        <v>1855.84</v>
      </c>
      <c r="H34" s="29">
        <v>24817.0</v>
      </c>
      <c r="I34" s="33">
        <v>1.0</v>
      </c>
      <c r="J34" s="36">
        <v>58237.78</v>
      </c>
      <c r="K34" s="33">
        <v>1.0</v>
      </c>
      <c r="L34" s="36">
        <v>58237.78</v>
      </c>
    </row>
    <row r="35" ht="22.5" customHeight="1">
      <c r="A35" s="29">
        <v>25136.0</v>
      </c>
      <c r="B35" s="30" t="s">
        <v>737</v>
      </c>
      <c r="C35" s="31">
        <v>12460.98</v>
      </c>
      <c r="D35" s="29">
        <v>1.0</v>
      </c>
      <c r="E35" s="31">
        <v>12460.98</v>
      </c>
      <c r="H35" s="29">
        <v>25506.0</v>
      </c>
      <c r="I35" s="33">
        <v>2.0</v>
      </c>
      <c r="J35" s="36">
        <v>68295.66</v>
      </c>
      <c r="K35" s="33">
        <v>1.0</v>
      </c>
      <c r="L35" s="36">
        <v>68295.66</v>
      </c>
    </row>
    <row r="36" ht="22.5" customHeight="1">
      <c r="A36" s="29">
        <v>25159.0</v>
      </c>
      <c r="B36" s="30" t="s">
        <v>692</v>
      </c>
      <c r="C36" s="31">
        <v>26525.07</v>
      </c>
      <c r="D36" s="29">
        <v>1.0</v>
      </c>
      <c r="E36" s="31">
        <v>26525.07</v>
      </c>
      <c r="H36" s="29">
        <v>25506.0</v>
      </c>
      <c r="I36" s="33">
        <v>2.0</v>
      </c>
      <c r="J36" s="36">
        <v>68295.66</v>
      </c>
      <c r="K36" s="33">
        <v>1.0</v>
      </c>
      <c r="L36" s="36">
        <v>68295.66</v>
      </c>
    </row>
    <row r="37" ht="22.5" customHeight="1">
      <c r="A37" s="29">
        <v>25177.0</v>
      </c>
      <c r="B37" s="30" t="s">
        <v>770</v>
      </c>
      <c r="C37" s="31">
        <v>354265.73</v>
      </c>
      <c r="D37" s="29">
        <v>2.0</v>
      </c>
      <c r="E37" s="31">
        <v>177132.86</v>
      </c>
      <c r="H37" s="29">
        <v>26330.0</v>
      </c>
      <c r="I37" s="33">
        <v>1.0</v>
      </c>
      <c r="J37" s="36">
        <v>73460.48</v>
      </c>
      <c r="K37" s="33">
        <v>1.0</v>
      </c>
      <c r="L37" s="36">
        <v>73460.48</v>
      </c>
    </row>
    <row r="38" ht="22.5" customHeight="1">
      <c r="A38" s="29">
        <v>25181.0</v>
      </c>
      <c r="B38" s="30" t="s">
        <v>789</v>
      </c>
      <c r="C38" s="31">
        <v>14319.39</v>
      </c>
      <c r="D38" s="29">
        <v>1.0</v>
      </c>
      <c r="E38" s="31">
        <v>14319.39</v>
      </c>
      <c r="H38" s="29">
        <v>26201.0</v>
      </c>
      <c r="I38" s="33">
        <v>1.0</v>
      </c>
      <c r="J38" s="36">
        <v>546947.98</v>
      </c>
      <c r="K38" s="33">
        <v>3.0</v>
      </c>
      <c r="L38" s="36">
        <v>182315.99</v>
      </c>
    </row>
    <row r="39" ht="22.5" customHeight="1">
      <c r="A39" s="29">
        <v>25186.0</v>
      </c>
      <c r="B39" s="30" t="s">
        <v>547</v>
      </c>
      <c r="C39" s="31">
        <v>50396.05</v>
      </c>
      <c r="D39" s="29">
        <v>1.0</v>
      </c>
      <c r="E39" s="31">
        <v>50396.05</v>
      </c>
      <c r="H39" s="29">
        <v>25033.0</v>
      </c>
      <c r="I39" s="33">
        <v>1.0</v>
      </c>
      <c r="J39" s="36">
        <v>4978.71</v>
      </c>
      <c r="K39" s="33">
        <v>1.0</v>
      </c>
      <c r="L39" s="36">
        <v>4978.71</v>
      </c>
    </row>
    <row r="40" ht="22.5" customHeight="1">
      <c r="A40" s="29">
        <v>25260.0</v>
      </c>
      <c r="B40" s="30" t="s">
        <v>168</v>
      </c>
      <c r="C40" s="31">
        <v>166393.44</v>
      </c>
      <c r="D40" s="29">
        <v>1.0</v>
      </c>
      <c r="E40" s="31">
        <v>166393.44</v>
      </c>
      <c r="H40" s="29">
        <v>25413.0</v>
      </c>
      <c r="I40" s="33">
        <v>1.0</v>
      </c>
      <c r="J40" s="34"/>
      <c r="K40" s="34"/>
      <c r="L40" s="34"/>
    </row>
    <row r="41" ht="22.5" customHeight="1">
      <c r="A41" s="29">
        <v>25271.0</v>
      </c>
      <c r="B41" s="30" t="s">
        <v>110</v>
      </c>
      <c r="C41" s="31">
        <v>654871.25</v>
      </c>
      <c r="D41" s="29">
        <v>2.0</v>
      </c>
      <c r="E41" s="31">
        <v>327435.63</v>
      </c>
      <c r="H41" s="29">
        <v>26710.0</v>
      </c>
      <c r="I41" s="33">
        <v>1.0</v>
      </c>
      <c r="J41" s="34"/>
      <c r="K41" s="34"/>
      <c r="L41" s="34"/>
    </row>
    <row r="42" ht="22.5" customHeight="1">
      <c r="A42" s="29">
        <v>25276.0</v>
      </c>
      <c r="B42" s="30" t="s">
        <v>240</v>
      </c>
      <c r="C42" s="31">
        <v>328157.36</v>
      </c>
      <c r="D42" s="29">
        <v>2.0</v>
      </c>
      <c r="E42" s="31">
        <v>164078.68</v>
      </c>
      <c r="H42" s="29">
        <v>26335.0</v>
      </c>
      <c r="I42" s="33">
        <v>1.0</v>
      </c>
      <c r="J42" s="34"/>
      <c r="K42" s="34"/>
      <c r="L42" s="34"/>
    </row>
    <row r="43" ht="22.5" customHeight="1">
      <c r="A43" s="29">
        <v>25302.0</v>
      </c>
      <c r="B43" s="30" t="s">
        <v>377</v>
      </c>
      <c r="C43" s="31">
        <v>360034.78</v>
      </c>
      <c r="D43" s="29">
        <v>3.0</v>
      </c>
      <c r="E43" s="31">
        <v>120011.59</v>
      </c>
      <c r="H43" s="29">
        <v>26562.0</v>
      </c>
      <c r="I43" s="33">
        <v>1.0</v>
      </c>
      <c r="J43" s="34"/>
      <c r="K43" s="34"/>
      <c r="L43" s="34"/>
    </row>
    <row r="44" ht="22.5" customHeight="1">
      <c r="A44" s="29">
        <v>25303.0</v>
      </c>
      <c r="B44" s="30" t="s">
        <v>127</v>
      </c>
      <c r="C44" s="31">
        <v>254314.73</v>
      </c>
      <c r="D44" s="29">
        <v>2.0</v>
      </c>
      <c r="E44" s="31">
        <v>127157.37</v>
      </c>
      <c r="H44" s="29">
        <v>24925.0</v>
      </c>
      <c r="I44" s="33">
        <v>1.0</v>
      </c>
      <c r="J44" s="34"/>
      <c r="K44" s="34"/>
      <c r="L44" s="34"/>
    </row>
    <row r="45" ht="22.5" customHeight="1">
      <c r="A45" s="29">
        <v>25304.0</v>
      </c>
      <c r="B45" s="30" t="s">
        <v>377</v>
      </c>
      <c r="C45" s="31">
        <v>236073.17</v>
      </c>
      <c r="D45" s="29">
        <v>2.0</v>
      </c>
      <c r="E45" s="31">
        <v>118036.59</v>
      </c>
      <c r="H45" s="29">
        <v>26033.0</v>
      </c>
      <c r="I45" s="33">
        <v>1.0</v>
      </c>
      <c r="J45" s="34"/>
      <c r="K45" s="34"/>
      <c r="L45" s="34"/>
    </row>
    <row r="46" ht="22.5" customHeight="1">
      <c r="A46" s="29">
        <v>25306.0</v>
      </c>
      <c r="B46" s="30" t="s">
        <v>377</v>
      </c>
      <c r="C46" s="31">
        <v>7370.04</v>
      </c>
      <c r="D46" s="29">
        <v>1.0</v>
      </c>
      <c r="E46" s="31">
        <v>7370.04</v>
      </c>
      <c r="H46" s="29">
        <v>26711.0</v>
      </c>
      <c r="I46" s="33">
        <v>1.0</v>
      </c>
      <c r="J46" s="34"/>
      <c r="K46" s="34"/>
      <c r="L46" s="34"/>
    </row>
    <row r="47" ht="22.5" customHeight="1">
      <c r="A47" s="29">
        <v>25309.0</v>
      </c>
      <c r="B47" s="30" t="s">
        <v>127</v>
      </c>
      <c r="C47" s="31">
        <v>594401.81</v>
      </c>
      <c r="D47" s="29">
        <v>1.0</v>
      </c>
      <c r="E47" s="31">
        <v>594401.81</v>
      </c>
      <c r="H47" s="29">
        <v>26527.0</v>
      </c>
      <c r="I47" s="33">
        <v>1.0</v>
      </c>
      <c r="J47" s="34"/>
      <c r="K47" s="34"/>
      <c r="L47" s="34"/>
    </row>
    <row r="48" ht="22.5" customHeight="1">
      <c r="A48" s="29">
        <v>25312.0</v>
      </c>
      <c r="B48" s="30" t="s">
        <v>377</v>
      </c>
      <c r="C48" s="31">
        <v>161982.54</v>
      </c>
      <c r="D48" s="29">
        <v>1.0</v>
      </c>
      <c r="E48" s="31">
        <v>161982.54</v>
      </c>
      <c r="H48" s="29">
        <v>25508.0</v>
      </c>
      <c r="I48" s="33">
        <v>1.0</v>
      </c>
      <c r="J48" s="36">
        <v>60501.17</v>
      </c>
      <c r="K48" s="33">
        <v>1.0</v>
      </c>
      <c r="L48" s="36">
        <v>60501.17</v>
      </c>
    </row>
    <row r="49" ht="22.5" customHeight="1">
      <c r="A49" s="29">
        <v>25313.0</v>
      </c>
      <c r="B49" s="30" t="s">
        <v>377</v>
      </c>
      <c r="C49" s="31">
        <v>580518.44</v>
      </c>
      <c r="D49" s="29">
        <v>3.0</v>
      </c>
      <c r="E49" s="31">
        <v>193506.15</v>
      </c>
      <c r="H49" s="29">
        <v>25414.0</v>
      </c>
      <c r="I49" s="33">
        <v>2.0</v>
      </c>
      <c r="J49" s="36">
        <v>745442.72</v>
      </c>
      <c r="K49" s="33">
        <v>4.0</v>
      </c>
      <c r="L49" s="36">
        <v>186360.68</v>
      </c>
    </row>
    <row r="50" ht="22.5" customHeight="1">
      <c r="A50" s="29">
        <v>25314.0</v>
      </c>
      <c r="B50" s="30" t="s">
        <v>377</v>
      </c>
      <c r="C50" s="31">
        <v>203751.61</v>
      </c>
      <c r="D50" s="29">
        <v>1.0</v>
      </c>
      <c r="E50" s="31">
        <v>203751.61</v>
      </c>
      <c r="H50" s="29">
        <v>25414.0</v>
      </c>
      <c r="I50" s="33">
        <v>2.0</v>
      </c>
      <c r="J50" s="36">
        <v>745442.72</v>
      </c>
      <c r="K50" s="33">
        <v>4.0</v>
      </c>
      <c r="L50" s="36">
        <v>186360.68</v>
      </c>
    </row>
    <row r="51" ht="22.5" customHeight="1">
      <c r="A51" s="29">
        <v>25315.0</v>
      </c>
      <c r="B51" s="30" t="s">
        <v>377</v>
      </c>
      <c r="C51" s="31">
        <v>167514.21</v>
      </c>
      <c r="D51" s="29">
        <v>1.0</v>
      </c>
      <c r="E51" s="31">
        <v>167514.21</v>
      </c>
      <c r="H51" s="29">
        <v>25306.0</v>
      </c>
      <c r="I51" s="33">
        <v>2.0</v>
      </c>
      <c r="J51" s="36">
        <v>7370.04</v>
      </c>
      <c r="K51" s="33">
        <v>1.0</v>
      </c>
      <c r="L51" s="36">
        <v>7370.04</v>
      </c>
    </row>
    <row r="52" ht="22.5" customHeight="1">
      <c r="A52" s="29">
        <v>25320.0</v>
      </c>
      <c r="B52" s="30" t="s">
        <v>377</v>
      </c>
      <c r="C52" s="31">
        <v>13052.81</v>
      </c>
      <c r="D52" s="29">
        <v>1.0</v>
      </c>
      <c r="E52" s="31">
        <v>13052.81</v>
      </c>
      <c r="H52" s="29">
        <v>25311.0</v>
      </c>
      <c r="I52" s="33">
        <v>1.0</v>
      </c>
      <c r="J52" s="34"/>
      <c r="K52" s="34"/>
      <c r="L52" s="34"/>
    </row>
    <row r="53" ht="22.5" customHeight="1">
      <c r="A53" s="29">
        <v>25401.0</v>
      </c>
      <c r="B53" s="30" t="s">
        <v>25</v>
      </c>
      <c r="C53" s="31">
        <v>1130692.62</v>
      </c>
      <c r="D53" s="29">
        <v>5.0</v>
      </c>
      <c r="E53" s="31">
        <v>226138.52</v>
      </c>
      <c r="H53" s="29">
        <v>25313.0</v>
      </c>
      <c r="I53" s="33">
        <v>1.0</v>
      </c>
      <c r="J53" s="36">
        <v>580518.44</v>
      </c>
      <c r="K53" s="33">
        <v>3.0</v>
      </c>
      <c r="L53" s="36">
        <v>193506.15</v>
      </c>
    </row>
    <row r="54" ht="22.5" customHeight="1">
      <c r="A54" s="29">
        <v>25404.0</v>
      </c>
      <c r="B54" s="30" t="s">
        <v>25</v>
      </c>
      <c r="C54" s="31">
        <v>374198.51</v>
      </c>
      <c r="D54" s="29">
        <v>2.0</v>
      </c>
      <c r="E54" s="31">
        <v>187099.26</v>
      </c>
      <c r="H54" s="29">
        <v>25302.0</v>
      </c>
      <c r="I54" s="33">
        <v>2.0</v>
      </c>
      <c r="J54" s="36">
        <v>360034.78</v>
      </c>
      <c r="K54" s="33">
        <v>3.0</v>
      </c>
      <c r="L54" s="36">
        <v>120011.59</v>
      </c>
    </row>
    <row r="55" ht="22.5" customHeight="1">
      <c r="A55" s="29">
        <v>25405.0</v>
      </c>
      <c r="B55" s="30" t="s">
        <v>25</v>
      </c>
      <c r="C55" s="31">
        <v>82138.56</v>
      </c>
      <c r="D55" s="29">
        <v>1.0</v>
      </c>
      <c r="E55" s="31">
        <v>82138.56</v>
      </c>
      <c r="H55" s="29">
        <v>25306.0</v>
      </c>
      <c r="I55" s="33">
        <v>2.0</v>
      </c>
      <c r="J55" s="36">
        <v>7370.04</v>
      </c>
      <c r="K55" s="33">
        <v>1.0</v>
      </c>
      <c r="L55" s="36">
        <v>7370.04</v>
      </c>
    </row>
    <row r="56" ht="22.5" customHeight="1">
      <c r="A56" s="29">
        <v>25411.0</v>
      </c>
      <c r="B56" s="30" t="s">
        <v>432</v>
      </c>
      <c r="C56" s="31">
        <v>177436.57</v>
      </c>
      <c r="D56" s="29">
        <v>1.0</v>
      </c>
      <c r="E56" s="31">
        <v>177436.57</v>
      </c>
      <c r="H56" s="29">
        <v>25302.0</v>
      </c>
      <c r="I56" s="33">
        <v>2.0</v>
      </c>
      <c r="J56" s="36">
        <v>360034.78</v>
      </c>
      <c r="K56" s="33">
        <v>3.0</v>
      </c>
      <c r="L56" s="36">
        <v>120011.59</v>
      </c>
    </row>
    <row r="57" ht="22.5" customHeight="1">
      <c r="A57" s="29">
        <v>25414.0</v>
      </c>
      <c r="B57" s="30" t="s">
        <v>122</v>
      </c>
      <c r="C57" s="31">
        <v>745442.72</v>
      </c>
      <c r="D57" s="29">
        <v>4.0</v>
      </c>
      <c r="E57" s="31">
        <v>186360.68</v>
      </c>
      <c r="H57" s="29">
        <v>25387.0</v>
      </c>
      <c r="I57" s="33">
        <v>2.0</v>
      </c>
      <c r="J57" s="34"/>
      <c r="K57" s="34"/>
      <c r="L57" s="34"/>
    </row>
    <row r="58" ht="22.5" customHeight="1">
      <c r="A58" s="29">
        <v>25419.0</v>
      </c>
      <c r="B58" s="30" t="s">
        <v>282</v>
      </c>
      <c r="C58" s="31">
        <v>220063.64</v>
      </c>
      <c r="D58" s="29">
        <v>1.0</v>
      </c>
      <c r="E58" s="31">
        <v>220063.64</v>
      </c>
      <c r="H58" s="29">
        <v>25387.0</v>
      </c>
      <c r="I58" s="33">
        <v>2.0</v>
      </c>
      <c r="J58" s="34"/>
      <c r="K58" s="34"/>
      <c r="L58" s="34"/>
    </row>
    <row r="59" ht="22.5" customHeight="1">
      <c r="A59" s="29">
        <v>25427.0</v>
      </c>
      <c r="B59" s="30" t="s">
        <v>515</v>
      </c>
      <c r="C59" s="31">
        <v>104327.51</v>
      </c>
      <c r="D59" s="29">
        <v>1.0</v>
      </c>
      <c r="E59" s="31">
        <v>104327.51</v>
      </c>
      <c r="H59" s="29">
        <v>25312.0</v>
      </c>
      <c r="I59" s="33">
        <v>1.0</v>
      </c>
      <c r="J59" s="36">
        <v>161982.54</v>
      </c>
      <c r="K59" s="33">
        <v>1.0</v>
      </c>
      <c r="L59" s="36">
        <v>161982.54</v>
      </c>
    </row>
    <row r="60" ht="22.5" customHeight="1">
      <c r="A60" s="29">
        <v>25428.0</v>
      </c>
      <c r="B60" s="30" t="s">
        <v>277</v>
      </c>
      <c r="C60" s="31">
        <v>620831.24</v>
      </c>
      <c r="D60" s="29">
        <v>1.0</v>
      </c>
      <c r="E60" s="31">
        <v>620831.24</v>
      </c>
      <c r="H60" s="29">
        <v>25035.0</v>
      </c>
      <c r="I60" s="33">
        <v>1.0</v>
      </c>
      <c r="J60" s="34"/>
      <c r="K60" s="34"/>
      <c r="L60" s="34"/>
    </row>
    <row r="61" ht="22.5" customHeight="1">
      <c r="A61" s="29">
        <v>25438.0</v>
      </c>
      <c r="B61" s="30" t="s">
        <v>579</v>
      </c>
      <c r="C61" s="31">
        <v>67372.61</v>
      </c>
      <c r="D61" s="29">
        <v>1.0</v>
      </c>
      <c r="E61" s="31">
        <v>67372.61</v>
      </c>
      <c r="H61" s="29">
        <v>25315.0</v>
      </c>
      <c r="I61" s="33">
        <v>2.0</v>
      </c>
      <c r="J61" s="36">
        <v>167514.21</v>
      </c>
      <c r="K61" s="33">
        <v>1.0</v>
      </c>
      <c r="L61" s="36">
        <v>167514.21</v>
      </c>
    </row>
    <row r="62" ht="22.5" customHeight="1">
      <c r="A62" s="29">
        <v>25443.0</v>
      </c>
      <c r="B62" s="30" t="s">
        <v>364</v>
      </c>
      <c r="C62" s="31">
        <v>50296.53</v>
      </c>
      <c r="D62" s="29">
        <v>1.0</v>
      </c>
      <c r="E62" s="31">
        <v>50296.53</v>
      </c>
      <c r="H62" s="29">
        <v>26034.0</v>
      </c>
      <c r="I62" s="33">
        <v>1.0</v>
      </c>
      <c r="J62" s="36">
        <v>90125.63</v>
      </c>
      <c r="K62" s="33">
        <v>1.0</v>
      </c>
      <c r="L62" s="36">
        <v>90125.63</v>
      </c>
    </row>
    <row r="63" ht="22.5" customHeight="1">
      <c r="A63" s="29">
        <v>25504.0</v>
      </c>
      <c r="B63" s="30" t="s">
        <v>64</v>
      </c>
      <c r="C63" s="31">
        <v>1011376.53</v>
      </c>
      <c r="D63" s="29">
        <v>3.0</v>
      </c>
      <c r="E63" s="31">
        <v>337125.51</v>
      </c>
      <c r="H63" s="29">
        <v>26301.0</v>
      </c>
      <c r="I63" s="33">
        <v>6.0</v>
      </c>
      <c r="J63" s="36">
        <v>2414179.91</v>
      </c>
      <c r="K63" s="33">
        <v>5.0</v>
      </c>
      <c r="L63" s="36">
        <v>482835.98</v>
      </c>
    </row>
    <row r="64" ht="22.5" customHeight="1">
      <c r="A64" s="29">
        <v>2.55041232E8</v>
      </c>
      <c r="B64" s="30" t="s">
        <v>64</v>
      </c>
      <c r="C64" s="31">
        <v>13354.86</v>
      </c>
      <c r="D64" s="29">
        <v>1.0</v>
      </c>
      <c r="E64" s="31">
        <v>13354.86</v>
      </c>
      <c r="H64" s="29">
        <v>26301.0</v>
      </c>
      <c r="I64" s="33">
        <v>6.0</v>
      </c>
      <c r="J64" s="36">
        <v>2414179.91</v>
      </c>
      <c r="K64" s="33">
        <v>5.0</v>
      </c>
      <c r="L64" s="36">
        <v>482835.98</v>
      </c>
    </row>
    <row r="65" ht="22.5" customHeight="1">
      <c r="A65" s="29">
        <v>25506.0</v>
      </c>
      <c r="B65" s="30" t="s">
        <v>760</v>
      </c>
      <c r="C65" s="31">
        <v>68295.66</v>
      </c>
      <c r="D65" s="29">
        <v>1.0</v>
      </c>
      <c r="E65" s="31">
        <v>68295.66</v>
      </c>
      <c r="H65" s="29">
        <v>26301.0</v>
      </c>
      <c r="I65" s="33">
        <v>6.0</v>
      </c>
      <c r="J65" s="36">
        <v>2414179.91</v>
      </c>
      <c r="K65" s="33">
        <v>5.0</v>
      </c>
      <c r="L65" s="36">
        <v>482835.98</v>
      </c>
    </row>
    <row r="66" ht="22.5" customHeight="1">
      <c r="A66" s="29">
        <v>25507.0</v>
      </c>
      <c r="B66" s="30" t="s">
        <v>873</v>
      </c>
      <c r="C66" s="31">
        <v>126910.18</v>
      </c>
      <c r="D66" s="29">
        <v>1.0</v>
      </c>
      <c r="E66" s="31">
        <v>126910.18</v>
      </c>
      <c r="H66" s="29">
        <v>26301.0</v>
      </c>
      <c r="I66" s="33">
        <v>6.0</v>
      </c>
      <c r="J66" s="36">
        <v>2414179.91</v>
      </c>
      <c r="K66" s="33">
        <v>5.0</v>
      </c>
      <c r="L66" s="36">
        <v>482835.98</v>
      </c>
    </row>
    <row r="67" ht="22.5" customHeight="1">
      <c r="A67" s="29">
        <v>25508.0</v>
      </c>
      <c r="B67" s="30" t="s">
        <v>962</v>
      </c>
      <c r="C67" s="31">
        <v>60501.17</v>
      </c>
      <c r="D67" s="29">
        <v>1.0</v>
      </c>
      <c r="E67" s="31">
        <v>60501.17</v>
      </c>
      <c r="H67" s="29">
        <v>26301.0</v>
      </c>
      <c r="I67" s="33">
        <v>6.0</v>
      </c>
      <c r="J67" s="36">
        <v>2414179.91</v>
      </c>
      <c r="K67" s="33">
        <v>5.0</v>
      </c>
      <c r="L67" s="36">
        <v>482835.98</v>
      </c>
    </row>
    <row r="68" ht="22.5" customHeight="1">
      <c r="A68" s="29">
        <v>25512.0</v>
      </c>
      <c r="B68" s="30" t="s">
        <v>1117</v>
      </c>
      <c r="C68" s="31">
        <v>287.73</v>
      </c>
      <c r="D68" s="29">
        <v>1.0</v>
      </c>
      <c r="E68" s="31">
        <v>287.73</v>
      </c>
      <c r="H68" s="29">
        <v>26301.0</v>
      </c>
      <c r="I68" s="33">
        <v>6.0</v>
      </c>
      <c r="J68" s="36">
        <v>2414179.91</v>
      </c>
      <c r="K68" s="33">
        <v>5.0</v>
      </c>
      <c r="L68" s="36">
        <v>482835.98</v>
      </c>
    </row>
    <row r="69" ht="22.5" customHeight="1">
      <c r="A69" s="29">
        <v>25514.0</v>
      </c>
      <c r="B69" s="30" t="s">
        <v>1122</v>
      </c>
      <c r="C69" s="31">
        <v>12533.58</v>
      </c>
      <c r="D69" s="29">
        <v>1.0</v>
      </c>
      <c r="E69" s="31">
        <v>12533.58</v>
      </c>
      <c r="H69" s="29">
        <v>25043.0</v>
      </c>
      <c r="I69" s="33">
        <v>1.0</v>
      </c>
      <c r="J69" s="34"/>
      <c r="K69" s="34"/>
      <c r="L69" s="34"/>
    </row>
    <row r="70" ht="22.5" customHeight="1">
      <c r="A70" s="29">
        <v>25523.0</v>
      </c>
      <c r="B70" s="30" t="s">
        <v>584</v>
      </c>
      <c r="C70" s="31">
        <v>15553.26</v>
      </c>
      <c r="D70" s="29">
        <v>2.0</v>
      </c>
      <c r="E70" s="31">
        <v>7776.63</v>
      </c>
      <c r="H70" s="29">
        <v>25045.0</v>
      </c>
      <c r="I70" s="33">
        <v>1.0</v>
      </c>
      <c r="J70" s="36">
        <v>44707.2</v>
      </c>
      <c r="K70" s="33">
        <v>1.0</v>
      </c>
      <c r="L70" s="36">
        <v>44707.2</v>
      </c>
    </row>
    <row r="71" ht="22.5" customHeight="1">
      <c r="A71" s="29">
        <v>25524.0</v>
      </c>
      <c r="B71" s="30" t="s">
        <v>947</v>
      </c>
      <c r="C71" s="31">
        <v>24676.59</v>
      </c>
      <c r="D71" s="29">
        <v>1.0</v>
      </c>
      <c r="E71" s="31">
        <v>24676.59</v>
      </c>
      <c r="H71" s="29">
        <v>25823.0</v>
      </c>
      <c r="I71" s="33">
        <v>1.0</v>
      </c>
      <c r="J71" s="34"/>
      <c r="K71" s="34"/>
      <c r="L71" s="34"/>
    </row>
    <row r="72" ht="22.5" customHeight="1">
      <c r="A72" s="29">
        <v>25526.0</v>
      </c>
      <c r="B72" s="30" t="s">
        <v>217</v>
      </c>
      <c r="C72" s="31">
        <v>389237.21</v>
      </c>
      <c r="D72" s="29">
        <v>1.0</v>
      </c>
      <c r="E72" s="31">
        <v>389237.21</v>
      </c>
      <c r="H72" s="29">
        <v>25825.0</v>
      </c>
      <c r="I72" s="33">
        <v>1.0</v>
      </c>
      <c r="J72" s="34"/>
      <c r="K72" s="34"/>
      <c r="L72" s="34"/>
    </row>
    <row r="73" ht="22.5" customHeight="1">
      <c r="A73" s="29">
        <v>25530.0</v>
      </c>
      <c r="B73" s="30" t="s">
        <v>868</v>
      </c>
      <c r="C73" s="31">
        <v>4141.41</v>
      </c>
      <c r="D73" s="29">
        <v>1.0</v>
      </c>
      <c r="E73" s="31">
        <v>4141.41</v>
      </c>
      <c r="H73" s="29">
        <v>26206.0</v>
      </c>
      <c r="I73" s="33">
        <v>1.0</v>
      </c>
      <c r="J73" s="36">
        <v>32758.8</v>
      </c>
      <c r="K73" s="33">
        <v>1.0</v>
      </c>
      <c r="L73" s="36">
        <v>32758.8</v>
      </c>
    </row>
    <row r="74" ht="22.5" customHeight="1">
      <c r="A74" s="29">
        <v>25541.0</v>
      </c>
      <c r="B74" s="30" t="s">
        <v>591</v>
      </c>
      <c r="C74" s="31">
        <v>45391.14</v>
      </c>
      <c r="D74" s="29">
        <v>1.0</v>
      </c>
      <c r="E74" s="31">
        <v>45391.14</v>
      </c>
      <c r="H74" s="29">
        <v>26205.0</v>
      </c>
      <c r="I74" s="33">
        <v>2.0</v>
      </c>
      <c r="J74" s="36">
        <v>69336.21</v>
      </c>
      <c r="K74" s="33">
        <v>1.0</v>
      </c>
      <c r="L74" s="36">
        <v>69336.21</v>
      </c>
    </row>
    <row r="75" ht="22.5" customHeight="1">
      <c r="A75" s="29">
        <v>25550.0</v>
      </c>
      <c r="B75" s="30" t="s">
        <v>1143</v>
      </c>
      <c r="C75" s="31">
        <v>124617.71</v>
      </c>
      <c r="D75" s="29">
        <v>1.0</v>
      </c>
      <c r="E75" s="31">
        <v>124617.71</v>
      </c>
      <c r="H75" s="29">
        <v>26205.0</v>
      </c>
      <c r="I75" s="33">
        <v>2.0</v>
      </c>
      <c r="J75" s="36">
        <v>69336.21</v>
      </c>
      <c r="K75" s="33">
        <v>1.0</v>
      </c>
      <c r="L75" s="36">
        <v>69336.21</v>
      </c>
    </row>
    <row r="76" ht="22.5" customHeight="1">
      <c r="A76" s="29">
        <v>25559.0</v>
      </c>
      <c r="B76" s="30" t="s">
        <v>899</v>
      </c>
      <c r="C76" s="31">
        <v>12817.34</v>
      </c>
      <c r="D76" s="29">
        <v>1.0</v>
      </c>
      <c r="E76" s="31">
        <v>12817.34</v>
      </c>
      <c r="H76" s="29">
        <v>25510.0</v>
      </c>
      <c r="I76" s="33">
        <v>1.0</v>
      </c>
      <c r="J76" s="34"/>
      <c r="K76" s="34"/>
      <c r="L76" s="34"/>
    </row>
    <row r="77" ht="22.5" customHeight="1">
      <c r="A77" s="29">
        <v>25560.0</v>
      </c>
      <c r="B77" s="30" t="s">
        <v>452</v>
      </c>
      <c r="C77" s="31">
        <v>547898.56</v>
      </c>
      <c r="D77" s="29">
        <v>2.0</v>
      </c>
      <c r="E77" s="31">
        <v>273949.28</v>
      </c>
      <c r="H77" s="29">
        <v>25831.0</v>
      </c>
      <c r="I77" s="33">
        <v>1.0</v>
      </c>
      <c r="J77" s="34"/>
      <c r="K77" s="34"/>
      <c r="L77" s="34"/>
    </row>
    <row r="78" ht="22.5" customHeight="1">
      <c r="A78" s="29">
        <v>25570.0</v>
      </c>
      <c r="B78" s="30" t="s">
        <v>256</v>
      </c>
      <c r="C78" s="31">
        <v>356758.18</v>
      </c>
      <c r="D78" s="29">
        <v>1.0</v>
      </c>
      <c r="E78" s="31">
        <v>356758.18</v>
      </c>
      <c r="H78" s="29">
        <v>25832.0</v>
      </c>
      <c r="I78" s="33">
        <v>1.0</v>
      </c>
      <c r="J78" s="36">
        <v>25458.06</v>
      </c>
      <c r="K78" s="33">
        <v>1.0</v>
      </c>
      <c r="L78" s="36">
        <v>25458.06</v>
      </c>
    </row>
    <row r="79" ht="22.5" customHeight="1">
      <c r="A79" s="29">
        <v>25571.0</v>
      </c>
      <c r="B79" s="30" t="s">
        <v>1173</v>
      </c>
      <c r="C79" s="31">
        <v>68295.66</v>
      </c>
      <c r="D79" s="29">
        <v>1.0</v>
      </c>
      <c r="E79" s="31">
        <v>68295.66</v>
      </c>
      <c r="H79" s="29">
        <v>25053.0</v>
      </c>
      <c r="I79" s="33">
        <v>1.0</v>
      </c>
      <c r="J79" s="36">
        <v>855112.76</v>
      </c>
      <c r="K79" s="33">
        <v>2.0</v>
      </c>
      <c r="L79" s="36">
        <v>427556.38</v>
      </c>
    </row>
    <row r="80" ht="22.5" customHeight="1">
      <c r="A80" s="29">
        <v>25601.0</v>
      </c>
      <c r="B80" s="30" t="s">
        <v>153</v>
      </c>
      <c r="C80" s="31">
        <v>1077926.4</v>
      </c>
      <c r="D80" s="29">
        <v>2.0</v>
      </c>
      <c r="E80" s="31">
        <v>538963.2</v>
      </c>
      <c r="H80" s="29">
        <v>26260.0</v>
      </c>
      <c r="I80" s="33">
        <v>1.0</v>
      </c>
      <c r="J80" s="36">
        <v>29715.98</v>
      </c>
      <c r="K80" s="33">
        <v>1.0</v>
      </c>
      <c r="L80" s="36">
        <v>29715.98</v>
      </c>
    </row>
    <row r="81" ht="22.5" customHeight="1">
      <c r="A81" s="29">
        <v>25621.0</v>
      </c>
      <c r="B81" s="30" t="s">
        <v>977</v>
      </c>
      <c r="C81" s="31">
        <v>176751.56</v>
      </c>
      <c r="D81" s="29">
        <v>1.0</v>
      </c>
      <c r="E81" s="31">
        <v>176751.56</v>
      </c>
      <c r="H81" s="29">
        <v>25670.0</v>
      </c>
      <c r="I81" s="33">
        <v>3.0</v>
      </c>
      <c r="J81" s="34"/>
      <c r="K81" s="34"/>
      <c r="L81" s="34"/>
    </row>
    <row r="82" ht="22.5" customHeight="1">
      <c r="A82" s="29">
        <v>25635.0</v>
      </c>
      <c r="B82" s="30" t="s">
        <v>958</v>
      </c>
      <c r="C82" s="31">
        <v>71021.3</v>
      </c>
      <c r="D82" s="29">
        <v>1.0</v>
      </c>
      <c r="E82" s="31">
        <v>71021.3</v>
      </c>
      <c r="H82" s="29">
        <v>25670.0</v>
      </c>
      <c r="I82" s="33">
        <v>3.0</v>
      </c>
      <c r="J82" s="34"/>
      <c r="K82" s="34"/>
      <c r="L82" s="34"/>
    </row>
    <row r="83" ht="22.5" customHeight="1">
      <c r="A83" s="29">
        <v>25637.0</v>
      </c>
      <c r="B83" s="30" t="s">
        <v>1182</v>
      </c>
      <c r="C83" s="31">
        <v>611182.35</v>
      </c>
      <c r="D83" s="29">
        <v>1.0</v>
      </c>
      <c r="E83" s="31">
        <v>611182.35</v>
      </c>
      <c r="H83" s="29">
        <v>25059.0</v>
      </c>
      <c r="I83" s="33">
        <v>1.0</v>
      </c>
      <c r="J83" s="34"/>
      <c r="K83" s="34"/>
      <c r="L83" s="34"/>
    </row>
    <row r="84" ht="22.5" customHeight="1">
      <c r="A84" s="29">
        <v>25669.0</v>
      </c>
      <c r="B84" s="30" t="s">
        <v>1184</v>
      </c>
      <c r="C84" s="31">
        <v>37600.74</v>
      </c>
      <c r="D84" s="29">
        <v>1.0</v>
      </c>
      <c r="E84" s="31">
        <v>37600.74</v>
      </c>
      <c r="H84" s="29">
        <v>25064.0</v>
      </c>
      <c r="I84" s="33">
        <v>1.0</v>
      </c>
      <c r="J84" s="36">
        <v>205262.8</v>
      </c>
      <c r="K84" s="33">
        <v>1.0</v>
      </c>
      <c r="L84" s="36">
        <v>205262.8</v>
      </c>
    </row>
    <row r="85" ht="22.5" customHeight="1">
      <c r="A85" s="29">
        <v>25701.0</v>
      </c>
      <c r="B85" s="30" t="s">
        <v>58</v>
      </c>
      <c r="C85" s="31">
        <v>543715.91</v>
      </c>
      <c r="D85" s="29">
        <v>2.0</v>
      </c>
      <c r="E85" s="31">
        <v>271857.96</v>
      </c>
      <c r="H85" s="29">
        <v>25067.0</v>
      </c>
      <c r="I85" s="33">
        <v>1.0</v>
      </c>
      <c r="J85" s="34"/>
      <c r="K85" s="34"/>
      <c r="L85" s="34"/>
    </row>
    <row r="86" ht="22.5" customHeight="1">
      <c r="A86" s="29">
        <v>25702.0</v>
      </c>
      <c r="B86" s="30" t="s">
        <v>58</v>
      </c>
      <c r="C86" s="31">
        <v>228137.46</v>
      </c>
      <c r="D86" s="29">
        <v>1.0</v>
      </c>
      <c r="E86" s="31">
        <v>228137.46</v>
      </c>
      <c r="H86" s="29">
        <v>25070.0</v>
      </c>
      <c r="I86" s="33">
        <v>1.0</v>
      </c>
      <c r="J86" s="36">
        <v>24325.57</v>
      </c>
      <c r="K86" s="33">
        <v>1.0</v>
      </c>
      <c r="L86" s="36">
        <v>24325.57</v>
      </c>
    </row>
    <row r="87" ht="22.5" customHeight="1">
      <c r="A87" s="29">
        <v>25704.0</v>
      </c>
      <c r="B87" s="30" t="s">
        <v>58</v>
      </c>
      <c r="C87" s="31">
        <v>11507.11</v>
      </c>
      <c r="D87" s="29">
        <v>1.0</v>
      </c>
      <c r="E87" s="31">
        <v>11507.11</v>
      </c>
      <c r="H87" s="29">
        <v>26143.0</v>
      </c>
      <c r="I87" s="33">
        <v>1.0</v>
      </c>
      <c r="J87" s="36">
        <v>54753.94</v>
      </c>
      <c r="K87" s="33">
        <v>1.0</v>
      </c>
      <c r="L87" s="36">
        <v>54753.94</v>
      </c>
    </row>
    <row r="88" ht="22.5" customHeight="1">
      <c r="A88" s="29">
        <v>25705.0</v>
      </c>
      <c r="B88" s="30" t="s">
        <v>58</v>
      </c>
      <c r="C88" s="31">
        <v>787865.55</v>
      </c>
      <c r="D88" s="29">
        <v>3.0</v>
      </c>
      <c r="E88" s="31">
        <v>262621.85</v>
      </c>
      <c r="H88" s="29">
        <v>26241.0</v>
      </c>
      <c r="I88" s="33">
        <v>2.0</v>
      </c>
      <c r="J88" s="36">
        <v>1068240.72</v>
      </c>
      <c r="K88" s="33">
        <v>4.0</v>
      </c>
      <c r="L88" s="36">
        <v>267060.18</v>
      </c>
    </row>
    <row r="89" ht="22.5" customHeight="1">
      <c r="A89" s="29">
        <v>25801.0</v>
      </c>
      <c r="B89" s="30" t="s">
        <v>224</v>
      </c>
      <c r="C89" s="31">
        <v>1035760.53</v>
      </c>
      <c r="D89" s="29">
        <v>4.0</v>
      </c>
      <c r="E89" s="31">
        <v>258940.13</v>
      </c>
      <c r="H89" s="29">
        <v>26241.0</v>
      </c>
      <c r="I89" s="33">
        <v>2.0</v>
      </c>
      <c r="J89" s="36">
        <v>1068240.72</v>
      </c>
      <c r="K89" s="33">
        <v>4.0</v>
      </c>
      <c r="L89" s="36">
        <v>267060.18</v>
      </c>
    </row>
    <row r="90" ht="22.5" customHeight="1">
      <c r="A90" s="29">
        <v>25813.0</v>
      </c>
      <c r="B90" s="30" t="s">
        <v>461</v>
      </c>
      <c r="C90" s="31">
        <v>640996.36</v>
      </c>
      <c r="D90" s="29">
        <v>1.0</v>
      </c>
      <c r="E90" s="31">
        <v>640996.36</v>
      </c>
      <c r="H90" s="29">
        <v>25071.0</v>
      </c>
      <c r="I90" s="33">
        <v>2.0</v>
      </c>
      <c r="J90" s="36">
        <v>309825.16</v>
      </c>
      <c r="K90" s="33">
        <v>2.0</v>
      </c>
      <c r="L90" s="36">
        <v>154912.58</v>
      </c>
    </row>
    <row r="91" ht="22.5" customHeight="1">
      <c r="A91" s="29">
        <v>25832.0</v>
      </c>
      <c r="B91" s="30" t="s">
        <v>811</v>
      </c>
      <c r="C91" s="31">
        <v>25458.06</v>
      </c>
      <c r="D91" s="29">
        <v>1.0</v>
      </c>
      <c r="E91" s="31">
        <v>25458.06</v>
      </c>
      <c r="H91" s="29">
        <v>25071.0</v>
      </c>
      <c r="I91" s="33">
        <v>2.0</v>
      </c>
      <c r="J91" s="36">
        <v>309825.16</v>
      </c>
      <c r="K91" s="33">
        <v>2.0</v>
      </c>
      <c r="L91" s="36">
        <v>154912.58</v>
      </c>
    </row>
    <row r="92" ht="22.5" customHeight="1">
      <c r="A92" s="29">
        <v>25840.0</v>
      </c>
      <c r="B92" s="30" t="s">
        <v>72</v>
      </c>
      <c r="C92" s="31">
        <v>684857.02</v>
      </c>
      <c r="D92" s="29">
        <v>1.0</v>
      </c>
      <c r="E92" s="31">
        <v>684857.02</v>
      </c>
      <c r="H92" s="29">
        <v>26568.0</v>
      </c>
      <c r="I92" s="33">
        <v>1.0</v>
      </c>
      <c r="J92" s="34"/>
      <c r="K92" s="34"/>
      <c r="L92" s="34"/>
    </row>
    <row r="93" ht="22.5" customHeight="1">
      <c r="A93" s="29">
        <v>25844.0</v>
      </c>
      <c r="B93" s="30" t="s">
        <v>1018</v>
      </c>
      <c r="C93" s="31">
        <v>26719.83</v>
      </c>
      <c r="D93" s="29">
        <v>1.0</v>
      </c>
      <c r="E93" s="31">
        <v>26719.83</v>
      </c>
      <c r="H93" s="29">
        <v>26554.0</v>
      </c>
      <c r="I93" s="33">
        <v>4.0</v>
      </c>
      <c r="J93" s="36">
        <v>997422.48</v>
      </c>
      <c r="K93" s="33">
        <v>5.0</v>
      </c>
      <c r="L93" s="36">
        <v>199484.5</v>
      </c>
    </row>
    <row r="94" ht="22.5" customHeight="1">
      <c r="A94" s="29">
        <v>25854.0</v>
      </c>
      <c r="B94" s="30" t="s">
        <v>916</v>
      </c>
      <c r="C94" s="31">
        <v>31674.0</v>
      </c>
      <c r="D94" s="29">
        <v>1.0</v>
      </c>
      <c r="E94" s="31">
        <v>31674.0</v>
      </c>
      <c r="H94" s="29">
        <v>26554.0</v>
      </c>
      <c r="I94" s="33">
        <v>4.0</v>
      </c>
      <c r="J94" s="36">
        <v>997422.48</v>
      </c>
      <c r="K94" s="33">
        <v>5.0</v>
      </c>
      <c r="L94" s="36">
        <v>199484.5</v>
      </c>
    </row>
    <row r="95" ht="22.5" customHeight="1">
      <c r="A95" s="29">
        <v>25873.0</v>
      </c>
      <c r="B95" s="30" t="s">
        <v>1209</v>
      </c>
      <c r="C95" s="31">
        <v>473260.53</v>
      </c>
      <c r="D95" s="29">
        <v>1.0</v>
      </c>
      <c r="E95" s="31">
        <v>473260.53</v>
      </c>
      <c r="H95" s="29">
        <v>26554.0</v>
      </c>
      <c r="I95" s="33">
        <v>4.0</v>
      </c>
      <c r="J95" s="36">
        <v>997422.48</v>
      </c>
      <c r="K95" s="33">
        <v>5.0</v>
      </c>
      <c r="L95" s="36">
        <v>199484.5</v>
      </c>
    </row>
    <row r="96" ht="22.5" customHeight="1">
      <c r="A96" s="29">
        <v>25882.0</v>
      </c>
      <c r="B96" s="30" t="s">
        <v>894</v>
      </c>
      <c r="C96" s="31">
        <v>18714.0</v>
      </c>
      <c r="D96" s="29">
        <v>1.0</v>
      </c>
      <c r="E96" s="31">
        <v>18714.0</v>
      </c>
      <c r="H96" s="29">
        <v>25419.0</v>
      </c>
      <c r="I96" s="33">
        <v>1.0</v>
      </c>
      <c r="J96" s="36">
        <v>220063.64</v>
      </c>
      <c r="K96" s="33">
        <v>1.0</v>
      </c>
      <c r="L96" s="36">
        <v>220063.64</v>
      </c>
    </row>
    <row r="97" ht="22.5" customHeight="1">
      <c r="A97" s="29">
        <v>25901.0</v>
      </c>
      <c r="B97" s="30" t="s">
        <v>310</v>
      </c>
      <c r="C97" s="31">
        <v>239586.35</v>
      </c>
      <c r="D97" s="29">
        <v>2.0</v>
      </c>
      <c r="E97" s="31">
        <v>119793.18</v>
      </c>
      <c r="H97" s="29">
        <v>25840.0</v>
      </c>
      <c r="I97" s="33">
        <v>1.0</v>
      </c>
      <c r="J97" s="36">
        <v>684857.02</v>
      </c>
      <c r="K97" s="33">
        <v>1.0</v>
      </c>
      <c r="L97" s="36">
        <v>684857.02</v>
      </c>
    </row>
    <row r="98" ht="22.5" customHeight="1">
      <c r="A98" s="29">
        <v>25921.0</v>
      </c>
      <c r="B98" s="30" t="s">
        <v>465</v>
      </c>
      <c r="C98" s="31">
        <v>96217.67</v>
      </c>
      <c r="D98" s="29">
        <v>1.0</v>
      </c>
      <c r="E98" s="31">
        <v>96217.67</v>
      </c>
      <c r="H98" s="29">
        <v>26347.0</v>
      </c>
      <c r="I98" s="33">
        <v>1.0</v>
      </c>
      <c r="J98" s="36">
        <v>730048.76</v>
      </c>
      <c r="K98" s="33">
        <v>1.0</v>
      </c>
      <c r="L98" s="36">
        <v>730048.76</v>
      </c>
    </row>
    <row r="99" ht="22.5" customHeight="1">
      <c r="A99" s="29">
        <v>25951.0</v>
      </c>
      <c r="B99" s="30" t="s">
        <v>485</v>
      </c>
      <c r="C99" s="31">
        <v>173502.03</v>
      </c>
      <c r="D99" s="29">
        <v>2.0</v>
      </c>
      <c r="E99" s="31">
        <v>86751.01</v>
      </c>
      <c r="H99" s="29">
        <v>26719.0</v>
      </c>
      <c r="I99" s="33">
        <v>1.0</v>
      </c>
      <c r="J99" s="34"/>
      <c r="K99" s="34"/>
      <c r="L99" s="34"/>
    </row>
    <row r="100" ht="22.5" customHeight="1">
      <c r="A100" s="29">
        <v>25962.0</v>
      </c>
      <c r="B100" s="30" t="s">
        <v>320</v>
      </c>
      <c r="C100" s="31">
        <v>397740.46</v>
      </c>
      <c r="D100" s="29">
        <v>1.0</v>
      </c>
      <c r="E100" s="31">
        <v>397740.46</v>
      </c>
      <c r="H100" s="29">
        <v>25514.0</v>
      </c>
      <c r="I100" s="33">
        <v>1.0</v>
      </c>
      <c r="J100" s="36">
        <v>12533.58</v>
      </c>
      <c r="K100" s="33">
        <v>1.0</v>
      </c>
      <c r="L100" s="36">
        <v>12533.58</v>
      </c>
    </row>
    <row r="101" ht="22.5" customHeight="1">
      <c r="A101" s="29">
        <v>25989.0</v>
      </c>
      <c r="B101" s="30" t="s">
        <v>1225</v>
      </c>
      <c r="C101" s="31">
        <v>12729.03</v>
      </c>
      <c r="D101" s="29">
        <v>1.0</v>
      </c>
      <c r="E101" s="31">
        <v>12729.03</v>
      </c>
      <c r="H101" s="29">
        <v>25081.0</v>
      </c>
      <c r="I101" s="33">
        <v>1.0</v>
      </c>
      <c r="J101" s="34"/>
      <c r="K101" s="34"/>
      <c r="L101" s="34"/>
    </row>
    <row r="102" ht="22.5" customHeight="1">
      <c r="A102" s="29">
        <v>26003.0</v>
      </c>
      <c r="B102" s="30" t="s">
        <v>444</v>
      </c>
      <c r="C102" s="31">
        <v>716540.35</v>
      </c>
      <c r="D102" s="29">
        <v>3.0</v>
      </c>
      <c r="E102" s="31">
        <v>238846.78</v>
      </c>
      <c r="H102" s="29">
        <v>24938.0</v>
      </c>
      <c r="I102" s="33">
        <v>1.0</v>
      </c>
      <c r="J102" s="34"/>
      <c r="K102" s="34"/>
      <c r="L102" s="34"/>
    </row>
    <row r="103" ht="22.5" customHeight="1">
      <c r="A103" s="29">
        <v>26034.0</v>
      </c>
      <c r="B103" s="30" t="s">
        <v>926</v>
      </c>
      <c r="C103" s="31">
        <v>90125.63</v>
      </c>
      <c r="D103" s="29">
        <v>1.0</v>
      </c>
      <c r="E103" s="31">
        <v>90125.63</v>
      </c>
      <c r="H103" s="29">
        <v>26218.0</v>
      </c>
      <c r="I103" s="33">
        <v>1.0</v>
      </c>
      <c r="J103" s="34"/>
      <c r="K103" s="34"/>
      <c r="L103" s="34"/>
    </row>
    <row r="104" ht="22.5" customHeight="1">
      <c r="A104" s="29">
        <v>26037.0</v>
      </c>
      <c r="B104" s="30" t="s">
        <v>681</v>
      </c>
      <c r="C104" s="31">
        <v>21663.84</v>
      </c>
      <c r="D104" s="29">
        <v>1.0</v>
      </c>
      <c r="E104" s="31">
        <v>21663.84</v>
      </c>
      <c r="H104" s="29">
        <v>25515.0</v>
      </c>
      <c r="I104" s="33">
        <v>1.0</v>
      </c>
      <c r="J104" s="34"/>
      <c r="K104" s="34"/>
      <c r="L104" s="34"/>
    </row>
    <row r="105" ht="22.5" customHeight="1">
      <c r="A105" s="29">
        <v>26041.0</v>
      </c>
      <c r="B105" s="30" t="s">
        <v>163</v>
      </c>
      <c r="C105" s="31">
        <v>700766.34</v>
      </c>
      <c r="D105" s="29">
        <v>2.0</v>
      </c>
      <c r="E105" s="31">
        <v>350383.17</v>
      </c>
      <c r="H105" s="29">
        <v>26624.0</v>
      </c>
      <c r="I105" s="33">
        <v>1.0</v>
      </c>
      <c r="J105" s="36">
        <v>22589.97</v>
      </c>
      <c r="K105" s="33">
        <v>2.0</v>
      </c>
      <c r="L105" s="36">
        <v>11294.99</v>
      </c>
    </row>
    <row r="106" ht="22.5" customHeight="1">
      <c r="A106" s="29">
        <v>26047.0</v>
      </c>
      <c r="B106" s="30" t="s">
        <v>920</v>
      </c>
      <c r="C106" s="31">
        <v>24998.25</v>
      </c>
      <c r="D106" s="29">
        <v>1.0</v>
      </c>
      <c r="E106" s="31">
        <v>24998.25</v>
      </c>
      <c r="H106" s="29">
        <v>25517.0</v>
      </c>
      <c r="I106" s="33">
        <v>1.0</v>
      </c>
      <c r="J106" s="34"/>
      <c r="K106" s="34"/>
      <c r="L106" s="34"/>
    </row>
    <row r="107" ht="22.5" customHeight="1">
      <c r="A107" s="29">
        <v>26059.0</v>
      </c>
      <c r="B107" s="30" t="s">
        <v>205</v>
      </c>
      <c r="C107" s="31">
        <v>210454.13</v>
      </c>
      <c r="D107" s="29">
        <v>1.0</v>
      </c>
      <c r="E107" s="31">
        <v>210454.13</v>
      </c>
      <c r="H107" s="29">
        <v>25420.0</v>
      </c>
      <c r="I107" s="33">
        <v>1.0</v>
      </c>
      <c r="J107" s="34"/>
      <c r="K107" s="34"/>
      <c r="L107" s="34"/>
    </row>
    <row r="108" ht="22.5" customHeight="1">
      <c r="A108" s="29">
        <v>26062.0</v>
      </c>
      <c r="B108" s="30" t="s">
        <v>53</v>
      </c>
      <c r="C108" s="31">
        <v>447180.09</v>
      </c>
      <c r="D108" s="29">
        <v>3.0</v>
      </c>
      <c r="E108" s="31">
        <v>149060.03</v>
      </c>
      <c r="H108" s="29">
        <v>25843.0</v>
      </c>
      <c r="I108" s="33">
        <v>1.0</v>
      </c>
      <c r="J108" s="34"/>
      <c r="K108" s="34"/>
      <c r="L108" s="34"/>
    </row>
    <row r="109" ht="22.5" customHeight="1">
      <c r="A109" s="29">
        <v>26070.0</v>
      </c>
      <c r="B109" s="30" t="s">
        <v>292</v>
      </c>
      <c r="C109" s="31">
        <v>144897.22</v>
      </c>
      <c r="D109" s="29">
        <v>1.0</v>
      </c>
      <c r="E109" s="31">
        <v>144897.22</v>
      </c>
      <c r="H109" s="29">
        <v>25621.0</v>
      </c>
      <c r="I109" s="33">
        <v>1.0</v>
      </c>
      <c r="J109" s="36">
        <v>176751.56</v>
      </c>
      <c r="K109" s="33">
        <v>1.0</v>
      </c>
      <c r="L109" s="36">
        <v>176751.56</v>
      </c>
    </row>
    <row r="110" ht="22.5" customHeight="1">
      <c r="A110" s="29">
        <v>26101.0</v>
      </c>
      <c r="B110" s="30" t="s">
        <v>267</v>
      </c>
      <c r="C110" s="31">
        <v>1015860.28</v>
      </c>
      <c r="D110" s="29">
        <v>8.0</v>
      </c>
      <c r="E110" s="31">
        <v>126982.54</v>
      </c>
      <c r="H110" s="29">
        <v>25086.0</v>
      </c>
      <c r="I110" s="33">
        <v>1.0</v>
      </c>
      <c r="J110" s="34"/>
      <c r="K110" s="34"/>
      <c r="L110" s="34"/>
    </row>
    <row r="111" ht="22.5" customHeight="1">
      <c r="A111" s="29">
        <v>26104.0</v>
      </c>
      <c r="B111" s="30" t="s">
        <v>267</v>
      </c>
      <c r="C111" s="31">
        <v>19860.75</v>
      </c>
      <c r="D111" s="29">
        <v>1.0</v>
      </c>
      <c r="E111" s="31">
        <v>19860.75</v>
      </c>
      <c r="H111" s="29">
        <v>25844.0</v>
      </c>
      <c r="I111" s="33">
        <v>1.0</v>
      </c>
      <c r="J111" s="36">
        <v>26719.83</v>
      </c>
      <c r="K111" s="33">
        <v>1.0</v>
      </c>
      <c r="L111" s="36">
        <v>26719.83</v>
      </c>
    </row>
    <row r="112" ht="22.5" customHeight="1">
      <c r="A112" s="29">
        <v>26105.0</v>
      </c>
      <c r="B112" s="30" t="s">
        <v>272</v>
      </c>
      <c r="C112" s="31">
        <v>626686.76</v>
      </c>
      <c r="D112" s="29">
        <v>4.0</v>
      </c>
      <c r="E112" s="31">
        <v>156671.69</v>
      </c>
      <c r="H112" s="29">
        <v>25846.0</v>
      </c>
      <c r="I112" s="33">
        <v>1.0</v>
      </c>
      <c r="J112" s="34"/>
      <c r="K112" s="34"/>
      <c r="L112" s="34"/>
    </row>
    <row r="113" ht="22.5" customHeight="1">
      <c r="A113" s="29">
        <v>26143.0</v>
      </c>
      <c r="B113" s="30" t="s">
        <v>1042</v>
      </c>
      <c r="C113" s="31">
        <v>54753.94</v>
      </c>
      <c r="D113" s="29">
        <v>1.0</v>
      </c>
      <c r="E113" s="31">
        <v>54753.94</v>
      </c>
      <c r="H113" s="34"/>
      <c r="I113" s="34"/>
      <c r="J113" s="34"/>
      <c r="K113" s="34"/>
      <c r="L113" s="34"/>
    </row>
    <row r="114" ht="22.5" customHeight="1">
      <c r="A114" s="29">
        <v>26147.0</v>
      </c>
      <c r="B114" s="30" t="s">
        <v>696</v>
      </c>
      <c r="C114" s="31">
        <v>60494.53</v>
      </c>
      <c r="D114" s="29">
        <v>1.0</v>
      </c>
      <c r="E114" s="31">
        <v>60494.53</v>
      </c>
      <c r="H114" s="29">
        <v>26354.0</v>
      </c>
      <c r="I114" s="33">
        <v>2.0</v>
      </c>
      <c r="J114" s="36">
        <v>234581.23</v>
      </c>
      <c r="K114" s="33">
        <v>2.0</v>
      </c>
      <c r="L114" s="36">
        <v>117290.62</v>
      </c>
    </row>
    <row r="115" ht="22.5" customHeight="1">
      <c r="A115" s="29">
        <v>26149.0</v>
      </c>
      <c r="B115" s="30" t="s">
        <v>856</v>
      </c>
      <c r="C115" s="31">
        <v>20453.52</v>
      </c>
      <c r="D115" s="29">
        <v>1.0</v>
      </c>
      <c r="E115" s="31">
        <v>20453.52</v>
      </c>
      <c r="H115" s="29">
        <v>26354.0</v>
      </c>
      <c r="I115" s="33">
        <v>2.0</v>
      </c>
      <c r="J115" s="36">
        <v>234581.23</v>
      </c>
      <c r="K115" s="33">
        <v>2.0</v>
      </c>
      <c r="L115" s="36">
        <v>117290.62</v>
      </c>
    </row>
    <row r="116" ht="22.5" customHeight="1">
      <c r="A116" s="29">
        <v>26155.0</v>
      </c>
      <c r="B116" s="30" t="s">
        <v>261</v>
      </c>
      <c r="C116" s="31">
        <v>368690.08</v>
      </c>
      <c r="D116" s="29">
        <v>2.0</v>
      </c>
      <c r="E116" s="31">
        <v>184345.04</v>
      </c>
      <c r="H116" s="29">
        <v>24944.0</v>
      </c>
      <c r="I116" s="33">
        <v>1.0</v>
      </c>
      <c r="J116" s="34"/>
      <c r="K116" s="34"/>
      <c r="L116" s="34"/>
    </row>
    <row r="117" ht="22.5" customHeight="1">
      <c r="A117" s="29">
        <v>26164.0</v>
      </c>
      <c r="B117" s="30" t="s">
        <v>731</v>
      </c>
      <c r="C117" s="31">
        <v>33937.06</v>
      </c>
      <c r="D117" s="29">
        <v>1.0</v>
      </c>
      <c r="E117" s="31">
        <v>33937.06</v>
      </c>
      <c r="H117" s="29">
        <v>25523.0</v>
      </c>
      <c r="I117" s="33">
        <v>1.0</v>
      </c>
      <c r="J117" s="36">
        <v>15553.26</v>
      </c>
      <c r="K117" s="33">
        <v>2.0</v>
      </c>
      <c r="L117" s="36">
        <v>7776.63</v>
      </c>
    </row>
    <row r="118" ht="22.5" customHeight="1">
      <c r="A118" s="29">
        <v>26170.0</v>
      </c>
      <c r="B118" s="30" t="s">
        <v>801</v>
      </c>
      <c r="C118" s="31">
        <v>102732.47</v>
      </c>
      <c r="D118" s="29">
        <v>1.0</v>
      </c>
      <c r="E118" s="31">
        <v>102732.47</v>
      </c>
      <c r="H118" s="29">
        <v>26270.0</v>
      </c>
      <c r="I118" s="33">
        <v>1.0</v>
      </c>
      <c r="J118" s="34"/>
      <c r="K118" s="34"/>
      <c r="L118" s="34"/>
    </row>
    <row r="119" ht="22.5" customHeight="1">
      <c r="A119" s="29">
        <v>26181.0</v>
      </c>
      <c r="B119" s="30" t="s">
        <v>1262</v>
      </c>
      <c r="C119" s="31">
        <v>1025.19</v>
      </c>
      <c r="D119" s="29">
        <v>1.0</v>
      </c>
      <c r="E119" s="31">
        <v>1025.19</v>
      </c>
      <c r="H119" s="29">
        <v>25425.0</v>
      </c>
      <c r="I119" s="33">
        <v>1.0</v>
      </c>
      <c r="J119" s="34"/>
      <c r="K119" s="34"/>
      <c r="L119" s="34"/>
    </row>
    <row r="120" ht="22.5" customHeight="1">
      <c r="A120" s="29">
        <v>26201.0</v>
      </c>
      <c r="B120" s="30" t="s">
        <v>251</v>
      </c>
      <c r="C120" s="31">
        <v>546947.98</v>
      </c>
      <c r="D120" s="29">
        <v>3.0</v>
      </c>
      <c r="E120" s="31">
        <v>182315.99</v>
      </c>
      <c r="H120" s="29">
        <v>26362.0</v>
      </c>
      <c r="I120" s="33">
        <v>1.0</v>
      </c>
      <c r="J120" s="36">
        <v>95773.65</v>
      </c>
      <c r="K120" s="33">
        <v>1.0</v>
      </c>
      <c r="L120" s="36">
        <v>95773.65</v>
      </c>
    </row>
    <row r="121" ht="22.5" customHeight="1">
      <c r="A121" s="29">
        <v>26205.0</v>
      </c>
      <c r="B121" s="30" t="s">
        <v>778</v>
      </c>
      <c r="C121" s="31">
        <v>69336.21</v>
      </c>
      <c r="D121" s="29">
        <v>1.0</v>
      </c>
      <c r="E121" s="31">
        <v>69336.21</v>
      </c>
      <c r="H121" s="29">
        <v>25524.0</v>
      </c>
      <c r="I121" s="33">
        <v>1.0</v>
      </c>
      <c r="J121" s="36">
        <v>24676.59</v>
      </c>
      <c r="K121" s="33">
        <v>1.0</v>
      </c>
      <c r="L121" s="36">
        <v>24676.59</v>
      </c>
    </row>
    <row r="122" ht="22.5" customHeight="1">
      <c r="A122" s="29">
        <v>26206.0</v>
      </c>
      <c r="B122" s="30" t="s">
        <v>1038</v>
      </c>
      <c r="C122" s="31">
        <v>32758.8</v>
      </c>
      <c r="D122" s="29">
        <v>1.0</v>
      </c>
      <c r="E122" s="31">
        <v>32758.8</v>
      </c>
      <c r="H122" s="29">
        <v>25427.0</v>
      </c>
      <c r="I122" s="33">
        <v>3.0</v>
      </c>
      <c r="J122" s="36">
        <v>104327.51</v>
      </c>
      <c r="K122" s="33">
        <v>1.0</v>
      </c>
      <c r="L122" s="36">
        <v>104327.51</v>
      </c>
    </row>
    <row r="123" ht="22.5" customHeight="1">
      <c r="A123" s="29">
        <v>26234.0</v>
      </c>
      <c r="B123" s="30" t="s">
        <v>1026</v>
      </c>
      <c r="C123" s="31">
        <v>11426.94</v>
      </c>
      <c r="D123" s="29">
        <v>1.0</v>
      </c>
      <c r="E123" s="31">
        <v>11426.94</v>
      </c>
      <c r="H123" s="29">
        <v>25427.0</v>
      </c>
      <c r="I123" s="33">
        <v>3.0</v>
      </c>
      <c r="J123" s="36">
        <v>104327.51</v>
      </c>
      <c r="K123" s="33">
        <v>1.0</v>
      </c>
      <c r="L123" s="36">
        <v>104327.51</v>
      </c>
    </row>
    <row r="124" ht="22.5" customHeight="1">
      <c r="A124" s="29">
        <v>26241.0</v>
      </c>
      <c r="B124" s="30" t="s">
        <v>235</v>
      </c>
      <c r="C124" s="31">
        <v>1068240.72</v>
      </c>
      <c r="D124" s="29">
        <v>4.0</v>
      </c>
      <c r="E124" s="31">
        <v>267060.18</v>
      </c>
      <c r="H124" s="29">
        <v>25427.0</v>
      </c>
      <c r="I124" s="33">
        <v>3.0</v>
      </c>
      <c r="J124" s="36">
        <v>104327.51</v>
      </c>
      <c r="K124" s="33">
        <v>1.0</v>
      </c>
      <c r="L124" s="36">
        <v>104327.51</v>
      </c>
    </row>
    <row r="125" ht="22.5" customHeight="1">
      <c r="A125" s="29">
        <v>26250.0</v>
      </c>
      <c r="B125" s="30" t="s">
        <v>667</v>
      </c>
      <c r="C125" s="31">
        <v>320899.75</v>
      </c>
      <c r="D125" s="29">
        <v>1.0</v>
      </c>
      <c r="E125" s="31">
        <v>320899.75</v>
      </c>
      <c r="H125" s="29">
        <v>24946.0</v>
      </c>
      <c r="I125" s="33">
        <v>1.0</v>
      </c>
      <c r="J125" s="34"/>
      <c r="K125" s="34"/>
      <c r="L125" s="34"/>
    </row>
    <row r="126" ht="22.5" customHeight="1">
      <c r="A126" s="29">
        <v>26260.0</v>
      </c>
      <c r="B126" s="30" t="s">
        <v>845</v>
      </c>
      <c r="C126" s="31">
        <v>29715.98</v>
      </c>
      <c r="D126" s="29">
        <v>1.0</v>
      </c>
      <c r="E126" s="31">
        <v>29715.98</v>
      </c>
      <c r="H126" s="29">
        <v>25951.0</v>
      </c>
      <c r="I126" s="33">
        <v>2.0</v>
      </c>
      <c r="J126" s="36">
        <v>173502.03</v>
      </c>
      <c r="K126" s="33">
        <v>2.0</v>
      </c>
      <c r="L126" s="36">
        <v>86751.01</v>
      </c>
    </row>
    <row r="127" ht="22.5" customHeight="1">
      <c r="A127" s="29">
        <v>26287.0</v>
      </c>
      <c r="B127" s="30" t="s">
        <v>838</v>
      </c>
      <c r="C127" s="31">
        <v>116007.09</v>
      </c>
      <c r="D127" s="29">
        <v>1.0</v>
      </c>
      <c r="E127" s="31">
        <v>116007.09</v>
      </c>
      <c r="H127" s="29">
        <v>25951.0</v>
      </c>
      <c r="I127" s="33">
        <v>2.0</v>
      </c>
      <c r="J127" s="36">
        <v>173502.03</v>
      </c>
      <c r="K127" s="33">
        <v>2.0</v>
      </c>
      <c r="L127" s="36">
        <v>86751.01</v>
      </c>
    </row>
    <row r="128" ht="22.5" customHeight="1">
      <c r="A128" s="29">
        <v>26288.0</v>
      </c>
      <c r="B128" s="30" t="s">
        <v>1032</v>
      </c>
      <c r="C128" s="31">
        <v>30809.24</v>
      </c>
      <c r="D128" s="29">
        <v>1.0</v>
      </c>
      <c r="E128" s="31">
        <v>30809.24</v>
      </c>
      <c r="H128" s="29">
        <v>25704.0</v>
      </c>
      <c r="I128" s="33">
        <v>4.0</v>
      </c>
      <c r="J128" s="36">
        <v>11507.11</v>
      </c>
      <c r="K128" s="33">
        <v>1.0</v>
      </c>
      <c r="L128" s="36">
        <v>11507.11</v>
      </c>
    </row>
    <row r="129" ht="22.5" customHeight="1">
      <c r="A129" s="29">
        <v>26291.0</v>
      </c>
      <c r="B129" s="30" t="s">
        <v>1273</v>
      </c>
      <c r="C129" s="31">
        <v>354.92</v>
      </c>
      <c r="D129" s="29">
        <v>1.0</v>
      </c>
      <c r="E129" s="31">
        <v>354.92</v>
      </c>
      <c r="H129" s="29">
        <v>25705.0</v>
      </c>
      <c r="I129" s="33">
        <v>2.0</v>
      </c>
      <c r="J129" s="36">
        <v>787865.55</v>
      </c>
      <c r="K129" s="33">
        <v>3.0</v>
      </c>
      <c r="L129" s="36">
        <v>262621.85</v>
      </c>
    </row>
    <row r="130" ht="22.5" customHeight="1">
      <c r="A130" s="29">
        <v>26301.0</v>
      </c>
      <c r="B130" s="30" t="s">
        <v>99</v>
      </c>
      <c r="C130" s="31">
        <v>2414179.91</v>
      </c>
      <c r="D130" s="29">
        <v>5.0</v>
      </c>
      <c r="E130" s="31">
        <v>482835.98</v>
      </c>
      <c r="H130" s="29">
        <v>25702.0</v>
      </c>
      <c r="I130" s="33">
        <v>1.0</v>
      </c>
      <c r="J130" s="36">
        <v>228137.46</v>
      </c>
      <c r="K130" s="33">
        <v>1.0</v>
      </c>
      <c r="L130" s="36">
        <v>228137.46</v>
      </c>
    </row>
    <row r="131" ht="22.5" customHeight="1">
      <c r="A131" s="29">
        <v>26330.0</v>
      </c>
      <c r="B131" s="30" t="s">
        <v>566</v>
      </c>
      <c r="C131" s="31">
        <v>73460.48</v>
      </c>
      <c r="D131" s="29">
        <v>1.0</v>
      </c>
      <c r="E131" s="31">
        <v>73460.48</v>
      </c>
      <c r="H131" s="29">
        <v>25705.0</v>
      </c>
      <c r="I131" s="33">
        <v>2.0</v>
      </c>
      <c r="J131" s="36">
        <v>787865.55</v>
      </c>
      <c r="K131" s="33">
        <v>3.0</v>
      </c>
      <c r="L131" s="36">
        <v>262621.85</v>
      </c>
    </row>
    <row r="132" ht="22.5" customHeight="1">
      <c r="A132" s="29">
        <v>26347.0</v>
      </c>
      <c r="B132" s="30" t="s">
        <v>1279</v>
      </c>
      <c r="C132" s="31">
        <v>730048.76</v>
      </c>
      <c r="D132" s="29">
        <v>1.0</v>
      </c>
      <c r="E132" s="31">
        <v>730048.76</v>
      </c>
      <c r="H132" s="29">
        <v>25704.0</v>
      </c>
      <c r="I132" s="33">
        <v>4.0</v>
      </c>
      <c r="J132" s="36">
        <v>11507.11</v>
      </c>
      <c r="K132" s="33">
        <v>1.0</v>
      </c>
      <c r="L132" s="36">
        <v>11507.11</v>
      </c>
    </row>
    <row r="133" ht="22.5" customHeight="1">
      <c r="A133" s="29">
        <v>26351.0</v>
      </c>
      <c r="B133" s="30" t="s">
        <v>709</v>
      </c>
      <c r="C133" s="31">
        <v>71705.02</v>
      </c>
      <c r="D133" s="29">
        <v>1.0</v>
      </c>
      <c r="E133" s="31">
        <v>71705.02</v>
      </c>
      <c r="H133" s="29">
        <v>25704.0</v>
      </c>
      <c r="I133" s="33">
        <v>4.0</v>
      </c>
      <c r="J133" s="36">
        <v>11507.11</v>
      </c>
      <c r="K133" s="33">
        <v>1.0</v>
      </c>
      <c r="L133" s="36">
        <v>11507.11</v>
      </c>
    </row>
    <row r="134" ht="22.5" customHeight="1">
      <c r="A134" s="29">
        <v>26354.0</v>
      </c>
      <c r="B134" s="30" t="s">
        <v>246</v>
      </c>
      <c r="C134" s="31">
        <v>234581.23</v>
      </c>
      <c r="D134" s="29">
        <v>2.0</v>
      </c>
      <c r="E134" s="31">
        <v>117290.62</v>
      </c>
      <c r="H134" s="29">
        <v>25704.0</v>
      </c>
      <c r="I134" s="33">
        <v>4.0</v>
      </c>
      <c r="J134" s="36">
        <v>11507.11</v>
      </c>
      <c r="K134" s="33">
        <v>1.0</v>
      </c>
      <c r="L134" s="36">
        <v>11507.11</v>
      </c>
    </row>
    <row r="135" ht="22.5" customHeight="1">
      <c r="A135" s="29">
        <v>26362.0</v>
      </c>
      <c r="B135" s="30" t="s">
        <v>825</v>
      </c>
      <c r="C135" s="31">
        <v>95773.65</v>
      </c>
      <c r="D135" s="29">
        <v>1.0</v>
      </c>
      <c r="E135" s="31">
        <v>95773.65</v>
      </c>
      <c r="H135" s="29">
        <v>25526.0</v>
      </c>
      <c r="I135" s="33">
        <v>2.0</v>
      </c>
      <c r="J135" s="36">
        <v>389237.21</v>
      </c>
      <c r="K135" s="33">
        <v>1.0</v>
      </c>
      <c r="L135" s="36">
        <v>389237.21</v>
      </c>
    </row>
    <row r="136" ht="22.5" customHeight="1">
      <c r="A136" s="29">
        <v>26416.0</v>
      </c>
      <c r="B136" s="30" t="s">
        <v>672</v>
      </c>
      <c r="C136" s="31">
        <v>282420.48</v>
      </c>
      <c r="D136" s="29">
        <v>1.0</v>
      </c>
      <c r="E136" s="31">
        <v>282420.48</v>
      </c>
      <c r="H136" s="29">
        <v>25526.0</v>
      </c>
      <c r="I136" s="33">
        <v>2.0</v>
      </c>
      <c r="J136" s="36">
        <v>389237.21</v>
      </c>
      <c r="K136" s="33">
        <v>1.0</v>
      </c>
      <c r="L136" s="36">
        <v>389237.21</v>
      </c>
    </row>
    <row r="137" ht="22.5" customHeight="1">
      <c r="A137" s="29">
        <v>26426.0</v>
      </c>
      <c r="B137" s="30" t="s">
        <v>725</v>
      </c>
      <c r="C137" s="31">
        <v>32935.28</v>
      </c>
      <c r="D137" s="29">
        <v>1.0</v>
      </c>
      <c r="E137" s="31">
        <v>32935.28</v>
      </c>
      <c r="H137" s="29">
        <v>24844.0</v>
      </c>
      <c r="I137" s="33">
        <v>1.0</v>
      </c>
      <c r="J137" s="36">
        <v>26182.89</v>
      </c>
      <c r="K137" s="33">
        <v>1.0</v>
      </c>
      <c r="L137" s="36">
        <v>26182.89</v>
      </c>
    </row>
    <row r="138" ht="22.5" customHeight="1">
      <c r="A138" s="29">
        <v>26431.0</v>
      </c>
      <c r="B138" s="30" t="s">
        <v>555</v>
      </c>
      <c r="C138" s="31">
        <v>101781.48</v>
      </c>
      <c r="D138" s="29">
        <v>1.0</v>
      </c>
      <c r="E138" s="31">
        <v>101781.48</v>
      </c>
      <c r="H138" s="29">
        <v>25428.0</v>
      </c>
      <c r="I138" s="33">
        <v>1.0</v>
      </c>
      <c r="J138" s="36">
        <v>620831.24</v>
      </c>
      <c r="K138" s="33">
        <v>1.0</v>
      </c>
      <c r="L138" s="36">
        <v>620831.24</v>
      </c>
    </row>
    <row r="139" ht="22.5" customHeight="1">
      <c r="A139" s="29">
        <v>26452.0</v>
      </c>
      <c r="B139" s="30" t="s">
        <v>145</v>
      </c>
      <c r="C139" s="31">
        <v>351731.46</v>
      </c>
      <c r="D139" s="29">
        <v>2.0</v>
      </c>
      <c r="E139" s="31">
        <v>175865.73</v>
      </c>
      <c r="H139" s="29">
        <v>26378.0</v>
      </c>
      <c r="I139" s="33">
        <v>1.0</v>
      </c>
      <c r="J139" s="34"/>
      <c r="K139" s="34"/>
      <c r="L139" s="34"/>
    </row>
    <row r="140" ht="22.5" customHeight="1">
      <c r="A140" s="29">
        <v>26456.0</v>
      </c>
      <c r="B140" s="30" t="s">
        <v>704</v>
      </c>
      <c r="C140" s="31">
        <v>33055.13</v>
      </c>
      <c r="D140" s="29">
        <v>1.0</v>
      </c>
      <c r="E140" s="31">
        <v>33055.13</v>
      </c>
      <c r="H140" s="29">
        <v>25430.0</v>
      </c>
      <c r="I140" s="33">
        <v>2.0</v>
      </c>
      <c r="J140" s="34"/>
      <c r="K140" s="34"/>
      <c r="L140" s="34"/>
    </row>
    <row r="141" ht="22.5" customHeight="1">
      <c r="A141" s="29">
        <v>26501.0</v>
      </c>
      <c r="B141" s="30" t="s">
        <v>185</v>
      </c>
      <c r="C141" s="31">
        <v>42995.08</v>
      </c>
      <c r="D141" s="29">
        <v>1.0</v>
      </c>
      <c r="E141" s="31">
        <v>42995.08</v>
      </c>
      <c r="H141" s="29">
        <v>25430.0</v>
      </c>
      <c r="I141" s="33">
        <v>2.0</v>
      </c>
      <c r="J141" s="34"/>
      <c r="K141" s="34"/>
      <c r="L141" s="34"/>
    </row>
    <row r="142" ht="22.5" customHeight="1">
      <c r="A142" s="29">
        <v>26505.0</v>
      </c>
      <c r="B142" s="30" t="s">
        <v>185</v>
      </c>
      <c r="C142" s="31">
        <v>1177970.33</v>
      </c>
      <c r="D142" s="29">
        <v>6.0</v>
      </c>
      <c r="E142" s="31">
        <v>196328.39</v>
      </c>
      <c r="H142" s="29">
        <v>25530.0</v>
      </c>
      <c r="I142" s="33">
        <v>1.0</v>
      </c>
      <c r="J142" s="36">
        <v>4141.41</v>
      </c>
      <c r="K142" s="33">
        <v>1.0</v>
      </c>
      <c r="L142" s="36">
        <v>4141.41</v>
      </c>
    </row>
    <row r="143" ht="22.5" customHeight="1">
      <c r="A143" s="29">
        <v>26508.0</v>
      </c>
      <c r="B143" s="30" t="s">
        <v>185</v>
      </c>
      <c r="C143" s="31">
        <v>1936625.24</v>
      </c>
      <c r="D143" s="29">
        <v>3.0</v>
      </c>
      <c r="E143" s="31">
        <v>645541.75</v>
      </c>
      <c r="H143" s="29">
        <v>25670.0</v>
      </c>
      <c r="I143" s="33">
        <v>3.0</v>
      </c>
      <c r="J143" s="34"/>
      <c r="K143" s="34"/>
      <c r="L143" s="34"/>
    </row>
    <row r="144" ht="22.5" customHeight="1">
      <c r="A144" s="29">
        <v>26537.0</v>
      </c>
      <c r="B144" s="30" t="s">
        <v>212</v>
      </c>
      <c r="C144" s="31">
        <v>311874.12</v>
      </c>
      <c r="D144" s="29">
        <v>2.0</v>
      </c>
      <c r="E144" s="31">
        <v>155937.06</v>
      </c>
      <c r="H144" s="29">
        <v>26726.0</v>
      </c>
      <c r="I144" s="33">
        <v>2.0</v>
      </c>
      <c r="J144" s="36">
        <v>947501.17</v>
      </c>
      <c r="K144" s="33">
        <v>3.0</v>
      </c>
      <c r="L144" s="36">
        <v>315833.72</v>
      </c>
    </row>
    <row r="145" ht="22.5" customHeight="1">
      <c r="A145" s="29">
        <v>26547.0</v>
      </c>
      <c r="B145" s="30" t="s">
        <v>806</v>
      </c>
      <c r="C145" s="31">
        <v>18887.79</v>
      </c>
      <c r="D145" s="29">
        <v>1.0</v>
      </c>
      <c r="E145" s="31">
        <v>18887.79</v>
      </c>
      <c r="H145" s="29">
        <v>26726.0</v>
      </c>
      <c r="I145" s="33">
        <v>2.0</v>
      </c>
      <c r="J145" s="36">
        <v>947501.17</v>
      </c>
      <c r="K145" s="33">
        <v>3.0</v>
      </c>
      <c r="L145" s="36">
        <v>315833.72</v>
      </c>
    </row>
    <row r="146" ht="22.5" customHeight="1">
      <c r="A146" s="29">
        <v>26554.0</v>
      </c>
      <c r="B146" s="30" t="s">
        <v>158</v>
      </c>
      <c r="C146" s="31">
        <v>997422.48</v>
      </c>
      <c r="D146" s="29">
        <v>5.0</v>
      </c>
      <c r="E146" s="31">
        <v>199484.5</v>
      </c>
      <c r="H146" s="29">
        <v>26537.0</v>
      </c>
      <c r="I146" s="33">
        <v>1.0</v>
      </c>
      <c r="J146" s="36">
        <v>311874.12</v>
      </c>
      <c r="K146" s="33">
        <v>2.0</v>
      </c>
      <c r="L146" s="36">
        <v>155937.06</v>
      </c>
    </row>
    <row r="147" ht="22.5" customHeight="1">
      <c r="A147" s="29">
        <v>26582.0</v>
      </c>
      <c r="B147" s="30" t="s">
        <v>600</v>
      </c>
      <c r="C147" s="31">
        <v>107227.29</v>
      </c>
      <c r="D147" s="29">
        <v>1.0</v>
      </c>
      <c r="E147" s="31">
        <v>107227.29</v>
      </c>
      <c r="H147" s="29">
        <v>25535.0</v>
      </c>
      <c r="I147" s="33">
        <v>1.0</v>
      </c>
      <c r="J147" s="34"/>
      <c r="K147" s="34"/>
      <c r="L147" s="34"/>
    </row>
    <row r="148" ht="22.5" customHeight="1">
      <c r="A148" s="29">
        <v>26601.0</v>
      </c>
      <c r="B148" s="30" t="s">
        <v>45</v>
      </c>
      <c r="C148" s="31">
        <v>339185.91</v>
      </c>
      <c r="D148" s="29">
        <v>1.0</v>
      </c>
      <c r="E148" s="31">
        <v>339185.91</v>
      </c>
      <c r="H148" s="29">
        <v>25123.0</v>
      </c>
      <c r="I148" s="33">
        <v>1.0</v>
      </c>
      <c r="J148" s="34"/>
      <c r="K148" s="34"/>
      <c r="L148" s="34"/>
    </row>
    <row r="149" ht="22.5" customHeight="1">
      <c r="A149" s="29">
        <v>26624.0</v>
      </c>
      <c r="B149" s="30" t="s">
        <v>528</v>
      </c>
      <c r="C149" s="31">
        <v>22589.97</v>
      </c>
      <c r="D149" s="29">
        <v>2.0</v>
      </c>
      <c r="E149" s="31">
        <v>11294.99</v>
      </c>
      <c r="H149" s="29">
        <v>25971.0</v>
      </c>
      <c r="I149" s="33">
        <v>1.0</v>
      </c>
      <c r="J149" s="34"/>
      <c r="K149" s="34"/>
      <c r="L149" s="34"/>
    </row>
    <row r="150" ht="22.5" customHeight="1">
      <c r="A150" s="29">
        <v>26651.0</v>
      </c>
      <c r="B150" s="30" t="s">
        <v>197</v>
      </c>
      <c r="C150" s="31">
        <v>681659.51</v>
      </c>
      <c r="D150" s="29">
        <v>3.0</v>
      </c>
      <c r="E150" s="31">
        <v>227219.84</v>
      </c>
      <c r="H150" s="29">
        <v>25537.0</v>
      </c>
      <c r="I150" s="33">
        <v>1.0</v>
      </c>
      <c r="J150" s="34"/>
      <c r="K150" s="34"/>
      <c r="L150" s="34"/>
    </row>
    <row r="151" ht="22.5" customHeight="1">
      <c r="A151" s="29">
        <v>26726.0</v>
      </c>
      <c r="B151" s="30" t="s">
        <v>179</v>
      </c>
      <c r="C151" s="31">
        <v>947501.17</v>
      </c>
      <c r="D151" s="29">
        <v>3.0</v>
      </c>
      <c r="E151" s="31">
        <v>315833.72</v>
      </c>
      <c r="H151" s="29">
        <v>25865.0</v>
      </c>
      <c r="I151" s="33">
        <v>1.0</v>
      </c>
      <c r="J151" s="34"/>
      <c r="K151" s="34"/>
      <c r="L151" s="34"/>
    </row>
    <row r="152" ht="22.5" customHeight="1">
      <c r="A152" s="29">
        <v>26757.0</v>
      </c>
      <c r="B152" s="30" t="s">
        <v>329</v>
      </c>
      <c r="C152" s="31">
        <v>764974.34</v>
      </c>
      <c r="D152" s="29">
        <v>1.0</v>
      </c>
      <c r="E152" s="31">
        <v>764974.34</v>
      </c>
      <c r="H152" s="29">
        <v>24901.0</v>
      </c>
      <c r="I152" s="33">
        <v>1.0</v>
      </c>
      <c r="J152" s="36">
        <v>798492.4</v>
      </c>
      <c r="K152" s="33">
        <v>2.0</v>
      </c>
      <c r="L152" s="36">
        <v>399246.2</v>
      </c>
    </row>
    <row r="153" ht="22.5" customHeight="1">
      <c r="A153" s="29">
        <v>26763.0</v>
      </c>
      <c r="B153" s="30" t="s">
        <v>1328</v>
      </c>
      <c r="C153" s="31">
        <v>263.42</v>
      </c>
      <c r="D153" s="29">
        <v>1.0</v>
      </c>
      <c r="E153" s="31">
        <v>263.42</v>
      </c>
      <c r="H153" s="29">
        <v>24951.0</v>
      </c>
      <c r="I153" s="33">
        <v>1.0</v>
      </c>
      <c r="J153" s="36">
        <v>18253.36</v>
      </c>
      <c r="K153" s="33">
        <v>1.0</v>
      </c>
      <c r="L153" s="36">
        <v>18253.36</v>
      </c>
    </row>
    <row r="154" ht="22.5" customHeight="1">
      <c r="A154" s="29">
        <v>26764.0</v>
      </c>
      <c r="B154" s="30" t="s">
        <v>1332</v>
      </c>
      <c r="C154" s="31">
        <v>18244.1</v>
      </c>
      <c r="D154" s="29">
        <v>1.0</v>
      </c>
      <c r="E154" s="31">
        <v>18244.1</v>
      </c>
      <c r="H154" s="29">
        <v>25601.0</v>
      </c>
      <c r="I154" s="33">
        <v>1.0</v>
      </c>
      <c r="J154" s="36">
        <v>1077926.4</v>
      </c>
      <c r="K154" s="33">
        <v>2.0</v>
      </c>
      <c r="L154" s="36">
        <v>538963.2</v>
      </c>
    </row>
    <row r="155" ht="22.5" customHeight="1">
      <c r="A155" s="29">
        <v>26807.0</v>
      </c>
      <c r="B155" s="30" t="s">
        <v>794</v>
      </c>
      <c r="C155" s="31">
        <v>110929.68</v>
      </c>
      <c r="D155" s="29">
        <v>1.0</v>
      </c>
      <c r="E155" s="31">
        <v>110929.68</v>
      </c>
      <c r="H155" s="29">
        <v>25868.0</v>
      </c>
      <c r="I155" s="33">
        <v>1.0</v>
      </c>
      <c r="J155" s="34"/>
      <c r="K155" s="34"/>
      <c r="L155" s="34"/>
    </row>
    <row r="156" ht="22.5" customHeight="1">
      <c r="A156" s="29">
        <v>26836.0</v>
      </c>
      <c r="B156" s="30" t="s">
        <v>88</v>
      </c>
      <c r="C156" s="31">
        <v>598824.71</v>
      </c>
      <c r="D156" s="29">
        <v>3.0</v>
      </c>
      <c r="E156" s="31">
        <v>199608.24</v>
      </c>
      <c r="H156" s="29">
        <v>26385.0</v>
      </c>
      <c r="I156" s="33">
        <v>1.0</v>
      </c>
      <c r="J156" s="34"/>
      <c r="K156" s="34"/>
      <c r="L156" s="34"/>
    </row>
    <row r="157" ht="22.5" customHeight="1">
      <c r="A157" s="29">
        <v>26847.0</v>
      </c>
      <c r="B157" s="30" t="s">
        <v>716</v>
      </c>
      <c r="C157" s="31">
        <v>136747.41</v>
      </c>
      <c r="D157" s="29">
        <v>1.0</v>
      </c>
      <c r="E157" s="31">
        <v>136747.41</v>
      </c>
      <c r="H157" s="29">
        <v>25310.0</v>
      </c>
      <c r="I157" s="33">
        <v>1.0</v>
      </c>
      <c r="J157" s="34"/>
      <c r="K157" s="34"/>
      <c r="L157" s="34"/>
    </row>
    <row r="158" ht="22.5" customHeight="1">
      <c r="A158" s="29">
        <v>41230.0</v>
      </c>
      <c r="B158" s="30" t="s">
        <v>1347</v>
      </c>
      <c r="C158" s="31">
        <v>119882.59</v>
      </c>
      <c r="D158" s="29">
        <v>1.0</v>
      </c>
      <c r="E158" s="31">
        <v>119882.59</v>
      </c>
      <c r="H158" s="29">
        <v>25635.0</v>
      </c>
      <c r="I158" s="33">
        <v>1.0</v>
      </c>
      <c r="J158" s="36">
        <v>71021.3</v>
      </c>
      <c r="K158" s="33">
        <v>1.0</v>
      </c>
      <c r="L158" s="36">
        <v>71021.3</v>
      </c>
    </row>
    <row r="159" ht="22.5" customHeight="1">
      <c r="A159" s="29">
        <v>41267.0</v>
      </c>
      <c r="B159" s="30" t="s">
        <v>1348</v>
      </c>
      <c r="C159" s="31">
        <v>17773.7</v>
      </c>
      <c r="D159" s="29">
        <v>1.0</v>
      </c>
      <c r="E159" s="31">
        <v>17773.7</v>
      </c>
      <c r="H159" s="29">
        <v>26582.0</v>
      </c>
      <c r="I159" s="33">
        <v>1.0</v>
      </c>
      <c r="J159" s="36">
        <v>107227.29</v>
      </c>
      <c r="K159" s="33">
        <v>1.0</v>
      </c>
      <c r="L159" s="36">
        <v>107227.29</v>
      </c>
    </row>
    <row r="160" ht="22.5" customHeight="1">
      <c r="A160" s="29">
        <v>41503.0</v>
      </c>
      <c r="B160" s="30" t="s">
        <v>1352</v>
      </c>
      <c r="C160" s="31">
        <v>264817.95</v>
      </c>
      <c r="D160" s="29">
        <v>1.0</v>
      </c>
      <c r="E160" s="31">
        <v>264817.95</v>
      </c>
      <c r="H160" s="29">
        <v>24954.0</v>
      </c>
      <c r="I160" s="33">
        <v>1.0</v>
      </c>
      <c r="J160" s="36">
        <v>101121.7</v>
      </c>
      <c r="K160" s="33">
        <v>1.0</v>
      </c>
      <c r="L160" s="36">
        <v>101121.7</v>
      </c>
    </row>
    <row r="161" ht="22.5" customHeight="1">
      <c r="A161" s="29">
        <v>41544.0</v>
      </c>
      <c r="B161" s="30" t="s">
        <v>1354</v>
      </c>
      <c r="C161" s="31">
        <v>100384.75</v>
      </c>
      <c r="D161" s="29">
        <v>1.0</v>
      </c>
      <c r="E161" s="31">
        <v>100384.75</v>
      </c>
      <c r="H161" s="29">
        <v>25315.0</v>
      </c>
      <c r="I161" s="33">
        <v>2.0</v>
      </c>
      <c r="J161" s="36">
        <v>167514.21</v>
      </c>
      <c r="K161" s="33">
        <v>1.0</v>
      </c>
      <c r="L161" s="36">
        <v>167514.21</v>
      </c>
    </row>
    <row r="162" ht="22.5" customHeight="1">
      <c r="A162" s="29">
        <v>43950.0</v>
      </c>
      <c r="B162" s="30" t="s">
        <v>1359</v>
      </c>
      <c r="C162" s="31">
        <v>43018.56</v>
      </c>
      <c r="D162" s="29">
        <v>1.0</v>
      </c>
      <c r="E162" s="31">
        <v>43018.56</v>
      </c>
      <c r="H162" s="29">
        <v>25404.0</v>
      </c>
      <c r="I162" s="33">
        <v>4.0</v>
      </c>
      <c r="J162" s="36">
        <v>374198.51</v>
      </c>
      <c r="K162" s="33">
        <v>2.0</v>
      </c>
      <c r="L162" s="36">
        <v>187099.26</v>
      </c>
    </row>
    <row r="163" ht="22.5" customHeight="1">
      <c r="A163" s="29">
        <v>45669.0</v>
      </c>
      <c r="B163" s="30" t="s">
        <v>1362</v>
      </c>
      <c r="C163" s="31">
        <v>5825.09</v>
      </c>
      <c r="D163" s="29">
        <v>1.0</v>
      </c>
      <c r="E163" s="31">
        <v>5825.09</v>
      </c>
      <c r="H163" s="29">
        <v>25404.0</v>
      </c>
      <c r="I163" s="33">
        <v>4.0</v>
      </c>
      <c r="J163" s="36">
        <v>374198.51</v>
      </c>
      <c r="K163" s="33">
        <v>2.0</v>
      </c>
      <c r="L163" s="36">
        <v>187099.26</v>
      </c>
    </row>
    <row r="164" ht="22.5" customHeight="1">
      <c r="A164" s="34"/>
      <c r="B164" s="34"/>
      <c r="C164" s="34"/>
      <c r="D164" s="34"/>
      <c r="E164" s="34"/>
      <c r="H164" s="29">
        <v>25404.0</v>
      </c>
      <c r="I164" s="33">
        <v>4.0</v>
      </c>
      <c r="J164" s="36">
        <v>374198.51</v>
      </c>
      <c r="K164" s="33">
        <v>2.0</v>
      </c>
      <c r="L164" s="36">
        <v>187099.26</v>
      </c>
    </row>
    <row r="165" ht="22.5" customHeight="1">
      <c r="A165" s="34"/>
      <c r="B165" s="34"/>
      <c r="C165" s="34"/>
      <c r="D165" s="34"/>
      <c r="E165" s="34"/>
      <c r="H165" s="29">
        <v>25404.0</v>
      </c>
      <c r="I165" s="33">
        <v>4.0</v>
      </c>
      <c r="J165" s="36">
        <v>374198.51</v>
      </c>
      <c r="K165" s="33">
        <v>2.0</v>
      </c>
      <c r="L165" s="36">
        <v>187099.26</v>
      </c>
    </row>
    <row r="166" ht="22.5" customHeight="1">
      <c r="A166" s="34"/>
      <c r="B166" s="34"/>
      <c r="C166" s="34"/>
      <c r="D166" s="34"/>
      <c r="E166" s="34"/>
      <c r="H166" s="29">
        <v>25260.0</v>
      </c>
      <c r="I166" s="33">
        <v>1.0</v>
      </c>
      <c r="J166" s="36">
        <v>166393.44</v>
      </c>
      <c r="K166" s="33">
        <v>1.0</v>
      </c>
      <c r="L166" s="36">
        <v>166393.44</v>
      </c>
    </row>
    <row r="167" ht="22.5" customHeight="1">
      <c r="A167" s="34"/>
      <c r="B167" s="34"/>
      <c r="C167" s="34"/>
      <c r="D167" s="34"/>
      <c r="E167" s="34"/>
      <c r="H167" s="29">
        <v>25678.0</v>
      </c>
      <c r="I167" s="33">
        <v>1.0</v>
      </c>
      <c r="J167" s="34"/>
      <c r="K167" s="34"/>
      <c r="L167" s="34"/>
    </row>
    <row r="168" ht="22.5" customHeight="1">
      <c r="A168" s="34"/>
      <c r="B168" s="34"/>
      <c r="C168" s="34"/>
      <c r="D168" s="34"/>
      <c r="E168" s="34"/>
      <c r="H168" s="29">
        <v>26040.0</v>
      </c>
      <c r="I168" s="33">
        <v>1.0</v>
      </c>
      <c r="J168" s="34"/>
      <c r="K168" s="34"/>
      <c r="L168" s="34"/>
    </row>
    <row r="169" ht="22.5" customHeight="1">
      <c r="A169" s="34"/>
      <c r="B169" s="34"/>
      <c r="C169" s="34"/>
      <c r="D169" s="34"/>
      <c r="E169" s="34"/>
      <c r="H169" s="29">
        <v>25976.0</v>
      </c>
      <c r="I169" s="33">
        <v>1.0</v>
      </c>
      <c r="J169" s="34"/>
      <c r="K169" s="34"/>
      <c r="L169" s="34"/>
    </row>
    <row r="170" ht="22.5" customHeight="1">
      <c r="A170" s="34"/>
      <c r="B170" s="34"/>
      <c r="C170" s="34"/>
      <c r="D170" s="34"/>
      <c r="E170" s="34"/>
      <c r="H170" s="29">
        <v>25134.0</v>
      </c>
      <c r="I170" s="33">
        <v>1.0</v>
      </c>
      <c r="J170" s="34"/>
      <c r="K170" s="34"/>
      <c r="L170" s="34"/>
    </row>
    <row r="171" ht="22.5" customHeight="1">
      <c r="A171" s="34"/>
      <c r="B171" s="34"/>
      <c r="C171" s="34"/>
      <c r="D171" s="34"/>
      <c r="E171" s="34"/>
      <c r="H171" s="29">
        <v>26149.0</v>
      </c>
      <c r="I171" s="33">
        <v>1.0</v>
      </c>
      <c r="J171" s="36">
        <v>20453.52</v>
      </c>
      <c r="K171" s="33">
        <v>1.0</v>
      </c>
      <c r="L171" s="36">
        <v>20453.52</v>
      </c>
    </row>
    <row r="172" ht="22.5" customHeight="1">
      <c r="A172" s="34"/>
      <c r="B172" s="34"/>
      <c r="C172" s="34"/>
      <c r="D172" s="34"/>
      <c r="E172" s="34"/>
      <c r="H172" s="29">
        <v>26280.0</v>
      </c>
      <c r="I172" s="33">
        <v>1.0</v>
      </c>
      <c r="J172" s="34"/>
      <c r="K172" s="34"/>
      <c r="L172" s="34"/>
    </row>
    <row r="173" ht="22.5" customHeight="1">
      <c r="A173" s="34"/>
      <c r="B173" s="34"/>
      <c r="C173" s="34"/>
      <c r="D173" s="34"/>
      <c r="E173" s="34"/>
      <c r="H173" s="29">
        <v>25262.0</v>
      </c>
      <c r="I173" s="33">
        <v>1.0</v>
      </c>
      <c r="J173" s="34"/>
      <c r="K173" s="34"/>
      <c r="L173" s="34"/>
    </row>
    <row r="174" ht="22.5" customHeight="1">
      <c r="A174" s="34"/>
      <c r="B174" s="34"/>
      <c r="C174" s="34"/>
      <c r="D174" s="34"/>
      <c r="E174" s="34"/>
      <c r="H174" s="29">
        <v>25541.0</v>
      </c>
      <c r="I174" s="33">
        <v>1.0</v>
      </c>
      <c r="J174" s="36">
        <v>45391.14</v>
      </c>
      <c r="K174" s="33">
        <v>1.0</v>
      </c>
      <c r="L174" s="36">
        <v>45391.14</v>
      </c>
    </row>
    <row r="175" ht="22.5" customHeight="1">
      <c r="A175" s="34"/>
      <c r="B175" s="34"/>
      <c r="C175" s="34"/>
      <c r="D175" s="34"/>
      <c r="E175" s="34"/>
      <c r="H175" s="29">
        <v>26150.0</v>
      </c>
      <c r="I175" s="33">
        <v>1.0</v>
      </c>
      <c r="J175" s="34"/>
      <c r="K175" s="34"/>
      <c r="L175" s="34"/>
    </row>
    <row r="176" ht="22.5" customHeight="1">
      <c r="A176" s="34"/>
      <c r="B176" s="34"/>
      <c r="C176" s="34"/>
      <c r="D176" s="34"/>
      <c r="E176" s="34"/>
      <c r="H176" s="29">
        <v>25136.0</v>
      </c>
      <c r="I176" s="33">
        <v>1.0</v>
      </c>
      <c r="J176" s="36">
        <v>12460.98</v>
      </c>
      <c r="K176" s="33">
        <v>1.0</v>
      </c>
      <c r="L176" s="36">
        <v>12460.98</v>
      </c>
    </row>
    <row r="177" ht="22.5" customHeight="1">
      <c r="A177" s="34"/>
      <c r="B177" s="34"/>
      <c r="C177" s="34"/>
      <c r="D177" s="34"/>
      <c r="E177" s="34"/>
      <c r="H177" s="29">
        <v>26836.0</v>
      </c>
      <c r="I177" s="33">
        <v>1.0</v>
      </c>
      <c r="J177" s="36">
        <v>598824.71</v>
      </c>
      <c r="K177" s="33">
        <v>3.0</v>
      </c>
      <c r="L177" s="36">
        <v>199608.24</v>
      </c>
    </row>
    <row r="178" ht="22.5" customHeight="1">
      <c r="A178" s="34"/>
      <c r="B178" s="34"/>
      <c r="C178" s="34"/>
      <c r="D178" s="34"/>
      <c r="E178" s="34"/>
      <c r="H178" s="29">
        <v>26508.0</v>
      </c>
      <c r="I178" s="33">
        <v>3.0</v>
      </c>
      <c r="J178" s="36">
        <v>1936625.24</v>
      </c>
      <c r="K178" s="33">
        <v>3.0</v>
      </c>
      <c r="L178" s="36">
        <v>645541.75</v>
      </c>
    </row>
    <row r="179" ht="22.5" customHeight="1">
      <c r="A179" s="34"/>
      <c r="B179" s="34"/>
      <c r="C179" s="34"/>
      <c r="D179" s="34"/>
      <c r="E179" s="34"/>
      <c r="H179" s="29">
        <v>26508.0</v>
      </c>
      <c r="I179" s="33">
        <v>3.0</v>
      </c>
      <c r="J179" s="36">
        <v>1936625.24</v>
      </c>
      <c r="K179" s="33">
        <v>3.0</v>
      </c>
      <c r="L179" s="36">
        <v>645541.75</v>
      </c>
    </row>
    <row r="180" ht="22.5" customHeight="1">
      <c r="A180" s="34"/>
      <c r="B180" s="34"/>
      <c r="C180" s="34"/>
      <c r="D180" s="34"/>
      <c r="E180" s="34"/>
      <c r="H180" s="29">
        <v>26505.0</v>
      </c>
      <c r="I180" s="33">
        <v>3.0</v>
      </c>
      <c r="J180" s="36">
        <v>1177970.33</v>
      </c>
      <c r="K180" s="33">
        <v>6.0</v>
      </c>
      <c r="L180" s="36">
        <v>196328.39</v>
      </c>
    </row>
    <row r="181" ht="22.5" customHeight="1">
      <c r="A181" s="34"/>
      <c r="B181" s="34"/>
      <c r="C181" s="34"/>
      <c r="D181" s="34"/>
      <c r="E181" s="34"/>
      <c r="H181" s="29">
        <v>26508.0</v>
      </c>
      <c r="I181" s="33">
        <v>3.0</v>
      </c>
      <c r="J181" s="36">
        <v>1936625.24</v>
      </c>
      <c r="K181" s="33">
        <v>3.0</v>
      </c>
      <c r="L181" s="36">
        <v>645541.75</v>
      </c>
    </row>
    <row r="182" ht="22.5" customHeight="1">
      <c r="A182" s="34"/>
      <c r="B182" s="34"/>
      <c r="C182" s="34"/>
      <c r="D182" s="34"/>
      <c r="E182" s="34"/>
      <c r="H182" s="29">
        <v>26505.0</v>
      </c>
      <c r="I182" s="33">
        <v>3.0</v>
      </c>
      <c r="J182" s="36">
        <v>1177970.33</v>
      </c>
      <c r="K182" s="33">
        <v>6.0</v>
      </c>
      <c r="L182" s="36">
        <v>196328.39</v>
      </c>
    </row>
    <row r="183" ht="22.5" customHeight="1">
      <c r="A183" s="34"/>
      <c r="B183" s="34"/>
      <c r="C183" s="34"/>
      <c r="D183" s="34"/>
      <c r="E183" s="34"/>
      <c r="H183" s="29">
        <v>26041.0</v>
      </c>
      <c r="I183" s="33">
        <v>1.0</v>
      </c>
      <c r="J183" s="36">
        <v>700766.34</v>
      </c>
      <c r="K183" s="33">
        <v>2.0</v>
      </c>
      <c r="L183" s="36">
        <v>350383.17</v>
      </c>
    </row>
    <row r="184" ht="22.5" customHeight="1">
      <c r="A184" s="34"/>
      <c r="B184" s="34"/>
      <c r="C184" s="34"/>
      <c r="D184" s="34"/>
      <c r="E184" s="34"/>
      <c r="H184" s="29">
        <v>26408.0</v>
      </c>
      <c r="I184" s="33">
        <v>1.0</v>
      </c>
      <c r="J184" s="34"/>
      <c r="K184" s="34"/>
      <c r="L184" s="34"/>
    </row>
    <row r="185" ht="22.5" customHeight="1">
      <c r="A185" s="34"/>
      <c r="B185" s="34"/>
      <c r="C185" s="34"/>
      <c r="D185" s="34"/>
      <c r="E185" s="34"/>
      <c r="H185" s="29">
        <v>25880.0</v>
      </c>
      <c r="I185" s="33">
        <v>2.0</v>
      </c>
      <c r="J185" s="34"/>
      <c r="K185" s="34"/>
      <c r="L185" s="34"/>
    </row>
    <row r="186" ht="22.5" customHeight="1">
      <c r="A186" s="34"/>
      <c r="B186" s="34"/>
      <c r="C186" s="34"/>
      <c r="D186" s="34"/>
      <c r="E186" s="34"/>
      <c r="H186" s="29">
        <v>25880.0</v>
      </c>
      <c r="I186" s="33">
        <v>2.0</v>
      </c>
      <c r="J186" s="34"/>
      <c r="K186" s="34"/>
      <c r="L186" s="34"/>
    </row>
    <row r="187" ht="22.5" customHeight="1">
      <c r="A187" s="34"/>
      <c r="B187" s="34"/>
      <c r="C187" s="34"/>
      <c r="D187" s="34"/>
      <c r="E187" s="34"/>
      <c r="H187" s="29">
        <v>26679.0</v>
      </c>
      <c r="I187" s="33">
        <v>1.0</v>
      </c>
      <c r="J187" s="34"/>
      <c r="K187" s="34"/>
      <c r="L187" s="34"/>
    </row>
    <row r="188" ht="22.5" customHeight="1">
      <c r="A188" s="34"/>
      <c r="B188" s="34"/>
      <c r="C188" s="34"/>
      <c r="D188" s="34"/>
      <c r="E188" s="34"/>
      <c r="H188" s="29">
        <v>26739.0</v>
      </c>
      <c r="I188" s="33">
        <v>1.0</v>
      </c>
      <c r="J188" s="34"/>
      <c r="K188" s="34"/>
      <c r="L188" s="34"/>
    </row>
    <row r="189" ht="22.5" customHeight="1">
      <c r="A189" s="34"/>
      <c r="B189" s="34"/>
      <c r="C189" s="34"/>
      <c r="D189" s="34"/>
      <c r="E189" s="34"/>
      <c r="H189" s="29">
        <v>25882.0</v>
      </c>
      <c r="I189" s="33">
        <v>1.0</v>
      </c>
      <c r="J189" s="36">
        <v>18714.0</v>
      </c>
      <c r="K189" s="33">
        <v>1.0</v>
      </c>
      <c r="L189" s="36">
        <v>18714.0</v>
      </c>
    </row>
    <row r="190" ht="22.5" customHeight="1">
      <c r="A190" s="34"/>
      <c r="B190" s="34"/>
      <c r="C190" s="34"/>
      <c r="D190" s="34"/>
      <c r="E190" s="34"/>
      <c r="H190" s="29">
        <v>26681.0</v>
      </c>
      <c r="I190" s="33">
        <v>1.0</v>
      </c>
      <c r="J190" s="34"/>
      <c r="K190" s="34"/>
      <c r="L190" s="34"/>
    </row>
    <row r="191" ht="22.5" customHeight="1">
      <c r="A191" s="34"/>
      <c r="B191" s="34"/>
      <c r="C191" s="34"/>
      <c r="D191" s="34"/>
      <c r="E191" s="34"/>
      <c r="H191" s="29">
        <v>26047.0</v>
      </c>
      <c r="I191" s="33">
        <v>1.0</v>
      </c>
      <c r="J191" s="36">
        <v>24998.25</v>
      </c>
      <c r="K191" s="33">
        <v>1.0</v>
      </c>
      <c r="L191" s="36">
        <v>24998.25</v>
      </c>
    </row>
    <row r="192" ht="22.5" customHeight="1">
      <c r="A192" s="34"/>
      <c r="B192" s="34"/>
      <c r="C192" s="34"/>
      <c r="D192" s="34"/>
      <c r="E192" s="34"/>
      <c r="H192" s="29">
        <v>25265.0</v>
      </c>
      <c r="I192" s="33">
        <v>1.0</v>
      </c>
      <c r="J192" s="34"/>
      <c r="K192" s="34"/>
      <c r="L192" s="34"/>
    </row>
    <row r="193" ht="22.5" customHeight="1">
      <c r="A193" s="34"/>
      <c r="B193" s="34"/>
      <c r="C193" s="34"/>
      <c r="D193" s="34"/>
      <c r="E193" s="34"/>
      <c r="H193" s="29">
        <v>26056.0</v>
      </c>
      <c r="I193" s="33">
        <v>1.0</v>
      </c>
      <c r="J193" s="34"/>
      <c r="K193" s="34"/>
      <c r="L193" s="34"/>
    </row>
    <row r="194" ht="22.5" customHeight="1">
      <c r="A194" s="34"/>
      <c r="B194" s="34"/>
      <c r="C194" s="34"/>
      <c r="D194" s="34"/>
      <c r="E194" s="34"/>
      <c r="H194" s="29">
        <v>26155.0</v>
      </c>
      <c r="I194" s="33">
        <v>1.0</v>
      </c>
      <c r="J194" s="36">
        <v>368690.08</v>
      </c>
      <c r="K194" s="33">
        <v>2.0</v>
      </c>
      <c r="L194" s="36">
        <v>184345.04</v>
      </c>
    </row>
    <row r="195" ht="22.5" customHeight="1">
      <c r="A195" s="34"/>
      <c r="B195" s="34"/>
      <c r="C195" s="34"/>
      <c r="D195" s="34"/>
      <c r="E195" s="34"/>
      <c r="H195" s="29">
        <v>26050.0</v>
      </c>
      <c r="I195" s="33">
        <v>1.0</v>
      </c>
      <c r="J195" s="34"/>
      <c r="K195" s="34"/>
      <c r="L195" s="34"/>
    </row>
    <row r="196" ht="22.5" customHeight="1">
      <c r="A196" s="34"/>
      <c r="B196" s="34"/>
      <c r="C196" s="34"/>
      <c r="D196" s="34"/>
      <c r="E196" s="34"/>
      <c r="H196" s="29">
        <v>25978.0</v>
      </c>
      <c r="I196" s="33">
        <v>1.0</v>
      </c>
      <c r="J196" s="34"/>
      <c r="K196" s="34"/>
      <c r="L196" s="34"/>
    </row>
    <row r="197" ht="22.5" customHeight="1">
      <c r="A197" s="34"/>
      <c r="B197" s="34"/>
      <c r="C197" s="34"/>
      <c r="D197" s="34"/>
      <c r="E197" s="34"/>
      <c r="H197" s="29">
        <v>25143.0</v>
      </c>
      <c r="I197" s="33">
        <v>1.0</v>
      </c>
      <c r="J197" s="34"/>
      <c r="K197" s="34"/>
      <c r="L197" s="34"/>
    </row>
    <row r="198" ht="22.5" customHeight="1">
      <c r="A198" s="34"/>
      <c r="B198" s="34"/>
      <c r="C198" s="34"/>
      <c r="D198" s="34"/>
      <c r="E198" s="34"/>
      <c r="H198" s="29" t="s">
        <v>1428</v>
      </c>
      <c r="I198" s="33">
        <v>1.0</v>
      </c>
      <c r="J198" s="34"/>
      <c r="K198" s="34"/>
      <c r="L198" s="34"/>
    </row>
    <row r="199" ht="22.5" customHeight="1">
      <c r="A199" s="34"/>
      <c r="B199" s="34"/>
      <c r="C199" s="34"/>
      <c r="D199" s="34"/>
      <c r="E199" s="34"/>
      <c r="H199" s="29">
        <v>25901.0</v>
      </c>
      <c r="I199" s="33">
        <v>2.0</v>
      </c>
      <c r="J199" s="36">
        <v>239586.35</v>
      </c>
      <c r="K199" s="33">
        <v>2.0</v>
      </c>
      <c r="L199" s="36">
        <v>119793.18</v>
      </c>
    </row>
    <row r="200" ht="22.5" customHeight="1">
      <c r="A200" s="34"/>
      <c r="B200" s="34"/>
      <c r="C200" s="34"/>
      <c r="D200" s="34"/>
      <c r="E200" s="34"/>
      <c r="H200" s="29">
        <v>25901.0</v>
      </c>
      <c r="I200" s="33">
        <v>2.0</v>
      </c>
      <c r="J200" s="36">
        <v>239586.35</v>
      </c>
      <c r="K200" s="33">
        <v>2.0</v>
      </c>
      <c r="L200" s="36">
        <v>119793.18</v>
      </c>
    </row>
    <row r="201" ht="22.5" customHeight="1">
      <c r="A201" s="34"/>
      <c r="B201" s="34"/>
      <c r="C201" s="34"/>
      <c r="D201" s="34"/>
      <c r="E201" s="34"/>
      <c r="H201" s="29">
        <v>24870.0</v>
      </c>
      <c r="I201" s="33">
        <v>1.0</v>
      </c>
      <c r="J201" s="36">
        <v>324049.1</v>
      </c>
      <c r="K201" s="33">
        <v>1.0</v>
      </c>
      <c r="L201" s="36">
        <v>324049.1</v>
      </c>
    </row>
    <row r="202" ht="22.5" customHeight="1">
      <c r="A202" s="34"/>
      <c r="B202" s="34"/>
      <c r="C202" s="34"/>
      <c r="D202" s="34"/>
      <c r="E202" s="34"/>
      <c r="H202" s="29">
        <v>25545.0</v>
      </c>
      <c r="I202" s="33">
        <v>1.0</v>
      </c>
      <c r="J202" s="34"/>
      <c r="K202" s="34"/>
      <c r="L202" s="34"/>
    </row>
    <row r="203" ht="22.5" customHeight="1">
      <c r="A203" s="34"/>
      <c r="B203" s="34"/>
      <c r="C203" s="34"/>
      <c r="D203" s="34"/>
      <c r="E203" s="34"/>
      <c r="H203" s="29">
        <v>26101.0</v>
      </c>
      <c r="I203" s="33">
        <v>4.0</v>
      </c>
      <c r="J203" s="36">
        <v>1015860.28</v>
      </c>
      <c r="K203" s="33">
        <v>8.0</v>
      </c>
      <c r="L203" s="36">
        <v>126982.54</v>
      </c>
    </row>
    <row r="204" ht="22.5" customHeight="1">
      <c r="A204" s="34"/>
      <c r="B204" s="34"/>
      <c r="C204" s="34"/>
      <c r="D204" s="34"/>
      <c r="E204" s="34"/>
      <c r="H204" s="29">
        <v>26104.0</v>
      </c>
      <c r="I204" s="33">
        <v>3.0</v>
      </c>
      <c r="J204" s="36">
        <v>19860.75</v>
      </c>
      <c r="K204" s="33">
        <v>1.0</v>
      </c>
      <c r="L204" s="36">
        <v>19860.75</v>
      </c>
    </row>
    <row r="205" ht="22.5" customHeight="1">
      <c r="A205" s="34"/>
      <c r="B205" s="34"/>
      <c r="C205" s="34"/>
      <c r="D205" s="34"/>
      <c r="E205" s="34"/>
      <c r="H205" s="29">
        <v>26101.0</v>
      </c>
      <c r="I205" s="33">
        <v>4.0</v>
      </c>
      <c r="J205" s="36">
        <v>1015860.28</v>
      </c>
      <c r="K205" s="33">
        <v>8.0</v>
      </c>
      <c r="L205" s="36">
        <v>126982.54</v>
      </c>
    </row>
    <row r="206" ht="22.5" customHeight="1">
      <c r="A206" s="34"/>
      <c r="B206" s="34"/>
      <c r="C206" s="34"/>
      <c r="D206" s="34"/>
      <c r="E206" s="34"/>
      <c r="H206" s="29">
        <v>26101.0</v>
      </c>
      <c r="I206" s="33">
        <v>4.0</v>
      </c>
      <c r="J206" s="36">
        <v>1015860.28</v>
      </c>
      <c r="K206" s="33">
        <v>8.0</v>
      </c>
      <c r="L206" s="36">
        <v>126982.54</v>
      </c>
    </row>
    <row r="207" ht="22.5" customHeight="1">
      <c r="A207" s="34"/>
      <c r="B207" s="34"/>
      <c r="C207" s="34"/>
      <c r="D207" s="34"/>
      <c r="E207" s="34"/>
      <c r="H207" s="29">
        <v>26104.0</v>
      </c>
      <c r="I207" s="33">
        <v>3.0</v>
      </c>
      <c r="J207" s="36">
        <v>19860.75</v>
      </c>
      <c r="K207" s="33">
        <v>1.0</v>
      </c>
      <c r="L207" s="36">
        <v>19860.75</v>
      </c>
    </row>
    <row r="208" ht="22.5" customHeight="1">
      <c r="A208" s="34"/>
      <c r="B208" s="34"/>
      <c r="C208" s="34"/>
      <c r="D208" s="34"/>
      <c r="E208" s="34"/>
      <c r="H208" s="29">
        <v>26104.0</v>
      </c>
      <c r="I208" s="33">
        <v>3.0</v>
      </c>
      <c r="J208" s="36">
        <v>19860.75</v>
      </c>
      <c r="K208" s="33">
        <v>1.0</v>
      </c>
      <c r="L208" s="36">
        <v>19860.75</v>
      </c>
    </row>
    <row r="209" ht="22.5" customHeight="1">
      <c r="A209" s="34"/>
      <c r="B209" s="34"/>
      <c r="C209" s="34"/>
      <c r="D209" s="34"/>
      <c r="E209" s="34"/>
      <c r="H209" s="29">
        <v>26101.0</v>
      </c>
      <c r="I209" s="33">
        <v>4.0</v>
      </c>
      <c r="J209" s="36">
        <v>1015860.28</v>
      </c>
      <c r="K209" s="33">
        <v>8.0</v>
      </c>
      <c r="L209" s="36">
        <v>126982.54</v>
      </c>
    </row>
    <row r="210" ht="22.5" customHeight="1">
      <c r="A210" s="34"/>
      <c r="B210" s="34"/>
      <c r="C210" s="34"/>
      <c r="D210" s="34"/>
      <c r="E210" s="34"/>
      <c r="H210" s="29">
        <v>26287.0</v>
      </c>
      <c r="I210" s="33">
        <v>1.0</v>
      </c>
      <c r="J210" s="36">
        <v>116007.09</v>
      </c>
      <c r="K210" s="33">
        <v>1.0</v>
      </c>
      <c r="L210" s="36">
        <v>116007.09</v>
      </c>
    </row>
    <row r="211" ht="22.5" customHeight="1">
      <c r="A211" s="34"/>
      <c r="B211" s="34"/>
      <c r="C211" s="34"/>
      <c r="D211" s="34"/>
      <c r="E211" s="34"/>
      <c r="H211" s="29">
        <v>25434.0</v>
      </c>
      <c r="I211" s="33">
        <v>1.0</v>
      </c>
      <c r="J211" s="34"/>
      <c r="K211" s="34"/>
      <c r="L211" s="34"/>
    </row>
    <row r="212" ht="22.5" customHeight="1">
      <c r="A212" s="34"/>
      <c r="B212" s="34"/>
      <c r="C212" s="34"/>
      <c r="D212" s="34"/>
      <c r="E212" s="34"/>
      <c r="H212" s="29">
        <v>24873.0</v>
      </c>
      <c r="I212" s="33">
        <v>1.0</v>
      </c>
      <c r="J212" s="34"/>
      <c r="K212" s="34"/>
      <c r="L212" s="34"/>
    </row>
    <row r="213" ht="22.5" customHeight="1">
      <c r="A213" s="34"/>
      <c r="B213" s="34"/>
      <c r="C213" s="34"/>
      <c r="D213" s="34"/>
      <c r="E213" s="34"/>
      <c r="H213" s="29">
        <v>25547.0</v>
      </c>
      <c r="I213" s="33">
        <v>1.0</v>
      </c>
      <c r="J213" s="34"/>
      <c r="K213" s="34"/>
      <c r="L213" s="34"/>
    </row>
    <row r="214" ht="22.5" customHeight="1">
      <c r="A214" s="34"/>
      <c r="B214" s="34"/>
      <c r="C214" s="34"/>
      <c r="D214" s="34"/>
      <c r="E214" s="34"/>
      <c r="H214" s="29">
        <v>26415.0</v>
      </c>
      <c r="I214" s="33">
        <v>1.0</v>
      </c>
      <c r="J214" s="34"/>
      <c r="K214" s="34"/>
      <c r="L214" s="34"/>
    </row>
    <row r="215" ht="22.5" customHeight="1">
      <c r="A215" s="34"/>
      <c r="B215" s="34"/>
      <c r="C215" s="34"/>
      <c r="D215" s="34"/>
      <c r="E215" s="34"/>
      <c r="H215" s="29">
        <v>26847.0</v>
      </c>
      <c r="I215" s="33">
        <v>1.0</v>
      </c>
      <c r="J215" s="36">
        <v>136747.41</v>
      </c>
      <c r="K215" s="33">
        <v>1.0</v>
      </c>
      <c r="L215" s="36">
        <v>136747.41</v>
      </c>
    </row>
    <row r="216" ht="22.5" customHeight="1">
      <c r="A216" s="34"/>
      <c r="B216" s="34"/>
      <c r="C216" s="34"/>
      <c r="D216" s="34"/>
      <c r="E216" s="34"/>
      <c r="H216" s="29">
        <v>24963.0</v>
      </c>
      <c r="I216" s="33">
        <v>1.0</v>
      </c>
      <c r="J216" s="34"/>
      <c r="K216" s="34"/>
      <c r="L216" s="34"/>
    </row>
    <row r="217" ht="22.5" customHeight="1">
      <c r="A217" s="34"/>
      <c r="B217" s="34"/>
      <c r="C217" s="34"/>
      <c r="D217" s="34"/>
      <c r="E217" s="34"/>
      <c r="H217" s="29">
        <v>26414.0</v>
      </c>
      <c r="I217" s="33">
        <v>1.0</v>
      </c>
      <c r="J217" s="34"/>
      <c r="K217" s="34"/>
      <c r="L217" s="34"/>
    </row>
    <row r="218" ht="22.5" customHeight="1">
      <c r="A218" s="34"/>
      <c r="B218" s="34"/>
      <c r="C218" s="34"/>
      <c r="D218" s="34"/>
      <c r="E218" s="34"/>
      <c r="H218" s="29">
        <v>26419.0</v>
      </c>
      <c r="I218" s="33">
        <v>1.0</v>
      </c>
      <c r="J218" s="34"/>
      <c r="K218" s="34"/>
      <c r="L218" s="34"/>
    </row>
    <row r="219" ht="22.5" customHeight="1">
      <c r="A219" s="34"/>
      <c r="B219" s="34"/>
      <c r="C219" s="34"/>
      <c r="D219" s="34"/>
      <c r="E219" s="34"/>
      <c r="H219" s="29">
        <v>24874.0</v>
      </c>
      <c r="I219" s="33">
        <v>1.0</v>
      </c>
      <c r="J219" s="36">
        <v>124089.62</v>
      </c>
      <c r="K219" s="33">
        <v>2.0</v>
      </c>
      <c r="L219" s="36">
        <v>62044.81</v>
      </c>
    </row>
    <row r="220" ht="22.5" customHeight="1">
      <c r="A220" s="34"/>
      <c r="B220" s="34"/>
      <c r="C220" s="34"/>
      <c r="D220" s="34"/>
      <c r="E220" s="34"/>
      <c r="H220" s="29" t="s">
        <v>1467</v>
      </c>
      <c r="I220" s="33">
        <v>1.0</v>
      </c>
      <c r="J220" s="34"/>
      <c r="K220" s="34"/>
      <c r="L220" s="34"/>
    </row>
    <row r="221" ht="22.5" customHeight="1">
      <c r="A221" s="34"/>
      <c r="B221" s="34"/>
      <c r="C221" s="34"/>
      <c r="D221" s="34"/>
      <c r="E221" s="34"/>
      <c r="H221" s="29">
        <v>25550.0</v>
      </c>
      <c r="I221" s="33">
        <v>3.0</v>
      </c>
      <c r="J221" s="36">
        <v>124617.71</v>
      </c>
      <c r="K221" s="33">
        <v>1.0</v>
      </c>
      <c r="L221" s="36">
        <v>124617.71</v>
      </c>
    </row>
    <row r="222" ht="22.5" customHeight="1">
      <c r="A222" s="34"/>
      <c r="B222" s="34"/>
      <c r="C222" s="34"/>
      <c r="D222" s="34"/>
      <c r="E222" s="34"/>
      <c r="H222" s="29">
        <v>25550.0</v>
      </c>
      <c r="I222" s="33">
        <v>3.0</v>
      </c>
      <c r="J222" s="36">
        <v>124617.71</v>
      </c>
      <c r="K222" s="33">
        <v>1.0</v>
      </c>
      <c r="L222" s="36">
        <v>124617.71</v>
      </c>
    </row>
    <row r="223" ht="22.5" customHeight="1">
      <c r="A223" s="34"/>
      <c r="B223" s="34"/>
      <c r="C223" s="34"/>
      <c r="D223" s="34"/>
      <c r="E223" s="34"/>
      <c r="H223" s="29">
        <v>25550.0</v>
      </c>
      <c r="I223" s="33">
        <v>3.0</v>
      </c>
      <c r="J223" s="36">
        <v>124617.71</v>
      </c>
      <c r="K223" s="33">
        <v>1.0</v>
      </c>
      <c r="L223" s="36">
        <v>124617.71</v>
      </c>
    </row>
    <row r="224" ht="22.5" customHeight="1">
      <c r="A224" s="34"/>
      <c r="B224" s="34"/>
      <c r="C224" s="34"/>
      <c r="D224" s="34"/>
      <c r="E224" s="34"/>
      <c r="H224" s="29">
        <v>25555.0</v>
      </c>
      <c r="I224" s="33">
        <v>1.0</v>
      </c>
      <c r="J224" s="34"/>
      <c r="K224" s="34"/>
      <c r="L224" s="34"/>
    </row>
    <row r="225" ht="22.5" customHeight="1">
      <c r="A225" s="34"/>
      <c r="B225" s="34"/>
      <c r="C225" s="34"/>
      <c r="D225" s="34"/>
      <c r="E225" s="34"/>
      <c r="H225" s="29">
        <v>24740.0</v>
      </c>
      <c r="I225" s="33">
        <v>4.0</v>
      </c>
      <c r="J225" s="36">
        <v>1967873.43</v>
      </c>
      <c r="K225" s="33">
        <v>6.0</v>
      </c>
      <c r="L225" s="36">
        <v>327978.9</v>
      </c>
    </row>
    <row r="226" ht="22.5" customHeight="1">
      <c r="A226" s="34"/>
      <c r="B226" s="34"/>
      <c r="C226" s="34"/>
      <c r="D226" s="34"/>
      <c r="E226" s="34"/>
      <c r="H226" s="29">
        <v>24740.0</v>
      </c>
      <c r="I226" s="33">
        <v>4.0</v>
      </c>
      <c r="J226" s="36">
        <v>1967873.43</v>
      </c>
      <c r="K226" s="33">
        <v>6.0</v>
      </c>
      <c r="L226" s="36">
        <v>327978.9</v>
      </c>
    </row>
    <row r="227" ht="22.5" customHeight="1">
      <c r="A227" s="34"/>
      <c r="B227" s="34"/>
      <c r="C227" s="34"/>
      <c r="D227" s="34"/>
      <c r="E227" s="34"/>
      <c r="H227" s="29">
        <v>24740.0</v>
      </c>
      <c r="I227" s="33">
        <v>4.0</v>
      </c>
      <c r="J227" s="36">
        <v>1967873.43</v>
      </c>
      <c r="K227" s="33">
        <v>6.0</v>
      </c>
      <c r="L227" s="36">
        <v>327978.9</v>
      </c>
    </row>
    <row r="228" ht="22.5" customHeight="1">
      <c r="A228" s="34"/>
      <c r="B228" s="34"/>
      <c r="C228" s="34"/>
      <c r="D228" s="34"/>
      <c r="E228" s="34"/>
      <c r="H228" s="29">
        <v>24740.0</v>
      </c>
      <c r="I228" s="33">
        <v>4.0</v>
      </c>
      <c r="J228" s="36">
        <v>1967873.43</v>
      </c>
      <c r="K228" s="33">
        <v>6.0</v>
      </c>
      <c r="L228" s="36">
        <v>327978.9</v>
      </c>
    </row>
    <row r="229" ht="22.5" customHeight="1">
      <c r="A229" s="34"/>
      <c r="B229" s="34"/>
      <c r="C229" s="34"/>
      <c r="D229" s="34"/>
      <c r="E229" s="34"/>
      <c r="H229" s="29">
        <v>24739.0</v>
      </c>
      <c r="I229" s="33">
        <v>1.0</v>
      </c>
      <c r="J229" s="34"/>
      <c r="K229" s="34"/>
      <c r="L229" s="34"/>
    </row>
    <row r="230" ht="22.5" customHeight="1">
      <c r="A230" s="34"/>
      <c r="B230" s="34"/>
      <c r="C230" s="34"/>
      <c r="D230" s="34"/>
      <c r="E230" s="34"/>
      <c r="H230" s="29">
        <v>25962.0</v>
      </c>
      <c r="I230" s="33">
        <v>1.0</v>
      </c>
      <c r="J230" s="36">
        <v>397740.46</v>
      </c>
      <c r="K230" s="33">
        <v>1.0</v>
      </c>
      <c r="L230" s="36">
        <v>397740.46</v>
      </c>
    </row>
    <row r="231" ht="22.5" customHeight="1">
      <c r="A231" s="34"/>
      <c r="B231" s="34"/>
      <c r="C231" s="34"/>
      <c r="D231" s="34"/>
      <c r="E231" s="34"/>
      <c r="H231" s="29">
        <v>25438.0</v>
      </c>
      <c r="I231" s="33">
        <v>1.0</v>
      </c>
      <c r="J231" s="36">
        <v>67372.61</v>
      </c>
      <c r="K231" s="33">
        <v>1.0</v>
      </c>
      <c r="L231" s="36">
        <v>67372.61</v>
      </c>
    </row>
    <row r="232" ht="22.5" customHeight="1">
      <c r="A232" s="34"/>
      <c r="B232" s="34"/>
      <c r="C232" s="34"/>
      <c r="D232" s="34"/>
      <c r="E232" s="34"/>
      <c r="H232" s="29">
        <v>26164.0</v>
      </c>
      <c r="I232" s="33">
        <v>1.0</v>
      </c>
      <c r="J232" s="36">
        <v>33937.06</v>
      </c>
      <c r="K232" s="33">
        <v>1.0</v>
      </c>
      <c r="L232" s="36">
        <v>33937.06</v>
      </c>
    </row>
    <row r="233" ht="22.5" customHeight="1">
      <c r="A233" s="34"/>
      <c r="B233" s="34"/>
      <c r="C233" s="34"/>
      <c r="D233" s="34"/>
      <c r="E233" s="34"/>
      <c r="H233" s="29">
        <v>26547.0</v>
      </c>
      <c r="I233" s="33">
        <v>1.0</v>
      </c>
      <c r="J233" s="36">
        <v>18887.79</v>
      </c>
      <c r="K233" s="33">
        <v>1.0</v>
      </c>
      <c r="L233" s="36">
        <v>18887.79</v>
      </c>
    </row>
    <row r="234" ht="22.5" customHeight="1">
      <c r="A234" s="34"/>
      <c r="B234" s="34"/>
      <c r="C234" s="34"/>
      <c r="D234" s="34"/>
      <c r="E234" s="34"/>
      <c r="H234" s="29">
        <v>26261.0</v>
      </c>
      <c r="I234" s="33">
        <v>1.0</v>
      </c>
      <c r="J234" s="34"/>
      <c r="K234" s="34"/>
      <c r="L234" s="34"/>
    </row>
    <row r="235" ht="22.5" customHeight="1">
      <c r="A235" s="34"/>
      <c r="B235" s="34"/>
      <c r="C235" s="34"/>
      <c r="D235" s="34"/>
      <c r="E235" s="34"/>
      <c r="H235" s="29">
        <v>26753.0</v>
      </c>
      <c r="I235" s="33">
        <v>1.0</v>
      </c>
      <c r="J235" s="34"/>
      <c r="K235" s="34"/>
      <c r="L235" s="34"/>
    </row>
    <row r="236" ht="22.5" customHeight="1">
      <c r="A236" s="34"/>
      <c r="B236" s="34"/>
      <c r="C236" s="34"/>
      <c r="D236" s="34"/>
      <c r="E236" s="34"/>
      <c r="H236" s="29">
        <v>25271.0</v>
      </c>
      <c r="I236" s="33">
        <v>3.0</v>
      </c>
      <c r="J236" s="36">
        <v>654871.25</v>
      </c>
      <c r="K236" s="33">
        <v>2.0</v>
      </c>
      <c r="L236" s="36">
        <v>327435.63</v>
      </c>
    </row>
    <row r="237" ht="22.5" customHeight="1">
      <c r="A237" s="34"/>
      <c r="B237" s="34"/>
      <c r="C237" s="34"/>
      <c r="D237" s="34"/>
      <c r="E237" s="34"/>
      <c r="H237" s="29">
        <v>25271.0</v>
      </c>
      <c r="I237" s="33">
        <v>3.0</v>
      </c>
      <c r="J237" s="36">
        <v>654871.25</v>
      </c>
      <c r="K237" s="33">
        <v>2.0</v>
      </c>
      <c r="L237" s="36">
        <v>327435.63</v>
      </c>
    </row>
    <row r="238" ht="22.5" customHeight="1">
      <c r="A238" s="34"/>
      <c r="B238" s="34"/>
      <c r="C238" s="34"/>
      <c r="D238" s="34"/>
      <c r="E238" s="34"/>
      <c r="H238" s="29">
        <v>25271.0</v>
      </c>
      <c r="I238" s="33">
        <v>3.0</v>
      </c>
      <c r="J238" s="36">
        <v>654871.25</v>
      </c>
      <c r="K238" s="33">
        <v>2.0</v>
      </c>
      <c r="L238" s="36">
        <v>327435.63</v>
      </c>
    </row>
    <row r="239" ht="22.5" customHeight="1">
      <c r="A239" s="34"/>
      <c r="B239" s="34"/>
      <c r="C239" s="34"/>
      <c r="D239" s="34"/>
      <c r="E239" s="34"/>
      <c r="H239" s="29">
        <v>24747.0</v>
      </c>
      <c r="I239" s="33">
        <v>1.0</v>
      </c>
      <c r="J239" s="34"/>
      <c r="K239" s="34"/>
      <c r="L239" s="34"/>
    </row>
    <row r="240" ht="22.5" customHeight="1">
      <c r="A240" s="34"/>
      <c r="B240" s="34"/>
      <c r="C240" s="34"/>
      <c r="D240" s="34"/>
      <c r="E240" s="34"/>
      <c r="H240" s="29">
        <v>26757.0</v>
      </c>
      <c r="I240" s="33">
        <v>1.0</v>
      </c>
      <c r="J240" s="36">
        <v>764974.34</v>
      </c>
      <c r="K240" s="33">
        <v>1.0</v>
      </c>
      <c r="L240" s="36">
        <v>764974.34</v>
      </c>
    </row>
    <row r="241" ht="22.5" customHeight="1">
      <c r="A241" s="34"/>
      <c r="B241" s="34"/>
      <c r="C241" s="34"/>
      <c r="D241" s="34"/>
      <c r="E241" s="34"/>
      <c r="H241" s="29">
        <v>24970.0</v>
      </c>
      <c r="I241" s="33">
        <v>2.0</v>
      </c>
      <c r="J241" s="36">
        <v>177519.95</v>
      </c>
      <c r="K241" s="33">
        <v>1.0</v>
      </c>
      <c r="L241" s="36">
        <v>177519.95</v>
      </c>
    </row>
    <row r="242" ht="22.5" customHeight="1">
      <c r="A242" s="34"/>
      <c r="B242" s="34"/>
      <c r="C242" s="34"/>
      <c r="D242" s="34"/>
      <c r="E242" s="34"/>
      <c r="H242" s="29">
        <v>24970.0</v>
      </c>
      <c r="I242" s="33">
        <v>2.0</v>
      </c>
      <c r="J242" s="36">
        <v>177519.95</v>
      </c>
      <c r="K242" s="33">
        <v>1.0</v>
      </c>
      <c r="L242" s="36">
        <v>177519.95</v>
      </c>
    </row>
    <row r="243" ht="22.5" customHeight="1">
      <c r="A243" s="34"/>
      <c r="B243" s="34"/>
      <c r="C243" s="34"/>
      <c r="D243" s="34"/>
      <c r="E243" s="34"/>
      <c r="H243" s="29">
        <v>25984.0</v>
      </c>
      <c r="I243" s="33">
        <v>1.0</v>
      </c>
      <c r="J243" s="34"/>
      <c r="K243" s="34"/>
      <c r="L243" s="34"/>
    </row>
    <row r="244" ht="22.5" customHeight="1">
      <c r="A244" s="34"/>
      <c r="B244" s="34"/>
      <c r="C244" s="34"/>
      <c r="D244" s="34"/>
      <c r="E244" s="34"/>
      <c r="H244" s="29">
        <v>25177.0</v>
      </c>
      <c r="I244" s="33">
        <v>6.0</v>
      </c>
      <c r="J244" s="36">
        <v>354265.73</v>
      </c>
      <c r="K244" s="33">
        <v>2.0</v>
      </c>
      <c r="L244" s="36">
        <v>177132.86</v>
      </c>
    </row>
    <row r="245" ht="22.5" customHeight="1">
      <c r="A245" s="34"/>
      <c r="B245" s="34"/>
      <c r="C245" s="34"/>
      <c r="D245" s="34"/>
      <c r="E245" s="34"/>
      <c r="H245" s="29">
        <v>25177.0</v>
      </c>
      <c r="I245" s="33">
        <v>6.0</v>
      </c>
      <c r="J245" s="36">
        <v>354265.73</v>
      </c>
      <c r="K245" s="33">
        <v>2.0</v>
      </c>
      <c r="L245" s="36">
        <v>177132.86</v>
      </c>
    </row>
    <row r="246" ht="22.5" customHeight="1">
      <c r="A246" s="34"/>
      <c r="B246" s="34"/>
      <c r="C246" s="34"/>
      <c r="D246" s="34"/>
      <c r="E246" s="34"/>
      <c r="H246" s="29">
        <v>25177.0</v>
      </c>
      <c r="I246" s="33">
        <v>6.0</v>
      </c>
      <c r="J246" s="36">
        <v>354265.73</v>
      </c>
      <c r="K246" s="33">
        <v>2.0</v>
      </c>
      <c r="L246" s="36">
        <v>177132.86</v>
      </c>
    </row>
    <row r="247" ht="22.5" customHeight="1">
      <c r="A247" s="34"/>
      <c r="B247" s="34"/>
      <c r="C247" s="34"/>
      <c r="D247" s="34"/>
      <c r="E247" s="34"/>
      <c r="H247" s="29">
        <v>25177.0</v>
      </c>
      <c r="I247" s="33">
        <v>6.0</v>
      </c>
      <c r="J247" s="36">
        <v>354265.73</v>
      </c>
      <c r="K247" s="33">
        <v>2.0</v>
      </c>
      <c r="L247" s="36">
        <v>177132.86</v>
      </c>
    </row>
    <row r="248" ht="22.5" customHeight="1">
      <c r="A248" s="34"/>
      <c r="B248" s="34"/>
      <c r="C248" s="34"/>
      <c r="D248" s="34"/>
      <c r="E248" s="34"/>
      <c r="H248" s="29">
        <v>25177.0</v>
      </c>
      <c r="I248" s="33">
        <v>6.0</v>
      </c>
      <c r="J248" s="36">
        <v>354265.73</v>
      </c>
      <c r="K248" s="33">
        <v>2.0</v>
      </c>
      <c r="L248" s="36">
        <v>177132.86</v>
      </c>
    </row>
    <row r="249" ht="22.5" customHeight="1">
      <c r="A249" s="34"/>
      <c r="B249" s="34"/>
      <c r="C249" s="34"/>
      <c r="D249" s="34"/>
      <c r="E249" s="34"/>
      <c r="H249" s="29">
        <v>25177.0</v>
      </c>
      <c r="I249" s="33">
        <v>6.0</v>
      </c>
      <c r="J249" s="36">
        <v>354265.73</v>
      </c>
      <c r="K249" s="33">
        <v>2.0</v>
      </c>
      <c r="L249" s="36">
        <v>177132.86</v>
      </c>
    </row>
    <row r="250" ht="22.5" customHeight="1">
      <c r="A250" s="34"/>
      <c r="B250" s="34"/>
      <c r="C250" s="34"/>
      <c r="D250" s="34"/>
      <c r="E250" s="34"/>
      <c r="H250" s="29">
        <v>26170.0</v>
      </c>
      <c r="I250" s="33">
        <v>1.0</v>
      </c>
      <c r="J250" s="36">
        <v>102732.47</v>
      </c>
      <c r="K250" s="33">
        <v>1.0</v>
      </c>
      <c r="L250" s="36">
        <v>102732.47</v>
      </c>
    </row>
    <row r="251" ht="22.5" customHeight="1">
      <c r="A251" s="34"/>
      <c r="B251" s="34"/>
      <c r="C251" s="34"/>
      <c r="D251" s="34"/>
      <c r="E251" s="34"/>
      <c r="H251" s="29">
        <v>26426.0</v>
      </c>
      <c r="I251" s="33">
        <v>1.0</v>
      </c>
      <c r="J251" s="36">
        <v>32935.28</v>
      </c>
      <c r="K251" s="33">
        <v>1.0</v>
      </c>
      <c r="L251" s="36">
        <v>32935.28</v>
      </c>
    </row>
    <row r="252" ht="22.5" customHeight="1">
      <c r="A252" s="34"/>
      <c r="B252" s="34"/>
      <c r="C252" s="34"/>
      <c r="D252" s="34"/>
      <c r="E252" s="34"/>
      <c r="H252" s="29">
        <v>25559.0</v>
      </c>
      <c r="I252" s="33">
        <v>1.0</v>
      </c>
      <c r="J252" s="36">
        <v>12817.34</v>
      </c>
      <c r="K252" s="33">
        <v>1.0</v>
      </c>
      <c r="L252" s="36">
        <v>12817.34</v>
      </c>
    </row>
    <row r="253" ht="22.5" customHeight="1">
      <c r="A253" s="34"/>
      <c r="B253" s="34"/>
      <c r="C253" s="34"/>
      <c r="D253" s="34"/>
      <c r="E253" s="34"/>
      <c r="H253" s="29">
        <v>25918.0</v>
      </c>
      <c r="I253" s="33">
        <v>1.0</v>
      </c>
      <c r="J253" s="34"/>
      <c r="K253" s="34"/>
      <c r="L253" s="34"/>
    </row>
    <row r="254" ht="22.5" customHeight="1">
      <c r="A254" s="34"/>
      <c r="B254" s="34"/>
      <c r="C254" s="34"/>
      <c r="D254" s="34"/>
      <c r="E254" s="34"/>
      <c r="H254" s="29">
        <v>25442.0</v>
      </c>
      <c r="I254" s="33">
        <v>1.0</v>
      </c>
      <c r="J254" s="34"/>
      <c r="K254" s="34"/>
      <c r="L254" s="34"/>
    </row>
    <row r="255" ht="22.5" customHeight="1">
      <c r="A255" s="34"/>
      <c r="B255" s="34"/>
      <c r="C255" s="34"/>
      <c r="D255" s="34"/>
      <c r="E255" s="34"/>
      <c r="H255" s="29">
        <v>25443.0</v>
      </c>
      <c r="I255" s="33">
        <v>1.0</v>
      </c>
      <c r="J255" s="36">
        <v>50296.53</v>
      </c>
      <c r="K255" s="33">
        <v>1.0</v>
      </c>
      <c r="L255" s="36">
        <v>50296.53</v>
      </c>
    </row>
    <row r="256" ht="22.5" customHeight="1">
      <c r="A256" s="34"/>
      <c r="B256" s="34"/>
      <c r="C256" s="34"/>
      <c r="D256" s="34"/>
      <c r="E256" s="34"/>
      <c r="H256" s="29">
        <v>26431.0</v>
      </c>
      <c r="I256" s="33">
        <v>2.0</v>
      </c>
      <c r="J256" s="36">
        <v>101781.48</v>
      </c>
      <c r="K256" s="33">
        <v>1.0</v>
      </c>
      <c r="L256" s="36">
        <v>101781.48</v>
      </c>
    </row>
    <row r="257" ht="22.5" customHeight="1">
      <c r="A257" s="34"/>
      <c r="B257" s="34"/>
      <c r="C257" s="34"/>
      <c r="D257" s="34"/>
      <c r="E257" s="34"/>
      <c r="H257" s="29">
        <v>26431.0</v>
      </c>
      <c r="I257" s="33">
        <v>2.0</v>
      </c>
      <c r="J257" s="36">
        <v>101781.48</v>
      </c>
      <c r="K257" s="33">
        <v>1.0</v>
      </c>
      <c r="L257" s="36">
        <v>101781.48</v>
      </c>
    </row>
    <row r="258" ht="22.5" customHeight="1">
      <c r="A258" s="34"/>
      <c r="B258" s="34"/>
      <c r="C258" s="34"/>
      <c r="D258" s="34"/>
      <c r="E258" s="34"/>
      <c r="H258" s="29">
        <v>25320.0</v>
      </c>
      <c r="I258" s="33">
        <v>1.0</v>
      </c>
      <c r="J258" s="36">
        <v>13052.81</v>
      </c>
      <c r="K258" s="33">
        <v>1.0</v>
      </c>
      <c r="L258" s="36">
        <v>13052.81</v>
      </c>
    </row>
    <row r="259" ht="22.5" customHeight="1">
      <c r="A259" s="34"/>
      <c r="B259" s="34"/>
      <c r="C259" s="34"/>
      <c r="D259" s="34"/>
      <c r="E259" s="34"/>
      <c r="H259" s="29">
        <v>25444.0</v>
      </c>
      <c r="I259" s="33">
        <v>1.0</v>
      </c>
      <c r="J259" s="34"/>
      <c r="K259" s="34"/>
      <c r="L259" s="34"/>
    </row>
    <row r="260" ht="22.5" customHeight="1">
      <c r="A260" s="34"/>
      <c r="B260" s="34"/>
      <c r="C260" s="34"/>
      <c r="D260" s="34"/>
      <c r="E260" s="34"/>
      <c r="H260" s="29">
        <v>26291.0</v>
      </c>
      <c r="I260" s="33">
        <v>1.0</v>
      </c>
      <c r="J260" s="36">
        <v>354.92</v>
      </c>
      <c r="K260" s="33">
        <v>1.0</v>
      </c>
      <c r="L260" s="36">
        <v>354.92</v>
      </c>
    </row>
    <row r="261" ht="22.5" customHeight="1">
      <c r="A261" s="34"/>
      <c r="B261" s="34"/>
      <c r="C261" s="34"/>
      <c r="D261" s="34"/>
      <c r="E261" s="34"/>
      <c r="H261" s="29">
        <v>25186.0</v>
      </c>
      <c r="I261" s="33">
        <v>1.0</v>
      </c>
      <c r="J261" s="36">
        <v>50396.05</v>
      </c>
      <c r="K261" s="33">
        <v>1.0</v>
      </c>
      <c r="L261" s="36">
        <v>50396.05</v>
      </c>
    </row>
    <row r="262" ht="22.5" customHeight="1">
      <c r="A262" s="34"/>
      <c r="B262" s="34"/>
      <c r="C262" s="34"/>
      <c r="D262" s="34"/>
      <c r="E262" s="34"/>
      <c r="H262" s="29">
        <v>26178.0</v>
      </c>
      <c r="I262" s="33">
        <v>1.0</v>
      </c>
      <c r="J262" s="34"/>
      <c r="K262" s="34"/>
      <c r="L262" s="34"/>
    </row>
    <row r="263" ht="22.5" customHeight="1">
      <c r="A263" s="34"/>
      <c r="B263" s="34"/>
      <c r="C263" s="34"/>
      <c r="D263" s="34"/>
      <c r="E263" s="34"/>
      <c r="H263" s="29">
        <v>25921.0</v>
      </c>
      <c r="I263" s="33">
        <v>2.0</v>
      </c>
      <c r="J263" s="36">
        <v>96217.67</v>
      </c>
      <c r="K263" s="33">
        <v>1.0</v>
      </c>
      <c r="L263" s="36">
        <v>96217.67</v>
      </c>
    </row>
    <row r="264" ht="22.5" customHeight="1">
      <c r="A264" s="34"/>
      <c r="B264" s="34"/>
      <c r="C264" s="34"/>
      <c r="D264" s="34"/>
      <c r="E264" s="34"/>
      <c r="H264" s="29">
        <v>25921.0</v>
      </c>
      <c r="I264" s="33">
        <v>2.0</v>
      </c>
      <c r="J264" s="36">
        <v>96217.67</v>
      </c>
      <c r="K264" s="33">
        <v>1.0</v>
      </c>
      <c r="L264" s="36">
        <v>96217.67</v>
      </c>
    </row>
    <row r="265" ht="22.5" customHeight="1">
      <c r="A265" s="34"/>
      <c r="B265" s="34"/>
      <c r="C265" s="34"/>
      <c r="D265" s="34"/>
      <c r="E265" s="34"/>
      <c r="H265" s="29">
        <v>25309.0</v>
      </c>
      <c r="I265" s="33">
        <v>2.0</v>
      </c>
      <c r="J265" s="36">
        <v>594401.81</v>
      </c>
      <c r="K265" s="33">
        <v>1.0</v>
      </c>
      <c r="L265" s="36">
        <v>594401.81</v>
      </c>
    </row>
    <row r="266" ht="22.5" customHeight="1">
      <c r="A266" s="34"/>
      <c r="B266" s="34"/>
      <c r="C266" s="34"/>
      <c r="D266" s="34"/>
      <c r="E266" s="34"/>
      <c r="H266" s="29">
        <v>25303.0</v>
      </c>
      <c r="I266" s="33">
        <v>1.0</v>
      </c>
      <c r="J266" s="36">
        <v>254314.73</v>
      </c>
      <c r="K266" s="33">
        <v>2.0</v>
      </c>
      <c r="L266" s="36">
        <v>127157.37</v>
      </c>
    </row>
    <row r="267" ht="22.5" customHeight="1">
      <c r="A267" s="34"/>
      <c r="B267" s="34"/>
      <c r="C267" s="34"/>
      <c r="D267" s="34"/>
      <c r="E267" s="34"/>
      <c r="H267" s="29">
        <v>25309.0</v>
      </c>
      <c r="I267" s="33">
        <v>2.0</v>
      </c>
      <c r="J267" s="36">
        <v>594401.81</v>
      </c>
      <c r="K267" s="33">
        <v>1.0</v>
      </c>
      <c r="L267" s="36">
        <v>594401.81</v>
      </c>
    </row>
    <row r="268" ht="22.5" customHeight="1">
      <c r="A268" s="34"/>
      <c r="B268" s="34"/>
      <c r="C268" s="34"/>
      <c r="D268" s="34"/>
      <c r="E268" s="34"/>
      <c r="H268" s="29">
        <v>25276.0</v>
      </c>
      <c r="I268" s="33">
        <v>1.0</v>
      </c>
      <c r="J268" s="36">
        <v>328157.36</v>
      </c>
      <c r="K268" s="33">
        <v>2.0</v>
      </c>
      <c r="L268" s="36">
        <v>164078.68</v>
      </c>
    </row>
    <row r="269" ht="22.5" customHeight="1">
      <c r="A269" s="34"/>
      <c r="B269" s="34"/>
      <c r="C269" s="34"/>
      <c r="D269" s="34"/>
      <c r="E269" s="34"/>
      <c r="H269" s="29">
        <v>26763.0</v>
      </c>
      <c r="I269" s="33">
        <v>1.0</v>
      </c>
      <c r="J269" s="36">
        <v>263.42</v>
      </c>
      <c r="K269" s="33">
        <v>1.0</v>
      </c>
      <c r="L269" s="36">
        <v>263.42</v>
      </c>
    </row>
    <row r="270" ht="22.5" customHeight="1">
      <c r="A270" s="34"/>
      <c r="B270" s="34"/>
      <c r="C270" s="34"/>
      <c r="D270" s="34"/>
      <c r="E270" s="34"/>
      <c r="H270" s="29">
        <v>26505.0</v>
      </c>
      <c r="I270" s="33">
        <v>3.0</v>
      </c>
      <c r="J270" s="36">
        <v>1177970.33</v>
      </c>
      <c r="K270" s="33">
        <v>6.0</v>
      </c>
      <c r="L270" s="36">
        <v>196328.39</v>
      </c>
    </row>
    <row r="271" ht="22.5" customHeight="1">
      <c r="A271" s="34"/>
      <c r="B271" s="34"/>
      <c r="C271" s="34"/>
      <c r="D271" s="34"/>
      <c r="E271" s="34"/>
      <c r="H271" s="29">
        <v>26651.0</v>
      </c>
      <c r="I271" s="33">
        <v>2.0</v>
      </c>
      <c r="J271" s="36">
        <v>681659.51</v>
      </c>
      <c r="K271" s="33">
        <v>3.0</v>
      </c>
      <c r="L271" s="36">
        <v>227219.84</v>
      </c>
    </row>
    <row r="272" ht="22.5" customHeight="1">
      <c r="A272" s="34"/>
      <c r="B272" s="34"/>
      <c r="C272" s="34"/>
      <c r="D272" s="34"/>
      <c r="E272" s="34"/>
      <c r="H272" s="29">
        <v>26651.0</v>
      </c>
      <c r="I272" s="33">
        <v>2.0</v>
      </c>
      <c r="J272" s="36">
        <v>681659.51</v>
      </c>
      <c r="K272" s="33">
        <v>3.0</v>
      </c>
      <c r="L272" s="36">
        <v>227219.84</v>
      </c>
    </row>
    <row r="273" ht="22.5" customHeight="1">
      <c r="A273" s="34"/>
      <c r="B273" s="34"/>
      <c r="C273" s="34"/>
      <c r="D273" s="34"/>
      <c r="E273" s="34"/>
      <c r="H273" s="29">
        <v>26601.0</v>
      </c>
      <c r="I273" s="33">
        <v>1.0</v>
      </c>
      <c r="J273" s="36">
        <v>339185.91</v>
      </c>
      <c r="K273" s="33">
        <v>1.0</v>
      </c>
      <c r="L273" s="36">
        <v>339185.91</v>
      </c>
    </row>
    <row r="274" ht="22.5" customHeight="1">
      <c r="A274" s="34"/>
      <c r="B274" s="34"/>
      <c r="C274" s="34"/>
      <c r="D274" s="34"/>
      <c r="E274" s="34"/>
      <c r="H274" s="29">
        <v>26764.0</v>
      </c>
      <c r="I274" s="33">
        <v>1.0</v>
      </c>
      <c r="J274" s="36">
        <v>18244.1</v>
      </c>
      <c r="K274" s="33">
        <v>1.0</v>
      </c>
      <c r="L274" s="36">
        <v>18244.1</v>
      </c>
    </row>
    <row r="275" ht="22.5" customHeight="1">
      <c r="A275" s="34"/>
      <c r="B275" s="34"/>
      <c r="C275" s="34"/>
      <c r="D275" s="34"/>
      <c r="E275" s="34"/>
      <c r="H275" s="29">
        <v>24983.0</v>
      </c>
      <c r="I275" s="33">
        <v>1.0</v>
      </c>
      <c r="J275" s="36">
        <v>10824.47</v>
      </c>
      <c r="K275" s="33">
        <v>1.0</v>
      </c>
      <c r="L275" s="36">
        <v>10824.47</v>
      </c>
    </row>
    <row r="276" ht="22.5" customHeight="1">
      <c r="A276" s="34"/>
      <c r="B276" s="34"/>
      <c r="C276" s="34"/>
      <c r="D276" s="34"/>
      <c r="E276" s="34"/>
      <c r="H276" s="29">
        <v>26293.0</v>
      </c>
      <c r="I276" s="33">
        <v>1.0</v>
      </c>
      <c r="J276" s="34"/>
      <c r="K276" s="34"/>
      <c r="L276" s="34"/>
    </row>
    <row r="277" ht="22.5" customHeight="1">
      <c r="A277" s="34"/>
      <c r="B277" s="34"/>
      <c r="C277" s="34"/>
      <c r="D277" s="34"/>
      <c r="E277" s="34"/>
      <c r="H277" s="29">
        <v>26294.0</v>
      </c>
      <c r="I277" s="33">
        <v>1.0</v>
      </c>
      <c r="J277" s="34"/>
      <c r="K277" s="34"/>
      <c r="L277" s="34"/>
    </row>
    <row r="278" ht="22.5" customHeight="1">
      <c r="A278" s="34"/>
      <c r="B278" s="34"/>
      <c r="C278" s="34"/>
      <c r="D278" s="34"/>
      <c r="E278" s="34"/>
      <c r="H278" s="29">
        <v>26105.0</v>
      </c>
      <c r="I278" s="33">
        <v>2.0</v>
      </c>
      <c r="J278" s="36">
        <v>626686.76</v>
      </c>
      <c r="K278" s="33">
        <v>4.0</v>
      </c>
      <c r="L278" s="36">
        <v>156671.69</v>
      </c>
    </row>
    <row r="279" ht="22.5" customHeight="1">
      <c r="A279" s="34"/>
      <c r="B279" s="34"/>
      <c r="C279" s="34"/>
      <c r="D279" s="34"/>
      <c r="E279" s="34"/>
      <c r="H279" s="29">
        <v>26105.0</v>
      </c>
      <c r="I279" s="33">
        <v>2.0</v>
      </c>
      <c r="J279" s="36">
        <v>626686.76</v>
      </c>
      <c r="K279" s="33">
        <v>4.0</v>
      </c>
      <c r="L279" s="36">
        <v>156671.69</v>
      </c>
    </row>
    <row r="280" ht="22.5" customHeight="1">
      <c r="A280" s="34"/>
      <c r="B280" s="34"/>
      <c r="C280" s="34"/>
      <c r="D280" s="34"/>
      <c r="E280" s="34"/>
      <c r="H280" s="29">
        <v>26180.0</v>
      </c>
      <c r="I280" s="33">
        <v>1.0</v>
      </c>
      <c r="J280" s="34"/>
      <c r="K280" s="34"/>
      <c r="L280" s="34"/>
    </row>
    <row r="281" ht="22.5" customHeight="1">
      <c r="A281" s="34"/>
      <c r="B281" s="34"/>
      <c r="C281" s="34"/>
      <c r="D281" s="34"/>
      <c r="E281" s="34"/>
      <c r="H281" s="29">
        <v>26448.0</v>
      </c>
      <c r="I281" s="33">
        <v>1.0</v>
      </c>
      <c r="J281" s="34"/>
      <c r="K281" s="34"/>
      <c r="L281" s="34"/>
    </row>
    <row r="282" ht="22.5" customHeight="1">
      <c r="A282" s="34"/>
      <c r="B282" s="34"/>
      <c r="C282" s="34"/>
      <c r="D282" s="34"/>
      <c r="E282" s="34"/>
      <c r="H282" s="29">
        <v>25285.0</v>
      </c>
      <c r="I282" s="33">
        <v>1.0</v>
      </c>
      <c r="J282" s="34"/>
      <c r="K282" s="34"/>
      <c r="L282" s="34"/>
    </row>
    <row r="283" ht="22.5" customHeight="1">
      <c r="A283" s="34"/>
      <c r="B283" s="34"/>
      <c r="C283" s="34"/>
      <c r="D283" s="34"/>
      <c r="E283" s="34"/>
      <c r="H283" s="29">
        <v>24892.0</v>
      </c>
      <c r="I283" s="33">
        <v>1.0</v>
      </c>
      <c r="J283" s="36">
        <v>225293.58</v>
      </c>
      <c r="K283" s="33">
        <v>1.0</v>
      </c>
      <c r="L283" s="36">
        <v>225293.58</v>
      </c>
    </row>
    <row r="284" ht="22.5" customHeight="1">
      <c r="A284" s="34"/>
      <c r="B284" s="34"/>
      <c r="C284" s="34"/>
      <c r="D284" s="34"/>
      <c r="E284" s="34"/>
      <c r="H284" s="29">
        <v>26851.0</v>
      </c>
      <c r="I284" s="33">
        <v>1.0</v>
      </c>
      <c r="J284" s="34"/>
      <c r="K284" s="34"/>
      <c r="L284" s="34"/>
    </row>
    <row r="285" ht="22.5" customHeight="1">
      <c r="A285" s="34"/>
      <c r="B285" s="34"/>
      <c r="C285" s="34"/>
      <c r="D285" s="34"/>
      <c r="E285" s="34"/>
      <c r="H285" s="29">
        <v>26181.0</v>
      </c>
      <c r="I285" s="33">
        <v>1.0</v>
      </c>
      <c r="J285" s="36">
        <v>1025.19</v>
      </c>
      <c r="K285" s="33">
        <v>1.0</v>
      </c>
      <c r="L285" s="36">
        <v>1025.19</v>
      </c>
    </row>
    <row r="286" ht="22.5" customHeight="1">
      <c r="A286" s="34"/>
      <c r="B286" s="34"/>
      <c r="C286" s="34"/>
      <c r="D286" s="34"/>
      <c r="E286" s="34"/>
      <c r="H286" s="29">
        <v>25570.0</v>
      </c>
      <c r="I286" s="33">
        <v>2.0</v>
      </c>
      <c r="J286" s="36">
        <v>356758.18</v>
      </c>
      <c r="K286" s="33">
        <v>1.0</v>
      </c>
      <c r="L286" s="36">
        <v>356758.18</v>
      </c>
    </row>
    <row r="287" ht="22.5" customHeight="1">
      <c r="A287" s="34"/>
      <c r="B287" s="34"/>
      <c r="C287" s="34"/>
      <c r="D287" s="34"/>
      <c r="E287" s="34"/>
      <c r="H287" s="29">
        <v>25570.0</v>
      </c>
      <c r="I287" s="33">
        <v>2.0</v>
      </c>
      <c r="J287" s="36">
        <v>356758.18</v>
      </c>
      <c r="K287" s="33">
        <v>1.0</v>
      </c>
      <c r="L287" s="36">
        <v>356758.18</v>
      </c>
    </row>
    <row r="288" ht="22.5" customHeight="1">
      <c r="A288" s="34"/>
      <c r="B288" s="34"/>
      <c r="C288" s="34"/>
      <c r="D288" s="34"/>
      <c r="E288" s="34"/>
      <c r="H288" s="29">
        <v>26288.0</v>
      </c>
      <c r="I288" s="33">
        <v>1.0</v>
      </c>
      <c r="J288" s="36">
        <v>30809.24</v>
      </c>
      <c r="K288" s="33">
        <v>1.0</v>
      </c>
      <c r="L288" s="36">
        <v>30809.24</v>
      </c>
    </row>
    <row r="289" ht="22.5" customHeight="1">
      <c r="A289" s="34"/>
      <c r="B289" s="34"/>
      <c r="C289" s="34"/>
      <c r="D289" s="34"/>
      <c r="E289" s="34"/>
      <c r="H289" s="29">
        <v>26062.0</v>
      </c>
      <c r="I289" s="33">
        <v>4.0</v>
      </c>
      <c r="J289" s="36">
        <v>447180.09</v>
      </c>
      <c r="K289" s="33">
        <v>3.0</v>
      </c>
      <c r="L289" s="36">
        <v>149060.03</v>
      </c>
    </row>
    <row r="290" ht="22.5" customHeight="1">
      <c r="A290" s="34"/>
      <c r="B290" s="34"/>
      <c r="C290" s="34"/>
      <c r="D290" s="34"/>
      <c r="E290" s="34"/>
      <c r="H290" s="29">
        <v>26062.0</v>
      </c>
      <c r="I290" s="33">
        <v>4.0</v>
      </c>
      <c r="J290" s="36">
        <v>447180.09</v>
      </c>
      <c r="K290" s="33">
        <v>3.0</v>
      </c>
      <c r="L290" s="36">
        <v>149060.03</v>
      </c>
    </row>
    <row r="291" ht="22.5" customHeight="1">
      <c r="A291" s="34"/>
      <c r="B291" s="34"/>
      <c r="C291" s="34"/>
      <c r="D291" s="34"/>
      <c r="E291" s="34"/>
      <c r="H291" s="29">
        <v>26062.0</v>
      </c>
      <c r="I291" s="33">
        <v>4.0</v>
      </c>
      <c r="J291" s="36">
        <v>447180.09</v>
      </c>
      <c r="K291" s="33">
        <v>3.0</v>
      </c>
      <c r="L291" s="36">
        <v>149060.03</v>
      </c>
    </row>
    <row r="292" ht="22.5" customHeight="1">
      <c r="A292" s="34"/>
      <c r="B292" s="34"/>
      <c r="C292" s="34"/>
      <c r="D292" s="34"/>
      <c r="E292" s="34"/>
      <c r="H292" s="29">
        <v>26062.0</v>
      </c>
      <c r="I292" s="33">
        <v>4.0</v>
      </c>
      <c r="J292" s="36">
        <v>447180.09</v>
      </c>
      <c r="K292" s="33">
        <v>3.0</v>
      </c>
      <c r="L292" s="36">
        <v>149060.03</v>
      </c>
    </row>
    <row r="293" ht="22.5" customHeight="1">
      <c r="A293" s="34"/>
      <c r="B293" s="34"/>
      <c r="C293" s="34"/>
      <c r="D293" s="34"/>
      <c r="E293" s="34"/>
      <c r="H293" s="29">
        <v>24801.0</v>
      </c>
      <c r="I293" s="33">
        <v>1.0</v>
      </c>
      <c r="J293" s="36">
        <v>723211.57</v>
      </c>
      <c r="K293" s="33">
        <v>2.0</v>
      </c>
      <c r="L293" s="36">
        <v>361605.78</v>
      </c>
    </row>
    <row r="294" ht="22.5" customHeight="1">
      <c r="A294" s="34"/>
      <c r="B294" s="34"/>
      <c r="C294" s="34"/>
      <c r="D294" s="34"/>
      <c r="E294" s="34"/>
      <c r="H294" s="29">
        <v>26070.0</v>
      </c>
      <c r="I294" s="33">
        <v>3.0</v>
      </c>
      <c r="J294" s="36">
        <v>144897.22</v>
      </c>
      <c r="K294" s="33">
        <v>1.0</v>
      </c>
      <c r="L294" s="36">
        <v>144897.22</v>
      </c>
    </row>
    <row r="295" ht="22.5" customHeight="1">
      <c r="A295" s="34"/>
      <c r="B295" s="34"/>
      <c r="C295" s="34"/>
      <c r="D295" s="34"/>
      <c r="E295" s="34"/>
      <c r="H295" s="29">
        <v>26070.0</v>
      </c>
      <c r="I295" s="33">
        <v>3.0</v>
      </c>
      <c r="J295" s="36">
        <v>144897.22</v>
      </c>
      <c r="K295" s="33">
        <v>1.0</v>
      </c>
      <c r="L295" s="36">
        <v>144897.22</v>
      </c>
    </row>
    <row r="296" ht="22.5" customHeight="1">
      <c r="A296" s="34"/>
      <c r="B296" s="34"/>
      <c r="C296" s="34"/>
      <c r="D296" s="34"/>
      <c r="E296" s="34"/>
      <c r="H296" s="29">
        <v>26070.0</v>
      </c>
      <c r="I296" s="33">
        <v>3.0</v>
      </c>
      <c r="J296" s="36">
        <v>144897.22</v>
      </c>
      <c r="K296" s="33">
        <v>1.0</v>
      </c>
      <c r="L296" s="36">
        <v>144897.22</v>
      </c>
    </row>
    <row r="297" ht="22.5" customHeight="1">
      <c r="A297" s="34"/>
      <c r="B297" s="34"/>
      <c r="C297" s="34"/>
      <c r="D297" s="34"/>
      <c r="E297" s="34"/>
      <c r="H297" s="29">
        <v>26451.0</v>
      </c>
      <c r="I297" s="33">
        <v>1.0</v>
      </c>
      <c r="J297" s="34"/>
      <c r="K297" s="34"/>
      <c r="L297" s="34"/>
    </row>
    <row r="298" ht="22.5" customHeight="1">
      <c r="A298" s="34"/>
      <c r="B298" s="34"/>
      <c r="C298" s="34"/>
      <c r="D298" s="34"/>
      <c r="E298" s="34"/>
      <c r="H298" s="29">
        <v>26456.0</v>
      </c>
      <c r="I298" s="33">
        <v>1.0</v>
      </c>
      <c r="J298" s="36">
        <v>33055.13</v>
      </c>
      <c r="K298" s="33">
        <v>1.0</v>
      </c>
      <c r="L298" s="36">
        <v>33055.13</v>
      </c>
    </row>
    <row r="299" ht="22.5" customHeight="1">
      <c r="A299" s="34"/>
      <c r="B299" s="34"/>
      <c r="C299" s="34"/>
      <c r="D299" s="34"/>
      <c r="E299" s="34"/>
      <c r="H299" s="29">
        <v>26452.0</v>
      </c>
      <c r="I299" s="33">
        <v>2.0</v>
      </c>
      <c r="J299" s="36">
        <v>351731.46</v>
      </c>
      <c r="K299" s="33">
        <v>2.0</v>
      </c>
      <c r="L299" s="36">
        <v>175865.73</v>
      </c>
    </row>
    <row r="300" ht="22.5" customHeight="1">
      <c r="A300" s="34"/>
      <c r="B300" s="34"/>
      <c r="C300" s="34"/>
      <c r="D300" s="34"/>
      <c r="E300" s="34"/>
      <c r="H300" s="29">
        <v>26452.0</v>
      </c>
      <c r="I300" s="33">
        <v>2.0</v>
      </c>
      <c r="J300" s="36">
        <v>351731.46</v>
      </c>
      <c r="K300" s="33">
        <v>2.0</v>
      </c>
      <c r="L300" s="36">
        <v>175865.73</v>
      </c>
    </row>
    <row r="301" ht="22.5" customHeight="1">
      <c r="A301" s="34"/>
      <c r="B301" s="34"/>
      <c r="C301" s="34"/>
      <c r="D301" s="34"/>
      <c r="E301" s="34"/>
      <c r="H301" s="29">
        <v>26003.0</v>
      </c>
      <c r="I301" s="33">
        <v>3.0</v>
      </c>
      <c r="J301" s="36">
        <v>716540.35</v>
      </c>
      <c r="K301" s="33">
        <v>3.0</v>
      </c>
      <c r="L301" s="36">
        <v>238846.78</v>
      </c>
    </row>
    <row r="302" ht="22.5" customHeight="1">
      <c r="A302" s="34"/>
      <c r="B302" s="34"/>
      <c r="C302" s="34"/>
      <c r="D302" s="34"/>
      <c r="E302" s="34"/>
      <c r="H302" s="29">
        <v>26003.0</v>
      </c>
      <c r="I302" s="33">
        <v>3.0</v>
      </c>
      <c r="J302" s="36">
        <v>716540.35</v>
      </c>
      <c r="K302" s="33">
        <v>3.0</v>
      </c>
      <c r="L302" s="36">
        <v>238846.78</v>
      </c>
    </row>
    <row r="303" ht="22.5" customHeight="1">
      <c r="A303" s="34"/>
      <c r="B303" s="34"/>
      <c r="C303" s="34"/>
      <c r="D303" s="34"/>
      <c r="E303" s="34"/>
      <c r="H303" s="29">
        <v>26003.0</v>
      </c>
      <c r="I303" s="33">
        <v>3.0</v>
      </c>
      <c r="J303" s="36">
        <v>716540.35</v>
      </c>
      <c r="K303" s="33">
        <v>3.0</v>
      </c>
      <c r="L303" s="36">
        <v>238846.78</v>
      </c>
    </row>
    <row r="304" ht="22.5" customHeight="1">
      <c r="A304" s="34"/>
      <c r="B304" s="34"/>
      <c r="C304" s="34"/>
      <c r="D304" s="34"/>
      <c r="E304" s="34"/>
      <c r="H304" s="29">
        <v>26554.0</v>
      </c>
      <c r="I304" s="33">
        <v>4.0</v>
      </c>
      <c r="J304" s="36">
        <v>997422.48</v>
      </c>
      <c r="K304" s="33">
        <v>5.0</v>
      </c>
      <c r="L304" s="36">
        <v>199484.5</v>
      </c>
    </row>
    <row r="305" ht="22.5" customHeight="1">
      <c r="A305" s="34"/>
      <c r="B305" s="34"/>
      <c r="C305" s="34"/>
      <c r="D305" s="34"/>
      <c r="E305" s="34"/>
      <c r="H305" s="29">
        <v>25209.0</v>
      </c>
      <c r="I305" s="33">
        <v>1.0</v>
      </c>
      <c r="J305" s="34"/>
      <c r="K305" s="34"/>
      <c r="L305" s="34"/>
    </row>
    <row r="306" ht="22.5" customHeight="1">
      <c r="A306" s="34"/>
      <c r="B306" s="34"/>
      <c r="C306" s="34"/>
      <c r="D306" s="34"/>
      <c r="E306" s="34"/>
      <c r="H306" s="29">
        <v>24895.0</v>
      </c>
      <c r="I306" s="33">
        <v>1.0</v>
      </c>
      <c r="J306" s="34"/>
      <c r="K306" s="34"/>
      <c r="L306" s="34"/>
    </row>
    <row r="307" ht="22.5" customHeight="1">
      <c r="A307" s="34"/>
      <c r="B307" s="34"/>
      <c r="C307" s="34"/>
      <c r="D307" s="34"/>
      <c r="E307" s="34"/>
      <c r="H307" s="29">
        <v>25661.0</v>
      </c>
      <c r="I307" s="33">
        <v>2.0</v>
      </c>
      <c r="J307" s="34"/>
      <c r="K307" s="34"/>
      <c r="L307" s="34"/>
    </row>
    <row r="308" ht="22.5" customHeight="1">
      <c r="A308" s="34"/>
      <c r="B308" s="34"/>
      <c r="C308" s="34"/>
      <c r="D308" s="34"/>
      <c r="E308" s="34"/>
      <c r="H308" s="29">
        <v>25661.0</v>
      </c>
      <c r="I308" s="33">
        <v>2.0</v>
      </c>
      <c r="J308" s="34"/>
      <c r="K308" s="34"/>
      <c r="L308" s="34"/>
    </row>
    <row r="309" ht="22.5" customHeight="1">
      <c r="A309" s="34"/>
      <c r="B309" s="34"/>
      <c r="C309" s="34"/>
      <c r="D309" s="34"/>
      <c r="E309" s="34"/>
      <c r="H309" s="29">
        <v>26187.0</v>
      </c>
      <c r="I309" s="33">
        <v>2.0</v>
      </c>
      <c r="J309" s="34"/>
      <c r="K309" s="34"/>
      <c r="L309" s="34"/>
    </row>
    <row r="310" ht="22.5" customHeight="1">
      <c r="A310" s="34"/>
      <c r="B310" s="34"/>
      <c r="C310" s="34"/>
      <c r="D310" s="34"/>
      <c r="E310" s="34"/>
      <c r="H310" s="29">
        <v>26187.0</v>
      </c>
      <c r="I310" s="33">
        <v>2.0</v>
      </c>
      <c r="J310" s="34"/>
      <c r="K310" s="34"/>
      <c r="L310" s="34"/>
    </row>
    <row r="311" ht="22.5" customHeight="1">
      <c r="A311" s="34"/>
      <c r="B311" s="34"/>
      <c r="C311" s="34"/>
      <c r="D311" s="34"/>
      <c r="E311" s="34"/>
      <c r="H311" s="29">
        <v>25213.0</v>
      </c>
      <c r="I311" s="33">
        <v>2.0</v>
      </c>
      <c r="J311" s="34"/>
      <c r="K311" s="34"/>
      <c r="L311" s="34"/>
    </row>
    <row r="312" ht="22.5" customHeight="1">
      <c r="A312" s="34"/>
      <c r="B312" s="34"/>
      <c r="C312" s="34"/>
      <c r="D312" s="34"/>
      <c r="E312" s="34"/>
      <c r="H312" s="29">
        <v>25213.0</v>
      </c>
      <c r="I312" s="33">
        <v>2.0</v>
      </c>
      <c r="J312" s="34"/>
      <c r="K312" s="34"/>
      <c r="L312" s="34"/>
    </row>
    <row r="313" ht="22.5" customHeight="1">
      <c r="A313" s="34"/>
      <c r="B313" s="34"/>
      <c r="C313" s="34"/>
      <c r="D313" s="34"/>
      <c r="E313" s="34"/>
      <c r="H313" s="29">
        <v>26591.0</v>
      </c>
      <c r="I313" s="33">
        <v>1.0</v>
      </c>
      <c r="J313" s="34"/>
      <c r="K313" s="34"/>
      <c r="L313" s="34"/>
    </row>
    <row r="314" ht="22.5" customHeight="1">
      <c r="A314" s="34"/>
      <c r="B314" s="34"/>
      <c r="C314" s="34"/>
      <c r="D314" s="34"/>
      <c r="E314" s="34"/>
      <c r="H314" s="29">
        <v>25573.0</v>
      </c>
      <c r="I314" s="33">
        <v>1.0</v>
      </c>
      <c r="J314" s="34"/>
      <c r="K314" s="34"/>
      <c r="L314" s="34"/>
    </row>
    <row r="315" ht="22.5" customHeight="1">
      <c r="A315" s="34"/>
      <c r="B315" s="34"/>
      <c r="C315" s="34"/>
      <c r="D315" s="34"/>
      <c r="E315" s="34"/>
    </row>
    <row r="316" ht="22.5" customHeight="1">
      <c r="A316" s="34"/>
      <c r="B316" s="34"/>
      <c r="C316" s="34"/>
      <c r="D316" s="34"/>
      <c r="E316" s="34"/>
    </row>
    <row r="317" ht="22.5" customHeight="1">
      <c r="A317" s="34"/>
      <c r="B317" s="34"/>
      <c r="C317" s="34"/>
      <c r="D317" s="34"/>
      <c r="E317" s="34"/>
    </row>
    <row r="318" ht="22.5" customHeight="1">
      <c r="A318" s="34"/>
      <c r="B318" s="34"/>
      <c r="C318" s="34"/>
      <c r="D318" s="34"/>
      <c r="E318" s="34"/>
    </row>
    <row r="319" ht="22.5" customHeight="1">
      <c r="A319" s="34"/>
      <c r="B319" s="34"/>
      <c r="C319" s="34"/>
      <c r="D319" s="34"/>
      <c r="E319" s="34"/>
    </row>
    <row r="320" ht="22.5" customHeight="1">
      <c r="A320" s="34"/>
      <c r="B320" s="34"/>
      <c r="C320" s="34"/>
      <c r="D320" s="34"/>
      <c r="E320" s="34"/>
    </row>
    <row r="321" ht="22.5" customHeight="1">
      <c r="A321" s="34"/>
      <c r="B321" s="34"/>
      <c r="C321" s="34"/>
      <c r="D321" s="34"/>
      <c r="E321" s="34"/>
    </row>
    <row r="322" ht="22.5" customHeight="1">
      <c r="A322" s="34"/>
      <c r="B322" s="34"/>
      <c r="C322" s="34"/>
      <c r="D322" s="34"/>
      <c r="E322" s="34"/>
    </row>
    <row r="323" ht="22.5" customHeight="1">
      <c r="A323" s="34"/>
      <c r="B323" s="34"/>
      <c r="C323" s="34"/>
      <c r="D323" s="34"/>
      <c r="E323" s="34"/>
    </row>
    <row r="324" ht="22.5" customHeight="1">
      <c r="A324" s="34"/>
      <c r="B324" s="34"/>
      <c r="C324" s="34"/>
      <c r="D324" s="34"/>
      <c r="E324" s="34"/>
    </row>
    <row r="325" ht="22.5" customHeight="1">
      <c r="A325" s="34"/>
      <c r="B325" s="34"/>
      <c r="C325" s="34"/>
      <c r="D325" s="34"/>
      <c r="E325" s="34"/>
    </row>
    <row r="326" ht="22.5" customHeight="1">
      <c r="A326" s="34"/>
      <c r="B326" s="34"/>
      <c r="C326" s="34"/>
      <c r="D326" s="34"/>
      <c r="E326" s="34"/>
    </row>
    <row r="327" ht="22.5" customHeight="1">
      <c r="A327" s="34"/>
      <c r="B327" s="34"/>
      <c r="C327" s="34"/>
      <c r="D327" s="34"/>
      <c r="E327" s="34"/>
    </row>
    <row r="328" ht="22.5" customHeight="1">
      <c r="A328" s="34"/>
      <c r="B328" s="34"/>
      <c r="C328" s="34"/>
      <c r="D328" s="34"/>
      <c r="E328" s="34"/>
    </row>
    <row r="329" ht="22.5" customHeight="1">
      <c r="A329" s="34"/>
      <c r="B329" s="34"/>
      <c r="C329" s="34"/>
      <c r="D329" s="34"/>
      <c r="E329" s="34"/>
    </row>
    <row r="330" ht="22.5" customHeight="1">
      <c r="A330" s="34"/>
      <c r="B330" s="34"/>
      <c r="C330" s="34"/>
      <c r="D330" s="34"/>
      <c r="E330" s="34"/>
    </row>
    <row r="331" ht="22.5" customHeight="1">
      <c r="A331" s="34"/>
      <c r="B331" s="34"/>
      <c r="C331" s="34"/>
      <c r="D331" s="34"/>
      <c r="E331" s="34"/>
    </row>
    <row r="332" ht="22.5" customHeight="1">
      <c r="A332" s="34"/>
      <c r="B332" s="34"/>
      <c r="C332" s="34"/>
      <c r="D332" s="34"/>
      <c r="E332" s="34"/>
    </row>
    <row r="333" ht="22.5" customHeight="1">
      <c r="A333" s="34"/>
      <c r="B333" s="34"/>
      <c r="C333" s="34"/>
      <c r="D333" s="34"/>
      <c r="E333" s="34"/>
    </row>
    <row r="334" ht="22.5" customHeight="1">
      <c r="A334" s="34"/>
      <c r="B334" s="34"/>
      <c r="C334" s="34"/>
      <c r="D334" s="34"/>
      <c r="E334" s="34"/>
    </row>
    <row r="335" ht="22.5" customHeight="1">
      <c r="A335" s="34"/>
      <c r="B335" s="34"/>
      <c r="C335" s="34"/>
      <c r="D335" s="34"/>
      <c r="E335" s="34"/>
    </row>
    <row r="336" ht="22.5" customHeight="1">
      <c r="A336" s="34"/>
      <c r="B336" s="34"/>
      <c r="C336" s="34"/>
      <c r="D336" s="34"/>
      <c r="E336" s="34"/>
    </row>
    <row r="337" ht="22.5" customHeight="1">
      <c r="A337" s="34"/>
      <c r="B337" s="34"/>
      <c r="C337" s="34"/>
      <c r="D337" s="34"/>
      <c r="E337" s="34"/>
    </row>
    <row r="338" ht="22.5" customHeight="1">
      <c r="A338" s="34"/>
      <c r="B338" s="34"/>
      <c r="C338" s="34"/>
      <c r="D338" s="34"/>
      <c r="E338" s="34"/>
    </row>
    <row r="339" ht="22.5" customHeight="1">
      <c r="A339" s="34"/>
      <c r="B339" s="34"/>
      <c r="C339" s="34"/>
      <c r="D339" s="34"/>
      <c r="E339" s="34"/>
    </row>
    <row r="340" ht="22.5" customHeight="1">
      <c r="A340" s="34"/>
      <c r="B340" s="34"/>
      <c r="C340" s="34"/>
      <c r="D340" s="34"/>
      <c r="E340" s="34"/>
    </row>
    <row r="341" ht="22.5" customHeight="1">
      <c r="A341" s="34"/>
      <c r="B341" s="34"/>
      <c r="C341" s="34"/>
      <c r="D341" s="34"/>
      <c r="E341" s="34"/>
    </row>
    <row r="342" ht="22.5" customHeight="1">
      <c r="A342" s="34"/>
      <c r="B342" s="34"/>
      <c r="C342" s="34"/>
      <c r="D342" s="34"/>
      <c r="E342" s="34"/>
    </row>
    <row r="343" ht="22.5" customHeight="1">
      <c r="A343" s="34"/>
      <c r="B343" s="34"/>
      <c r="C343" s="34"/>
      <c r="D343" s="34"/>
      <c r="E343" s="34"/>
    </row>
    <row r="344" ht="22.5" customHeight="1">
      <c r="A344" s="34"/>
      <c r="B344" s="34"/>
      <c r="C344" s="34"/>
      <c r="D344" s="34"/>
      <c r="E344" s="34"/>
    </row>
    <row r="345" ht="22.5" customHeight="1">
      <c r="A345" s="34"/>
      <c r="B345" s="34"/>
      <c r="C345" s="34"/>
      <c r="D345" s="34"/>
      <c r="E345" s="34"/>
    </row>
    <row r="346" ht="22.5" customHeight="1">
      <c r="A346" s="34"/>
      <c r="B346" s="34"/>
      <c r="C346" s="34"/>
      <c r="D346" s="34"/>
      <c r="E346" s="34"/>
    </row>
    <row r="347" ht="22.5" customHeight="1">
      <c r="A347" s="34"/>
      <c r="B347" s="34"/>
      <c r="C347" s="34"/>
      <c r="D347" s="34"/>
      <c r="E347" s="34"/>
    </row>
    <row r="348" ht="22.5" customHeight="1">
      <c r="A348" s="34"/>
      <c r="B348" s="34"/>
      <c r="C348" s="34"/>
      <c r="D348" s="34"/>
      <c r="E348" s="34"/>
    </row>
    <row r="349" ht="22.5" customHeight="1">
      <c r="A349" s="34"/>
      <c r="B349" s="34"/>
      <c r="C349" s="34"/>
      <c r="D349" s="34"/>
      <c r="E349" s="34"/>
    </row>
    <row r="350" ht="22.5" customHeight="1">
      <c r="A350" s="34"/>
      <c r="B350" s="34"/>
      <c r="C350" s="34"/>
      <c r="D350" s="34"/>
      <c r="E350" s="34"/>
    </row>
    <row r="351" ht="22.5" customHeight="1">
      <c r="A351" s="34"/>
      <c r="B351" s="34"/>
      <c r="C351" s="34"/>
      <c r="D351" s="34"/>
      <c r="E351" s="34"/>
    </row>
    <row r="352" ht="22.5" customHeight="1">
      <c r="A352" s="34"/>
      <c r="B352" s="34"/>
      <c r="C352" s="34"/>
      <c r="D352" s="34"/>
      <c r="E352" s="34"/>
    </row>
    <row r="353" ht="22.5" customHeight="1">
      <c r="A353" s="34"/>
      <c r="B353" s="34"/>
      <c r="C353" s="34"/>
      <c r="D353" s="34"/>
      <c r="E353" s="34"/>
    </row>
    <row r="354" ht="22.5" customHeight="1">
      <c r="A354" s="34"/>
      <c r="B354" s="34"/>
      <c r="C354" s="34"/>
      <c r="D354" s="34"/>
      <c r="E354" s="34"/>
    </row>
    <row r="355" ht="22.5" customHeight="1">
      <c r="A355" s="34"/>
      <c r="B355" s="34"/>
      <c r="C355" s="34"/>
      <c r="D355" s="34"/>
      <c r="E355" s="34"/>
    </row>
    <row r="356" ht="22.5" customHeight="1">
      <c r="A356" s="34"/>
      <c r="B356" s="34"/>
      <c r="C356" s="34"/>
      <c r="D356" s="34"/>
      <c r="E356" s="34"/>
    </row>
    <row r="357" ht="22.5" customHeight="1">
      <c r="A357" s="34"/>
      <c r="B357" s="34"/>
      <c r="C357" s="34"/>
      <c r="D357" s="34"/>
      <c r="E357" s="34"/>
    </row>
    <row r="358" ht="22.5" customHeight="1">
      <c r="A358" s="34"/>
      <c r="B358" s="34"/>
      <c r="C358" s="34"/>
      <c r="D358" s="34"/>
      <c r="E358" s="34"/>
    </row>
    <row r="359" ht="22.5" customHeight="1">
      <c r="A359" s="34"/>
      <c r="B359" s="34"/>
      <c r="C359" s="34"/>
      <c r="D359" s="34"/>
      <c r="E359" s="34"/>
    </row>
    <row r="360" ht="22.5" customHeight="1">
      <c r="A360" s="34"/>
      <c r="B360" s="34"/>
      <c r="C360" s="34"/>
      <c r="D360" s="34"/>
      <c r="E360" s="34"/>
    </row>
    <row r="361" ht="22.5" customHeight="1">
      <c r="A361" s="34"/>
      <c r="B361" s="34"/>
      <c r="C361" s="34"/>
      <c r="D361" s="34"/>
      <c r="E361" s="34"/>
    </row>
    <row r="362" ht="22.5" customHeight="1">
      <c r="A362" s="34"/>
      <c r="B362" s="34"/>
      <c r="C362" s="34"/>
      <c r="D362" s="34"/>
      <c r="E362" s="34"/>
    </row>
    <row r="363" ht="22.5" customHeight="1">
      <c r="A363" s="34"/>
      <c r="B363" s="34"/>
      <c r="C363" s="34"/>
      <c r="D363" s="34"/>
      <c r="E363" s="34"/>
    </row>
    <row r="364" ht="22.5" customHeight="1">
      <c r="A364" s="34"/>
      <c r="B364" s="34"/>
      <c r="C364" s="34"/>
      <c r="D364" s="34"/>
      <c r="E364" s="34"/>
    </row>
    <row r="365" ht="22.5" customHeight="1">
      <c r="A365" s="34"/>
      <c r="B365" s="34"/>
      <c r="C365" s="34"/>
      <c r="D365" s="34"/>
      <c r="E365" s="34"/>
    </row>
    <row r="366" ht="22.5" customHeight="1">
      <c r="A366" s="34"/>
      <c r="B366" s="34"/>
      <c r="C366" s="34"/>
      <c r="D366" s="34"/>
      <c r="E366" s="34"/>
    </row>
    <row r="367" ht="22.5" customHeight="1">
      <c r="A367" s="34"/>
      <c r="B367" s="34"/>
      <c r="C367" s="34"/>
      <c r="D367" s="34"/>
      <c r="E367" s="34"/>
    </row>
    <row r="368" ht="22.5" customHeight="1">
      <c r="A368" s="34"/>
      <c r="B368" s="34"/>
      <c r="C368" s="34"/>
      <c r="D368" s="34"/>
      <c r="E368" s="34"/>
    </row>
    <row r="369" ht="22.5" customHeight="1">
      <c r="A369" s="34"/>
      <c r="B369" s="34"/>
      <c r="C369" s="34"/>
      <c r="D369" s="34"/>
      <c r="E369" s="34"/>
    </row>
    <row r="370" ht="22.5" customHeight="1">
      <c r="A370" s="34"/>
      <c r="B370" s="34"/>
      <c r="C370" s="34"/>
      <c r="D370" s="34"/>
      <c r="E370" s="34"/>
    </row>
    <row r="371" ht="22.5" customHeight="1">
      <c r="A371" s="34"/>
      <c r="B371" s="34"/>
      <c r="C371" s="34"/>
      <c r="D371" s="34"/>
      <c r="E371" s="34"/>
    </row>
    <row r="372" ht="22.5" customHeight="1">
      <c r="A372" s="34"/>
      <c r="B372" s="34"/>
      <c r="C372" s="34"/>
      <c r="D372" s="34"/>
      <c r="E372" s="34"/>
    </row>
    <row r="373" ht="22.5" customHeight="1">
      <c r="A373" s="34"/>
      <c r="B373" s="34"/>
      <c r="C373" s="34"/>
      <c r="D373" s="34"/>
      <c r="E373" s="34"/>
    </row>
    <row r="374" ht="22.5" customHeight="1">
      <c r="A374" s="34"/>
      <c r="B374" s="34"/>
      <c r="C374" s="34"/>
      <c r="D374" s="34"/>
      <c r="E374" s="34"/>
    </row>
    <row r="375" ht="22.5" customHeight="1">
      <c r="A375" s="34"/>
      <c r="B375" s="34"/>
      <c r="C375" s="34"/>
      <c r="D375" s="34"/>
      <c r="E375" s="34"/>
    </row>
    <row r="376" ht="22.5" customHeight="1">
      <c r="A376" s="34"/>
      <c r="B376" s="34"/>
      <c r="C376" s="34"/>
      <c r="D376" s="34"/>
      <c r="E376" s="34"/>
    </row>
    <row r="377" ht="22.5" customHeight="1">
      <c r="A377" s="34"/>
      <c r="B377" s="34"/>
      <c r="C377" s="34"/>
      <c r="D377" s="34"/>
      <c r="E377" s="34"/>
    </row>
    <row r="378" ht="22.5" customHeight="1">
      <c r="A378" s="34"/>
      <c r="B378" s="34"/>
      <c r="C378" s="34"/>
      <c r="D378" s="34"/>
      <c r="E378" s="34"/>
    </row>
    <row r="379" ht="22.5" customHeight="1">
      <c r="A379" s="34"/>
      <c r="B379" s="34"/>
      <c r="C379" s="34"/>
      <c r="D379" s="34"/>
      <c r="E379" s="34"/>
    </row>
    <row r="380" ht="22.5" customHeight="1">
      <c r="A380" s="34"/>
      <c r="B380" s="34"/>
      <c r="C380" s="34"/>
      <c r="D380" s="34"/>
      <c r="E380" s="34"/>
    </row>
    <row r="381" ht="22.5" customHeight="1">
      <c r="A381" s="34"/>
      <c r="B381" s="34"/>
      <c r="C381" s="34"/>
      <c r="D381" s="34"/>
      <c r="E381" s="34"/>
    </row>
    <row r="382" ht="22.5" customHeight="1">
      <c r="A382" s="34"/>
      <c r="B382" s="34"/>
      <c r="C382" s="34"/>
      <c r="D382" s="34"/>
      <c r="E382" s="34"/>
    </row>
    <row r="383" ht="22.5" customHeight="1">
      <c r="A383" s="34"/>
      <c r="B383" s="34"/>
      <c r="C383" s="34"/>
      <c r="D383" s="34"/>
      <c r="E383" s="34"/>
    </row>
    <row r="384" ht="22.5" customHeight="1">
      <c r="A384" s="34"/>
      <c r="B384" s="34"/>
      <c r="C384" s="34"/>
      <c r="D384" s="34"/>
      <c r="E384" s="34"/>
    </row>
    <row r="385" ht="22.5" customHeight="1">
      <c r="A385" s="34"/>
      <c r="B385" s="34"/>
      <c r="C385" s="34"/>
      <c r="D385" s="34"/>
      <c r="E385" s="34"/>
    </row>
    <row r="386" ht="22.5" customHeight="1">
      <c r="A386" s="34"/>
      <c r="B386" s="34"/>
      <c r="C386" s="34"/>
      <c r="D386" s="34"/>
      <c r="E386" s="34"/>
    </row>
    <row r="387" ht="22.5" customHeight="1">
      <c r="A387" s="34"/>
      <c r="B387" s="34"/>
      <c r="C387" s="34"/>
      <c r="D387" s="34"/>
      <c r="E387" s="34"/>
    </row>
    <row r="388" ht="22.5" customHeight="1">
      <c r="A388" s="34"/>
      <c r="B388" s="34"/>
      <c r="C388" s="34"/>
      <c r="D388" s="34"/>
      <c r="E388" s="34"/>
    </row>
    <row r="389" ht="22.5" customHeight="1">
      <c r="A389" s="34"/>
      <c r="B389" s="34"/>
      <c r="C389" s="34"/>
      <c r="D389" s="34"/>
      <c r="E389" s="34"/>
    </row>
    <row r="390" ht="22.5" customHeight="1">
      <c r="A390" s="34"/>
      <c r="B390" s="34"/>
      <c r="C390" s="34"/>
      <c r="D390" s="34"/>
      <c r="E390" s="34"/>
    </row>
    <row r="391" ht="22.5" customHeight="1">
      <c r="A391" s="34"/>
      <c r="B391" s="34"/>
      <c r="C391" s="34"/>
      <c r="D391" s="34"/>
      <c r="E391" s="34"/>
    </row>
    <row r="392" ht="22.5" customHeight="1">
      <c r="A392" s="34"/>
      <c r="B392" s="34"/>
      <c r="C392" s="34"/>
      <c r="D392" s="34"/>
      <c r="E392" s="34"/>
    </row>
    <row r="393" ht="22.5" customHeight="1">
      <c r="A393" s="34"/>
      <c r="B393" s="34"/>
      <c r="C393" s="34"/>
      <c r="D393" s="34"/>
      <c r="E393" s="34"/>
    </row>
    <row r="394" ht="22.5" customHeight="1">
      <c r="A394" s="34"/>
      <c r="B394" s="34"/>
      <c r="C394" s="34"/>
      <c r="D394" s="34"/>
      <c r="E394" s="34"/>
    </row>
    <row r="395" ht="22.5" customHeight="1">
      <c r="A395" s="34"/>
      <c r="B395" s="34"/>
      <c r="C395" s="34"/>
      <c r="D395" s="34"/>
      <c r="E395" s="34"/>
    </row>
    <row r="396" ht="22.5" customHeight="1">
      <c r="A396" s="34"/>
      <c r="B396" s="34"/>
      <c r="C396" s="34"/>
      <c r="D396" s="34"/>
      <c r="E396" s="34"/>
    </row>
    <row r="397" ht="22.5" customHeight="1">
      <c r="A397" s="34"/>
      <c r="B397" s="34"/>
      <c r="C397" s="34"/>
      <c r="D397" s="34"/>
      <c r="E397" s="34"/>
    </row>
    <row r="398" ht="22.5" customHeight="1">
      <c r="A398" s="34"/>
      <c r="B398" s="34"/>
      <c r="C398" s="34"/>
      <c r="D398" s="34"/>
      <c r="E398" s="34"/>
    </row>
    <row r="399" ht="22.5" customHeight="1">
      <c r="A399" s="34"/>
      <c r="B399" s="34"/>
      <c r="C399" s="34"/>
      <c r="D399" s="34"/>
      <c r="E399" s="34"/>
    </row>
    <row r="400" ht="22.5" customHeight="1">
      <c r="A400" s="34"/>
      <c r="B400" s="34"/>
      <c r="C400" s="34"/>
      <c r="D400" s="34"/>
      <c r="E400" s="34"/>
    </row>
    <row r="401" ht="22.5" customHeight="1">
      <c r="A401" s="34"/>
      <c r="B401" s="34"/>
      <c r="C401" s="34"/>
      <c r="D401" s="34"/>
      <c r="E401" s="34"/>
    </row>
    <row r="402" ht="22.5" customHeight="1">
      <c r="A402" s="34"/>
      <c r="B402" s="34"/>
      <c r="C402" s="34"/>
      <c r="D402" s="34"/>
      <c r="E402" s="34"/>
    </row>
    <row r="403" ht="22.5" customHeight="1">
      <c r="A403" s="34"/>
      <c r="B403" s="34"/>
      <c r="C403" s="34"/>
      <c r="D403" s="34"/>
      <c r="E403" s="34"/>
    </row>
    <row r="404" ht="22.5" customHeight="1">
      <c r="A404" s="34"/>
      <c r="B404" s="34"/>
      <c r="C404" s="34"/>
      <c r="D404" s="34"/>
      <c r="E404" s="34"/>
    </row>
    <row r="405" ht="22.5" customHeight="1">
      <c r="A405" s="34"/>
      <c r="B405" s="34"/>
      <c r="C405" s="34"/>
      <c r="D405" s="34"/>
      <c r="E405" s="34"/>
    </row>
    <row r="406" ht="22.5" customHeight="1">
      <c r="A406" s="34"/>
      <c r="B406" s="34"/>
      <c r="C406" s="34"/>
      <c r="D406" s="34"/>
      <c r="E406" s="34"/>
    </row>
    <row r="407" ht="22.5" customHeight="1">
      <c r="A407" s="34"/>
      <c r="B407" s="34"/>
      <c r="C407" s="34"/>
      <c r="D407" s="34"/>
      <c r="E407" s="34"/>
    </row>
    <row r="408" ht="22.5" customHeight="1">
      <c r="A408" s="34"/>
      <c r="B408" s="34"/>
      <c r="C408" s="34"/>
      <c r="D408" s="34"/>
      <c r="E408" s="34"/>
    </row>
    <row r="409" ht="22.5" customHeight="1">
      <c r="A409" s="34"/>
      <c r="B409" s="34"/>
      <c r="C409" s="34"/>
      <c r="D409" s="34"/>
      <c r="E409" s="34"/>
    </row>
    <row r="410" ht="22.5" customHeight="1">
      <c r="A410" s="34"/>
      <c r="B410" s="34"/>
      <c r="C410" s="34"/>
      <c r="D410" s="34"/>
      <c r="E410" s="34"/>
    </row>
    <row r="411" ht="22.5" customHeight="1">
      <c r="A411" s="34"/>
      <c r="B411" s="34"/>
      <c r="C411" s="34"/>
      <c r="D411" s="34"/>
      <c r="E411" s="34"/>
    </row>
    <row r="412" ht="22.5" customHeight="1">
      <c r="A412" s="34"/>
      <c r="B412" s="34"/>
      <c r="C412" s="34"/>
      <c r="D412" s="34"/>
      <c r="E412" s="34"/>
    </row>
    <row r="413" ht="22.5" customHeight="1">
      <c r="A413" s="34"/>
      <c r="B413" s="34"/>
      <c r="C413" s="34"/>
      <c r="D413" s="34"/>
      <c r="E413" s="34"/>
    </row>
    <row r="414" ht="22.5" customHeight="1">
      <c r="A414" s="34"/>
      <c r="B414" s="34"/>
      <c r="C414" s="34"/>
      <c r="D414" s="34"/>
      <c r="E414" s="34"/>
    </row>
    <row r="415" ht="22.5" customHeight="1">
      <c r="A415" s="34"/>
      <c r="B415" s="34"/>
      <c r="C415" s="34"/>
      <c r="D415" s="34"/>
      <c r="E415" s="34"/>
    </row>
    <row r="416" ht="22.5" customHeight="1">
      <c r="A416" s="34"/>
      <c r="B416" s="34"/>
      <c r="C416" s="34"/>
      <c r="D416" s="34"/>
      <c r="E416" s="34"/>
    </row>
    <row r="417" ht="22.5" customHeight="1">
      <c r="A417" s="34"/>
      <c r="B417" s="34"/>
      <c r="C417" s="34"/>
      <c r="D417" s="34"/>
      <c r="E417" s="34"/>
    </row>
    <row r="418" ht="22.5" customHeight="1">
      <c r="A418" s="34"/>
      <c r="B418" s="34"/>
      <c r="C418" s="34"/>
      <c r="D418" s="34"/>
      <c r="E418" s="34"/>
    </row>
    <row r="419" ht="22.5" customHeight="1">
      <c r="A419" s="34"/>
      <c r="B419" s="34"/>
      <c r="C419" s="34"/>
      <c r="D419" s="34"/>
      <c r="E419" s="34"/>
    </row>
    <row r="420" ht="22.5" customHeight="1">
      <c r="A420" s="34"/>
      <c r="B420" s="34"/>
      <c r="C420" s="34"/>
      <c r="D420" s="34"/>
      <c r="E420" s="34"/>
    </row>
    <row r="421" ht="22.5" customHeight="1">
      <c r="A421" s="34"/>
      <c r="B421" s="34"/>
      <c r="C421" s="34"/>
      <c r="D421" s="34"/>
      <c r="E421" s="34"/>
    </row>
    <row r="422" ht="22.5" customHeight="1">
      <c r="A422" s="34"/>
      <c r="B422" s="34"/>
      <c r="C422" s="34"/>
      <c r="D422" s="34"/>
      <c r="E422" s="34"/>
    </row>
    <row r="423" ht="22.5" customHeight="1">
      <c r="A423" s="34"/>
      <c r="B423" s="34"/>
      <c r="C423" s="34"/>
      <c r="D423" s="34"/>
      <c r="E423" s="34"/>
    </row>
    <row r="424" ht="22.5" customHeight="1">
      <c r="A424" s="34"/>
      <c r="B424" s="34"/>
      <c r="C424" s="34"/>
      <c r="D424" s="34"/>
      <c r="E424" s="34"/>
    </row>
    <row r="425" ht="22.5" customHeight="1">
      <c r="A425" s="34"/>
      <c r="B425" s="34"/>
      <c r="C425" s="34"/>
      <c r="D425" s="34"/>
      <c r="E425" s="34"/>
    </row>
    <row r="426" ht="22.5" customHeight="1">
      <c r="A426" s="34"/>
      <c r="B426" s="34"/>
      <c r="C426" s="34"/>
      <c r="D426" s="34"/>
      <c r="E426" s="34"/>
    </row>
    <row r="427" ht="22.5" customHeight="1">
      <c r="A427" s="34"/>
      <c r="B427" s="34"/>
      <c r="C427" s="34"/>
      <c r="D427" s="34"/>
      <c r="E427" s="34"/>
    </row>
    <row r="428" ht="22.5" customHeight="1">
      <c r="A428" s="34"/>
      <c r="B428" s="34"/>
      <c r="C428" s="34"/>
      <c r="D428" s="34"/>
      <c r="E428" s="34"/>
    </row>
    <row r="429" ht="22.5" customHeight="1">
      <c r="A429" s="34"/>
      <c r="B429" s="34"/>
      <c r="C429" s="34"/>
      <c r="D429" s="34"/>
      <c r="E429" s="34"/>
    </row>
    <row r="430" ht="22.5" customHeight="1">
      <c r="A430" s="34"/>
      <c r="B430" s="34"/>
      <c r="C430" s="34"/>
      <c r="D430" s="34"/>
      <c r="E430" s="34"/>
    </row>
    <row r="431" ht="22.5" customHeight="1">
      <c r="A431" s="34"/>
      <c r="B431" s="34"/>
      <c r="C431" s="34"/>
      <c r="D431" s="34"/>
      <c r="E431" s="34"/>
    </row>
    <row r="432" ht="22.5" customHeight="1">
      <c r="A432" s="34"/>
      <c r="B432" s="34"/>
      <c r="C432" s="34"/>
      <c r="D432" s="34"/>
      <c r="E432" s="34"/>
    </row>
    <row r="433" ht="22.5" customHeight="1">
      <c r="A433" s="34"/>
      <c r="B433" s="34"/>
      <c r="C433" s="34"/>
      <c r="D433" s="34"/>
      <c r="E433" s="34"/>
    </row>
    <row r="434" ht="22.5" customHeight="1">
      <c r="A434" s="34"/>
      <c r="B434" s="34"/>
      <c r="C434" s="34"/>
      <c r="D434" s="34"/>
      <c r="E434" s="34"/>
    </row>
    <row r="435" ht="22.5" customHeight="1">
      <c r="A435" s="34"/>
      <c r="B435" s="34"/>
      <c r="C435" s="34"/>
      <c r="D435" s="34"/>
      <c r="E435" s="34"/>
    </row>
    <row r="436" ht="22.5" customHeight="1">
      <c r="A436" s="34"/>
      <c r="B436" s="34"/>
      <c r="C436" s="34"/>
      <c r="D436" s="34"/>
      <c r="E436" s="34"/>
    </row>
    <row r="437" ht="22.5" customHeight="1">
      <c r="A437" s="34"/>
      <c r="B437" s="34"/>
      <c r="C437" s="34"/>
      <c r="D437" s="34"/>
      <c r="E437" s="34"/>
    </row>
    <row r="438" ht="22.5" customHeight="1">
      <c r="A438" s="34"/>
      <c r="B438" s="34"/>
      <c r="C438" s="34"/>
      <c r="D438" s="34"/>
      <c r="E438" s="34"/>
    </row>
    <row r="439" ht="22.5" customHeight="1">
      <c r="A439" s="34"/>
      <c r="B439" s="34"/>
      <c r="C439" s="34"/>
      <c r="D439" s="34"/>
      <c r="E439" s="34"/>
    </row>
    <row r="440" ht="22.5" customHeight="1">
      <c r="A440" s="34"/>
      <c r="B440" s="34"/>
      <c r="C440" s="34"/>
      <c r="D440" s="34"/>
      <c r="E440" s="34"/>
    </row>
    <row r="441" ht="22.5" customHeight="1">
      <c r="A441" s="34"/>
      <c r="B441" s="34"/>
      <c r="C441" s="34"/>
      <c r="D441" s="34"/>
      <c r="E441" s="34"/>
    </row>
    <row r="442" ht="22.5" customHeight="1">
      <c r="A442" s="34"/>
      <c r="B442" s="34"/>
      <c r="C442" s="34"/>
      <c r="D442" s="34"/>
      <c r="E442" s="34"/>
    </row>
    <row r="443" ht="22.5" customHeight="1">
      <c r="A443" s="34"/>
      <c r="B443" s="34"/>
      <c r="C443" s="34"/>
      <c r="D443" s="34"/>
      <c r="E443" s="34"/>
    </row>
    <row r="444" ht="22.5" customHeight="1">
      <c r="A444" s="34"/>
      <c r="B444" s="34"/>
      <c r="C444" s="34"/>
      <c r="D444" s="34"/>
      <c r="E444" s="34"/>
    </row>
    <row r="445" ht="22.5" customHeight="1">
      <c r="A445" s="34"/>
      <c r="B445" s="34"/>
      <c r="C445" s="34"/>
      <c r="D445" s="34"/>
      <c r="E445" s="34"/>
    </row>
    <row r="446" ht="22.5" customHeight="1">
      <c r="A446" s="34"/>
      <c r="B446" s="34"/>
      <c r="C446" s="34"/>
      <c r="D446" s="34"/>
      <c r="E446" s="34"/>
    </row>
    <row r="447" ht="22.5" customHeight="1">
      <c r="A447" s="34"/>
      <c r="B447" s="34"/>
      <c r="C447" s="34"/>
      <c r="D447" s="34"/>
      <c r="E447" s="34"/>
    </row>
    <row r="448" ht="22.5" customHeight="1">
      <c r="A448" s="34"/>
      <c r="B448" s="34"/>
      <c r="C448" s="34"/>
      <c r="D448" s="34"/>
      <c r="E448" s="34"/>
    </row>
    <row r="449" ht="22.5" customHeight="1">
      <c r="A449" s="34"/>
      <c r="B449" s="34"/>
      <c r="C449" s="34"/>
      <c r="D449" s="34"/>
      <c r="E449" s="34"/>
    </row>
    <row r="450" ht="22.5" customHeight="1">
      <c r="A450" s="34"/>
      <c r="B450" s="34"/>
      <c r="C450" s="34"/>
      <c r="D450" s="34"/>
      <c r="E450" s="34"/>
    </row>
    <row r="451" ht="22.5" customHeight="1">
      <c r="A451" s="34"/>
      <c r="B451" s="34"/>
      <c r="C451" s="34"/>
      <c r="D451" s="34"/>
      <c r="E451" s="34"/>
    </row>
    <row r="452" ht="22.5" customHeight="1">
      <c r="A452" s="34"/>
      <c r="B452" s="34"/>
      <c r="C452" s="34"/>
      <c r="D452" s="34"/>
      <c r="E452" s="34"/>
    </row>
    <row r="453" ht="22.5" customHeight="1">
      <c r="A453" s="34"/>
      <c r="B453" s="34"/>
      <c r="C453" s="34"/>
      <c r="D453" s="34"/>
      <c r="E453" s="34"/>
    </row>
    <row r="454" ht="22.5" customHeight="1">
      <c r="A454" s="34"/>
      <c r="B454" s="34"/>
      <c r="C454" s="34"/>
      <c r="D454" s="34"/>
      <c r="E454" s="34"/>
    </row>
    <row r="455" ht="22.5" customHeight="1">
      <c r="A455" s="34"/>
      <c r="B455" s="34"/>
      <c r="C455" s="34"/>
      <c r="D455" s="34"/>
      <c r="E455" s="34"/>
    </row>
    <row r="456" ht="22.5" customHeight="1">
      <c r="A456" s="34"/>
      <c r="B456" s="34"/>
      <c r="C456" s="34"/>
      <c r="D456" s="34"/>
      <c r="E456" s="34"/>
    </row>
    <row r="457" ht="22.5" customHeight="1">
      <c r="A457" s="34"/>
      <c r="B457" s="34"/>
      <c r="C457" s="34"/>
      <c r="D457" s="34"/>
      <c r="E457" s="34"/>
    </row>
    <row r="458" ht="22.5" customHeight="1">
      <c r="A458" s="34"/>
      <c r="B458" s="34"/>
      <c r="C458" s="34"/>
      <c r="D458" s="34"/>
      <c r="E458" s="34"/>
    </row>
    <row r="459" ht="22.5" customHeight="1">
      <c r="A459" s="34"/>
      <c r="B459" s="34"/>
      <c r="C459" s="34"/>
      <c r="D459" s="34"/>
      <c r="E459" s="34"/>
    </row>
    <row r="460" ht="22.5" customHeight="1">
      <c r="A460" s="34"/>
      <c r="B460" s="34"/>
      <c r="C460" s="34"/>
      <c r="D460" s="34"/>
      <c r="E460" s="34"/>
    </row>
    <row r="461" ht="22.5" customHeight="1">
      <c r="A461" s="34"/>
      <c r="B461" s="34"/>
      <c r="C461" s="34"/>
      <c r="D461" s="34"/>
      <c r="E461" s="34"/>
    </row>
    <row r="462" ht="22.5" customHeight="1">
      <c r="A462" s="34"/>
      <c r="B462" s="34"/>
      <c r="C462" s="34"/>
      <c r="D462" s="34"/>
      <c r="E462" s="34"/>
    </row>
    <row r="463" ht="22.5" customHeight="1">
      <c r="A463" s="34"/>
      <c r="B463" s="34"/>
      <c r="C463" s="34"/>
      <c r="D463" s="34"/>
      <c r="E463" s="34"/>
    </row>
    <row r="464" ht="22.5" customHeight="1">
      <c r="A464" s="34"/>
      <c r="B464" s="34"/>
      <c r="C464" s="34"/>
      <c r="D464" s="34"/>
      <c r="E464" s="34"/>
    </row>
    <row r="465" ht="22.5" customHeight="1">
      <c r="A465" s="34"/>
      <c r="B465" s="34"/>
      <c r="C465" s="34"/>
      <c r="D465" s="34"/>
      <c r="E465" s="34"/>
    </row>
    <row r="466" ht="22.5" customHeight="1">
      <c r="A466" s="34"/>
      <c r="B466" s="34"/>
      <c r="C466" s="34"/>
      <c r="D466" s="34"/>
      <c r="E466" s="34"/>
    </row>
    <row r="467" ht="22.5" customHeight="1">
      <c r="A467" s="34"/>
      <c r="B467" s="34"/>
      <c r="C467" s="34"/>
      <c r="D467" s="34"/>
      <c r="E467" s="34"/>
    </row>
    <row r="468" ht="22.5" customHeight="1">
      <c r="A468" s="34"/>
      <c r="B468" s="34"/>
      <c r="C468" s="34"/>
      <c r="D468" s="34"/>
      <c r="E468" s="34"/>
    </row>
    <row r="469" ht="22.5" customHeight="1">
      <c r="A469" s="34"/>
      <c r="B469" s="34"/>
      <c r="C469" s="34"/>
      <c r="D469" s="34"/>
      <c r="E469" s="34"/>
    </row>
    <row r="470" ht="22.5" customHeight="1">
      <c r="A470" s="34"/>
      <c r="B470" s="34"/>
      <c r="C470" s="34"/>
      <c r="D470" s="34"/>
      <c r="E470" s="34"/>
    </row>
    <row r="471" ht="22.5" customHeight="1">
      <c r="A471" s="34"/>
      <c r="B471" s="34"/>
      <c r="C471" s="34"/>
      <c r="D471" s="34"/>
      <c r="E471" s="34"/>
    </row>
    <row r="472" ht="22.5" customHeight="1">
      <c r="A472" s="34"/>
      <c r="B472" s="34"/>
      <c r="C472" s="34"/>
      <c r="D472" s="34"/>
      <c r="E472" s="34"/>
    </row>
    <row r="473" ht="22.5" customHeight="1">
      <c r="A473" s="34"/>
      <c r="B473" s="34"/>
      <c r="C473" s="34"/>
      <c r="D473" s="34"/>
      <c r="E473" s="34"/>
    </row>
    <row r="474" ht="22.5" customHeight="1">
      <c r="A474" s="34"/>
      <c r="B474" s="34"/>
      <c r="C474" s="34"/>
      <c r="D474" s="34"/>
      <c r="E474" s="34"/>
    </row>
    <row r="475" ht="22.5" customHeight="1">
      <c r="A475" s="34"/>
      <c r="B475" s="34"/>
      <c r="C475" s="34"/>
      <c r="D475" s="34"/>
      <c r="E475" s="34"/>
    </row>
    <row r="476" ht="22.5" customHeight="1">
      <c r="A476" s="34"/>
      <c r="B476" s="34"/>
      <c r="C476" s="34"/>
      <c r="D476" s="34"/>
      <c r="E476" s="34"/>
    </row>
    <row r="477" ht="22.5" customHeight="1">
      <c r="A477" s="34"/>
      <c r="B477" s="34"/>
      <c r="C477" s="34"/>
      <c r="D477" s="34"/>
      <c r="E477" s="34"/>
    </row>
    <row r="478" ht="22.5" customHeight="1">
      <c r="A478" s="34"/>
      <c r="B478" s="34"/>
      <c r="C478" s="34"/>
      <c r="D478" s="34"/>
      <c r="E478" s="34"/>
    </row>
    <row r="479" ht="22.5" customHeight="1">
      <c r="A479" s="34"/>
      <c r="B479" s="34"/>
      <c r="C479" s="34"/>
      <c r="D479" s="34"/>
      <c r="E479" s="34"/>
    </row>
    <row r="480" ht="22.5" customHeight="1">
      <c r="A480" s="34"/>
      <c r="B480" s="34"/>
      <c r="C480" s="34"/>
      <c r="D480" s="34"/>
      <c r="E480" s="34"/>
    </row>
    <row r="481" ht="22.5" customHeight="1">
      <c r="A481" s="34"/>
      <c r="B481" s="34"/>
      <c r="C481" s="34"/>
      <c r="D481" s="34"/>
      <c r="E481" s="34"/>
    </row>
    <row r="482" ht="22.5" customHeight="1">
      <c r="A482" s="34"/>
      <c r="B482" s="34"/>
      <c r="C482" s="34"/>
      <c r="D482" s="34"/>
      <c r="E482" s="34"/>
    </row>
    <row r="483" ht="22.5" customHeight="1">
      <c r="A483" s="34"/>
      <c r="B483" s="34"/>
      <c r="C483" s="34"/>
      <c r="D483" s="34"/>
      <c r="E483" s="34"/>
    </row>
    <row r="484" ht="22.5" customHeight="1">
      <c r="A484" s="34"/>
      <c r="B484" s="34"/>
      <c r="C484" s="34"/>
      <c r="D484" s="34"/>
      <c r="E484" s="34"/>
    </row>
    <row r="485" ht="22.5" customHeight="1">
      <c r="A485" s="34"/>
      <c r="B485" s="34"/>
      <c r="C485" s="34"/>
      <c r="D485" s="34"/>
      <c r="E485" s="34"/>
    </row>
    <row r="486" ht="22.5" customHeight="1">
      <c r="A486" s="34"/>
      <c r="B486" s="34"/>
      <c r="C486" s="34"/>
      <c r="D486" s="34"/>
      <c r="E486" s="34"/>
    </row>
    <row r="487" ht="22.5" customHeight="1">
      <c r="A487" s="34"/>
      <c r="B487" s="34"/>
      <c r="C487" s="34"/>
      <c r="D487" s="34"/>
      <c r="E487" s="34"/>
    </row>
    <row r="488" ht="22.5" customHeight="1">
      <c r="A488" s="34"/>
      <c r="B488" s="34"/>
      <c r="C488" s="34"/>
      <c r="D488" s="34"/>
      <c r="E488" s="34"/>
    </row>
    <row r="489" ht="22.5" customHeight="1">
      <c r="A489" s="34"/>
      <c r="B489" s="34"/>
      <c r="C489" s="34"/>
      <c r="D489" s="34"/>
      <c r="E489" s="34"/>
    </row>
    <row r="490" ht="22.5" customHeight="1">
      <c r="A490" s="34"/>
      <c r="B490" s="34"/>
      <c r="C490" s="34"/>
      <c r="D490" s="34"/>
      <c r="E490" s="34"/>
    </row>
    <row r="491" ht="22.5" customHeight="1">
      <c r="A491" s="34"/>
      <c r="B491" s="34"/>
      <c r="C491" s="34"/>
      <c r="D491" s="34"/>
      <c r="E491" s="34"/>
    </row>
    <row r="492" ht="22.5" customHeight="1">
      <c r="A492" s="34"/>
      <c r="B492" s="34"/>
      <c r="C492" s="34"/>
      <c r="D492" s="34"/>
      <c r="E492" s="34"/>
    </row>
    <row r="493" ht="22.5" customHeight="1">
      <c r="A493" s="34"/>
      <c r="B493" s="34"/>
      <c r="C493" s="34"/>
      <c r="D493" s="34"/>
      <c r="E493" s="34"/>
    </row>
    <row r="494" ht="22.5" customHeight="1">
      <c r="A494" s="34"/>
      <c r="B494" s="34"/>
      <c r="C494" s="34"/>
      <c r="D494" s="34"/>
      <c r="E494" s="34"/>
    </row>
    <row r="495" ht="22.5" customHeight="1">
      <c r="A495" s="34"/>
      <c r="B495" s="34"/>
      <c r="C495" s="34"/>
      <c r="D495" s="34"/>
      <c r="E495" s="34"/>
    </row>
    <row r="496" ht="22.5" customHeight="1">
      <c r="A496" s="34"/>
      <c r="B496" s="34"/>
      <c r="C496" s="34"/>
      <c r="D496" s="34"/>
      <c r="E496" s="34"/>
    </row>
    <row r="497" ht="22.5" customHeight="1">
      <c r="A497" s="34"/>
      <c r="B497" s="34"/>
      <c r="C497" s="34"/>
      <c r="D497" s="34"/>
      <c r="E497" s="34"/>
    </row>
    <row r="498" ht="22.5" customHeight="1">
      <c r="A498" s="34"/>
      <c r="B498" s="34"/>
      <c r="C498" s="34"/>
      <c r="D498" s="34"/>
      <c r="E498" s="34"/>
    </row>
    <row r="499" ht="22.5" customHeight="1">
      <c r="A499" s="34"/>
      <c r="B499" s="34"/>
      <c r="C499" s="34"/>
      <c r="D499" s="34"/>
      <c r="E499" s="34"/>
    </row>
    <row r="500" ht="22.5" customHeight="1">
      <c r="A500" s="34"/>
      <c r="B500" s="34"/>
      <c r="C500" s="34"/>
      <c r="D500" s="34"/>
      <c r="E500" s="34"/>
    </row>
    <row r="501" ht="22.5" customHeight="1"/>
    <row r="502" ht="22.5" customHeight="1"/>
    <row r="503" ht="22.5" customHeight="1"/>
    <row r="504" ht="22.5" customHeight="1"/>
    <row r="505" ht="22.5" customHeight="1"/>
    <row r="506" ht="22.5" customHeight="1"/>
    <row r="507" ht="22.5" customHeight="1"/>
    <row r="508" ht="22.5" customHeight="1"/>
    <row r="509" ht="22.5" customHeight="1"/>
    <row r="510" ht="22.5" customHeight="1"/>
    <row r="511" ht="22.5" customHeight="1"/>
    <row r="512" ht="22.5" customHeight="1"/>
    <row r="513" ht="22.5" customHeight="1"/>
    <row r="514" ht="22.5" customHeight="1"/>
    <row r="515" ht="22.5" customHeight="1"/>
    <row r="516" ht="22.5" customHeight="1"/>
    <row r="517" ht="22.5" customHeight="1"/>
    <row r="518" ht="22.5" customHeight="1"/>
    <row r="519" ht="22.5" customHeight="1"/>
    <row r="520" ht="22.5" customHeight="1"/>
    <row r="521" ht="22.5" customHeight="1"/>
    <row r="522" ht="22.5" customHeight="1"/>
    <row r="523" ht="22.5" customHeight="1"/>
    <row r="524" ht="22.5" customHeight="1"/>
    <row r="525" ht="22.5" customHeight="1"/>
    <row r="526" ht="22.5" customHeight="1"/>
    <row r="527" ht="22.5" customHeight="1"/>
    <row r="528" ht="22.5" customHeight="1"/>
    <row r="529" ht="22.5" customHeight="1"/>
    <row r="530" ht="22.5" customHeight="1"/>
    <row r="531" ht="22.5" customHeight="1"/>
    <row r="532" ht="22.5" customHeight="1"/>
    <row r="533" ht="22.5" customHeight="1"/>
    <row r="534" ht="22.5" customHeight="1"/>
    <row r="535" ht="22.5" customHeight="1"/>
    <row r="536" ht="22.5" customHeight="1"/>
    <row r="537" ht="22.5" customHeight="1"/>
    <row r="538" ht="22.5" customHeight="1"/>
    <row r="539" ht="22.5" customHeight="1"/>
    <row r="540" ht="22.5" customHeight="1"/>
    <row r="541" ht="22.5" customHeight="1"/>
    <row r="542" ht="22.5" customHeight="1"/>
    <row r="543" ht="22.5" customHeight="1"/>
    <row r="544" ht="22.5" customHeight="1"/>
    <row r="545" ht="22.5" customHeight="1"/>
    <row r="546" ht="22.5" customHeight="1"/>
    <row r="547" ht="22.5" customHeight="1"/>
    <row r="548" ht="22.5" customHeight="1"/>
    <row r="549" ht="22.5" customHeight="1"/>
    <row r="550" ht="22.5" customHeight="1"/>
    <row r="551" ht="22.5" customHeight="1"/>
    <row r="552" ht="22.5" customHeight="1"/>
    <row r="553" ht="22.5" customHeight="1"/>
    <row r="554" ht="22.5" customHeight="1"/>
    <row r="555" ht="22.5" customHeight="1"/>
    <row r="556" ht="22.5" customHeight="1"/>
    <row r="557" ht="22.5" customHeight="1"/>
    <row r="558" ht="22.5" customHeight="1"/>
    <row r="559" ht="22.5" customHeight="1"/>
    <row r="560" ht="22.5" customHeight="1"/>
    <row r="561" ht="22.5" customHeight="1"/>
    <row r="562" ht="22.5" customHeight="1"/>
    <row r="563" ht="22.5" customHeight="1"/>
    <row r="564" ht="22.5" customHeight="1"/>
    <row r="565" ht="22.5" customHeight="1"/>
    <row r="566" ht="22.5" customHeight="1"/>
    <row r="567" ht="22.5" customHeight="1"/>
    <row r="568" ht="22.5" customHeight="1"/>
    <row r="569" ht="22.5" customHeight="1"/>
    <row r="570" ht="22.5" customHeight="1"/>
    <row r="571" ht="22.5" customHeight="1"/>
    <row r="572" ht="22.5" customHeight="1"/>
    <row r="573" ht="22.5" customHeight="1"/>
    <row r="574" ht="22.5" customHeight="1"/>
    <row r="575" ht="22.5" customHeight="1"/>
    <row r="576" ht="22.5" customHeight="1"/>
    <row r="577" ht="22.5" customHeight="1"/>
    <row r="578" ht="22.5" customHeight="1"/>
    <row r="579" ht="22.5" customHeight="1"/>
    <row r="580" ht="22.5" customHeight="1"/>
    <row r="581" ht="22.5" customHeight="1"/>
    <row r="582" ht="22.5" customHeight="1"/>
    <row r="583" ht="22.5" customHeight="1"/>
    <row r="584" ht="22.5" customHeight="1"/>
    <row r="585" ht="22.5" customHeight="1"/>
    <row r="586" ht="22.5" customHeight="1"/>
    <row r="587" ht="22.5" customHeight="1"/>
    <row r="588" ht="22.5" customHeight="1"/>
    <row r="589" ht="22.5" customHeight="1"/>
    <row r="590" ht="22.5" customHeight="1"/>
    <row r="591" ht="22.5" customHeight="1"/>
    <row r="592" ht="22.5" customHeight="1"/>
    <row r="593" ht="22.5" customHeight="1"/>
    <row r="594" ht="22.5" customHeight="1"/>
    <row r="595" ht="22.5" customHeight="1"/>
    <row r="596" ht="22.5" customHeight="1"/>
    <row r="597" ht="22.5" customHeight="1"/>
    <row r="598" ht="22.5" customHeight="1"/>
    <row r="599" ht="22.5" customHeight="1"/>
    <row r="600" ht="22.5" customHeight="1"/>
    <row r="601" ht="22.5" customHeight="1"/>
    <row r="602" ht="22.5" customHeight="1"/>
    <row r="603" ht="22.5" customHeight="1"/>
    <row r="604" ht="22.5" customHeight="1"/>
    <row r="605" ht="22.5" customHeight="1"/>
    <row r="606" ht="22.5" customHeight="1"/>
    <row r="607" ht="22.5" customHeight="1"/>
    <row r="608" ht="22.5" customHeight="1"/>
    <row r="609" ht="22.5" customHeight="1"/>
    <row r="610" ht="22.5" customHeight="1"/>
    <row r="611" ht="22.5" customHeight="1"/>
    <row r="612" ht="22.5" customHeight="1"/>
    <row r="613" ht="22.5" customHeight="1"/>
    <row r="614" ht="22.5" customHeight="1"/>
    <row r="615" ht="22.5" customHeight="1"/>
    <row r="616" ht="22.5" customHeight="1"/>
    <row r="617" ht="22.5" customHeight="1"/>
    <row r="618" ht="22.5" customHeight="1"/>
    <row r="619" ht="22.5" customHeight="1"/>
    <row r="620" ht="22.5" customHeight="1"/>
    <row r="621" ht="22.5" customHeight="1"/>
    <row r="622" ht="22.5" customHeight="1"/>
    <row r="623" ht="22.5" customHeight="1"/>
    <row r="624" ht="22.5" customHeight="1"/>
    <row r="625" ht="22.5" customHeight="1"/>
    <row r="626" ht="22.5" customHeight="1"/>
    <row r="627" ht="22.5" customHeight="1"/>
    <row r="628" ht="22.5" customHeight="1"/>
    <row r="629" ht="22.5" customHeight="1"/>
    <row r="630" ht="22.5" customHeight="1"/>
    <row r="631" ht="22.5" customHeight="1"/>
    <row r="632" ht="22.5" customHeight="1"/>
    <row r="633" ht="22.5" customHeight="1"/>
    <row r="634" ht="22.5" customHeight="1"/>
    <row r="635" ht="22.5" customHeight="1"/>
    <row r="636" ht="22.5" customHeight="1"/>
    <row r="637" ht="22.5" customHeight="1"/>
    <row r="638" ht="22.5" customHeight="1"/>
    <row r="639" ht="22.5" customHeight="1"/>
    <row r="640" ht="22.5" customHeight="1"/>
    <row r="641" ht="22.5" customHeight="1"/>
    <row r="642" ht="22.5" customHeight="1"/>
    <row r="643" ht="22.5" customHeight="1"/>
    <row r="644" ht="22.5" customHeight="1"/>
    <row r="645" ht="22.5" customHeight="1"/>
    <row r="646" ht="22.5" customHeight="1"/>
    <row r="647" ht="22.5" customHeight="1"/>
    <row r="648" ht="22.5" customHeight="1"/>
    <row r="649" ht="22.5" customHeight="1"/>
    <row r="650" ht="22.5" customHeight="1"/>
    <row r="651" ht="22.5" customHeight="1"/>
    <row r="652" ht="22.5" customHeight="1"/>
    <row r="653" ht="22.5" customHeight="1"/>
    <row r="654" ht="22.5" customHeight="1"/>
    <row r="655" ht="22.5" customHeight="1"/>
    <row r="656" ht="22.5" customHeight="1"/>
    <row r="657" ht="22.5" customHeight="1"/>
    <row r="658" ht="22.5" customHeight="1"/>
    <row r="659" ht="22.5" customHeight="1"/>
    <row r="660" ht="22.5" customHeight="1"/>
    <row r="661" ht="22.5" customHeight="1"/>
    <row r="662" ht="22.5" customHeight="1"/>
    <row r="663" ht="22.5" customHeight="1"/>
    <row r="664" ht="22.5" customHeight="1"/>
    <row r="665" ht="22.5" customHeight="1"/>
    <row r="666" ht="22.5" customHeight="1"/>
    <row r="667" ht="22.5" customHeight="1"/>
    <row r="668" ht="22.5" customHeight="1"/>
    <row r="669" ht="22.5" customHeight="1"/>
    <row r="670" ht="22.5" customHeight="1"/>
    <row r="671" ht="22.5" customHeight="1"/>
    <row r="672" ht="22.5" customHeight="1"/>
    <row r="673" ht="22.5" customHeight="1"/>
    <row r="674" ht="22.5" customHeight="1"/>
    <row r="675" ht="22.5" customHeight="1"/>
    <row r="676" ht="22.5" customHeight="1"/>
    <row r="677" ht="22.5" customHeight="1"/>
    <row r="678" ht="22.5" customHeight="1"/>
    <row r="679" ht="22.5" customHeight="1"/>
    <row r="680" ht="22.5" customHeight="1"/>
    <row r="681" ht="22.5" customHeight="1"/>
    <row r="682" ht="22.5" customHeight="1"/>
    <row r="683" ht="22.5" customHeight="1"/>
    <row r="684" ht="22.5" customHeight="1"/>
    <row r="685" ht="22.5" customHeight="1"/>
    <row r="686" ht="22.5" customHeight="1"/>
    <row r="687" ht="22.5" customHeight="1"/>
    <row r="688" ht="22.5" customHeight="1"/>
    <row r="689" ht="22.5" customHeight="1"/>
    <row r="690" ht="22.5" customHeight="1"/>
    <row r="691" ht="22.5" customHeight="1"/>
    <row r="692" ht="22.5" customHeight="1"/>
    <row r="693" ht="22.5" customHeight="1"/>
    <row r="694" ht="22.5" customHeight="1"/>
    <row r="695" ht="22.5" customHeight="1"/>
    <row r="696" ht="22.5" customHeight="1"/>
    <row r="697" ht="22.5" customHeight="1"/>
    <row r="698" ht="22.5" customHeight="1"/>
    <row r="699" ht="22.5" customHeight="1"/>
    <row r="700" ht="22.5" customHeight="1"/>
    <row r="701" ht="22.5" customHeight="1"/>
    <row r="702" ht="22.5" customHeight="1"/>
    <row r="703" ht="22.5" customHeight="1"/>
    <row r="704" ht="22.5" customHeight="1"/>
    <row r="705" ht="22.5" customHeight="1"/>
    <row r="706" ht="22.5" customHeight="1"/>
    <row r="707" ht="22.5" customHeight="1"/>
    <row r="708" ht="22.5" customHeight="1"/>
    <row r="709" ht="22.5" customHeight="1"/>
    <row r="710" ht="22.5" customHeight="1"/>
    <row r="711" ht="22.5" customHeight="1"/>
    <row r="712" ht="22.5" customHeight="1"/>
    <row r="713" ht="22.5" customHeight="1"/>
    <row r="714" ht="22.5" customHeight="1"/>
    <row r="715" ht="22.5" customHeight="1"/>
    <row r="716" ht="22.5" customHeight="1"/>
    <row r="717" ht="22.5" customHeight="1"/>
    <row r="718" ht="22.5" customHeight="1"/>
    <row r="719" ht="22.5" customHeight="1"/>
    <row r="720" ht="22.5" customHeight="1"/>
    <row r="721" ht="22.5" customHeight="1"/>
    <row r="722" ht="22.5" customHeight="1"/>
    <row r="723" ht="22.5" customHeight="1"/>
    <row r="724" ht="22.5" customHeight="1"/>
    <row r="725" ht="22.5" customHeight="1"/>
    <row r="726" ht="22.5" customHeight="1"/>
    <row r="727" ht="22.5" customHeight="1"/>
    <row r="728" ht="22.5" customHeight="1"/>
    <row r="729" ht="22.5" customHeight="1"/>
    <row r="730" ht="22.5" customHeight="1"/>
    <row r="731" ht="22.5" customHeight="1"/>
    <row r="732" ht="22.5" customHeight="1"/>
    <row r="733" ht="22.5" customHeight="1"/>
    <row r="734" ht="22.5" customHeight="1"/>
    <row r="735" ht="22.5" customHeight="1"/>
    <row r="736" ht="22.5" customHeight="1"/>
    <row r="737" ht="22.5" customHeight="1"/>
    <row r="738" ht="22.5" customHeight="1"/>
    <row r="739" ht="22.5" customHeight="1"/>
    <row r="740" ht="22.5" customHeight="1"/>
    <row r="741" ht="22.5" customHeight="1"/>
    <row r="742" ht="22.5" customHeight="1"/>
    <row r="743" ht="22.5" customHeight="1"/>
    <row r="744" ht="22.5" customHeight="1"/>
    <row r="745" ht="22.5" customHeight="1"/>
    <row r="746" ht="22.5" customHeight="1"/>
    <row r="747" ht="22.5" customHeight="1"/>
    <row r="748" ht="22.5" customHeight="1"/>
    <row r="749" ht="22.5" customHeight="1"/>
    <row r="750" ht="22.5" customHeight="1"/>
    <row r="751" ht="22.5" customHeight="1"/>
    <row r="752" ht="22.5" customHeight="1"/>
    <row r="753" ht="22.5" customHeight="1"/>
    <row r="754" ht="22.5" customHeight="1"/>
    <row r="755" ht="22.5" customHeight="1"/>
    <row r="756" ht="22.5" customHeight="1"/>
    <row r="757" ht="22.5" customHeight="1"/>
    <row r="758" ht="22.5" customHeight="1"/>
    <row r="759" ht="22.5" customHeight="1"/>
    <row r="760" ht="22.5" customHeight="1"/>
    <row r="761" ht="22.5" customHeight="1"/>
    <row r="762" ht="22.5" customHeight="1"/>
    <row r="763" ht="22.5" customHeight="1"/>
    <row r="764" ht="22.5" customHeight="1"/>
    <row r="765" ht="22.5" customHeight="1"/>
    <row r="766" ht="22.5" customHeight="1"/>
    <row r="767" ht="22.5" customHeight="1"/>
    <row r="768" ht="22.5" customHeight="1"/>
    <row r="769" ht="22.5" customHeight="1"/>
    <row r="770" ht="22.5" customHeight="1"/>
    <row r="771" ht="22.5" customHeight="1"/>
    <row r="772" ht="22.5" customHeight="1"/>
    <row r="773" ht="22.5" customHeight="1"/>
    <row r="774" ht="22.5" customHeight="1"/>
    <row r="775" ht="22.5" customHeight="1"/>
    <row r="776" ht="22.5" customHeight="1"/>
    <row r="777" ht="22.5" customHeight="1"/>
    <row r="778" ht="22.5" customHeight="1"/>
    <row r="779" ht="22.5" customHeight="1"/>
    <row r="780" ht="22.5" customHeight="1"/>
    <row r="781" ht="22.5" customHeight="1"/>
    <row r="782" ht="22.5" customHeight="1"/>
    <row r="783" ht="22.5" customHeight="1"/>
    <row r="784" ht="22.5" customHeight="1"/>
    <row r="785" ht="22.5" customHeight="1"/>
    <row r="786" ht="22.5" customHeight="1"/>
    <row r="787" ht="22.5" customHeight="1"/>
    <row r="788" ht="22.5" customHeight="1"/>
    <row r="789" ht="22.5" customHeight="1"/>
    <row r="790" ht="22.5" customHeight="1"/>
    <row r="791" ht="22.5" customHeight="1"/>
    <row r="792" ht="22.5" customHeight="1"/>
    <row r="793" ht="22.5" customHeight="1"/>
    <row r="794" ht="22.5" customHeight="1"/>
    <row r="795" ht="22.5" customHeight="1"/>
    <row r="796" ht="22.5" customHeight="1"/>
    <row r="797" ht="22.5" customHeight="1"/>
    <row r="798" ht="22.5" customHeight="1"/>
    <row r="799" ht="22.5" customHeight="1"/>
    <row r="800" ht="22.5" customHeight="1"/>
    <row r="801" ht="22.5" customHeight="1"/>
    <row r="802" ht="22.5" customHeight="1"/>
    <row r="803" ht="22.5" customHeight="1"/>
    <row r="804" ht="22.5" customHeight="1"/>
    <row r="805" ht="22.5" customHeight="1"/>
    <row r="806" ht="22.5" customHeight="1"/>
    <row r="807" ht="22.5" customHeight="1"/>
    <row r="808" ht="22.5" customHeight="1"/>
    <row r="809" ht="22.5" customHeight="1"/>
    <row r="810" ht="22.5" customHeight="1"/>
    <row r="811" ht="22.5" customHeight="1"/>
    <row r="812" ht="22.5" customHeight="1"/>
    <row r="813" ht="22.5" customHeight="1"/>
    <row r="814" ht="22.5" customHeight="1"/>
    <row r="815" ht="22.5" customHeight="1"/>
    <row r="816" ht="22.5" customHeight="1"/>
    <row r="817" ht="22.5" customHeight="1"/>
    <row r="818" ht="22.5" customHeight="1"/>
    <row r="819" ht="22.5" customHeight="1"/>
    <row r="820" ht="22.5" customHeight="1"/>
    <row r="821" ht="22.5" customHeight="1"/>
    <row r="822" ht="22.5" customHeight="1"/>
    <row r="823" ht="22.5" customHeight="1"/>
    <row r="824" ht="22.5" customHeight="1"/>
    <row r="825" ht="22.5" customHeight="1"/>
    <row r="826" ht="22.5" customHeight="1"/>
    <row r="827" ht="22.5" customHeight="1"/>
    <row r="828" ht="22.5" customHeight="1"/>
    <row r="829" ht="22.5" customHeight="1"/>
    <row r="830" ht="22.5" customHeight="1"/>
    <row r="831" ht="22.5" customHeight="1"/>
    <row r="832" ht="22.5" customHeight="1"/>
    <row r="833" ht="22.5" customHeight="1"/>
    <row r="834" ht="22.5" customHeight="1"/>
    <row r="835" ht="22.5" customHeight="1"/>
    <row r="836" ht="22.5" customHeight="1"/>
    <row r="837" ht="22.5" customHeight="1"/>
    <row r="838" ht="22.5" customHeight="1"/>
    <row r="839" ht="22.5" customHeight="1"/>
    <row r="840" ht="22.5" customHeight="1"/>
    <row r="841" ht="22.5" customHeight="1"/>
    <row r="842" ht="22.5" customHeight="1"/>
    <row r="843" ht="22.5" customHeight="1"/>
    <row r="844" ht="22.5" customHeight="1"/>
    <row r="845" ht="22.5" customHeight="1"/>
    <row r="846" ht="22.5" customHeight="1"/>
    <row r="847" ht="22.5" customHeight="1"/>
    <row r="848" ht="22.5" customHeight="1"/>
    <row r="849" ht="22.5" customHeight="1"/>
    <row r="850" ht="22.5" customHeight="1"/>
    <row r="851" ht="22.5" customHeight="1"/>
    <row r="852" ht="22.5" customHeight="1"/>
    <row r="853" ht="22.5" customHeight="1"/>
    <row r="854" ht="22.5" customHeight="1"/>
    <row r="855" ht="22.5" customHeight="1"/>
    <row r="856" ht="22.5" customHeight="1"/>
    <row r="857" ht="22.5" customHeight="1"/>
    <row r="858" ht="22.5" customHeight="1"/>
    <row r="859" ht="22.5" customHeight="1"/>
    <row r="860" ht="22.5" customHeight="1"/>
    <row r="861" ht="22.5" customHeight="1"/>
    <row r="862" ht="22.5" customHeight="1"/>
    <row r="863" ht="22.5" customHeight="1"/>
    <row r="864" ht="22.5" customHeight="1"/>
    <row r="865" ht="22.5" customHeight="1"/>
    <row r="866" ht="22.5" customHeight="1"/>
    <row r="867" ht="22.5" customHeight="1"/>
    <row r="868" ht="22.5" customHeight="1"/>
    <row r="869" ht="22.5" customHeight="1"/>
    <row r="870" ht="22.5" customHeight="1"/>
    <row r="871" ht="22.5" customHeight="1"/>
    <row r="872" ht="22.5" customHeight="1"/>
    <row r="873" ht="22.5" customHeight="1"/>
    <row r="874" ht="22.5" customHeight="1"/>
    <row r="875" ht="22.5" customHeight="1"/>
    <row r="876" ht="22.5" customHeight="1"/>
    <row r="877" ht="22.5" customHeight="1"/>
    <row r="878" ht="22.5" customHeight="1"/>
    <row r="879" ht="22.5" customHeight="1"/>
    <row r="880" ht="22.5" customHeight="1"/>
    <row r="881" ht="22.5" customHeight="1"/>
    <row r="882" ht="22.5" customHeight="1"/>
    <row r="883" ht="22.5" customHeight="1"/>
    <row r="884" ht="22.5" customHeight="1"/>
    <row r="885" ht="22.5" customHeight="1"/>
    <row r="886" ht="22.5" customHeight="1"/>
    <row r="887" ht="22.5" customHeight="1"/>
    <row r="888" ht="22.5" customHeight="1"/>
    <row r="889" ht="22.5" customHeight="1"/>
    <row r="890" ht="22.5" customHeight="1"/>
    <row r="891" ht="22.5" customHeight="1"/>
    <row r="892" ht="22.5" customHeight="1"/>
    <row r="893" ht="22.5" customHeight="1"/>
    <row r="894" ht="22.5" customHeight="1"/>
    <row r="895" ht="22.5" customHeight="1"/>
    <row r="896" ht="22.5" customHeight="1"/>
    <row r="897" ht="22.5" customHeight="1"/>
    <row r="898" ht="22.5" customHeight="1"/>
    <row r="899" ht="22.5" customHeight="1"/>
    <row r="900" ht="22.5" customHeight="1"/>
    <row r="901" ht="22.5" customHeight="1"/>
    <row r="902" ht="22.5" customHeight="1"/>
    <row r="903" ht="22.5" customHeight="1"/>
    <row r="904" ht="22.5" customHeight="1"/>
    <row r="905" ht="22.5" customHeight="1"/>
    <row r="906" ht="22.5" customHeight="1"/>
    <row r="907" ht="22.5" customHeight="1"/>
    <row r="908" ht="22.5" customHeight="1"/>
    <row r="909" ht="22.5" customHeight="1"/>
    <row r="910" ht="22.5" customHeight="1"/>
    <row r="911" ht="22.5" customHeight="1"/>
    <row r="912" ht="22.5" customHeight="1"/>
    <row r="913" ht="22.5" customHeight="1"/>
    <row r="914" ht="22.5" customHeight="1"/>
    <row r="915" ht="22.5" customHeight="1"/>
    <row r="916" ht="22.5" customHeight="1"/>
    <row r="917" ht="22.5" customHeight="1"/>
    <row r="918" ht="22.5" customHeight="1"/>
    <row r="919" ht="22.5" customHeight="1"/>
    <row r="920" ht="22.5" customHeight="1"/>
    <row r="921" ht="22.5" customHeight="1"/>
    <row r="922" ht="22.5" customHeight="1"/>
    <row r="923" ht="22.5" customHeight="1"/>
    <row r="924" ht="22.5" customHeight="1"/>
    <row r="925" ht="22.5" customHeight="1"/>
    <row r="926" ht="22.5" customHeight="1"/>
    <row r="927" ht="22.5" customHeight="1"/>
    <row r="928" ht="22.5" customHeight="1"/>
    <row r="929" ht="22.5" customHeight="1"/>
    <row r="930" ht="22.5" customHeight="1"/>
    <row r="931" ht="22.5" customHeight="1"/>
    <row r="932" ht="22.5" customHeight="1"/>
    <row r="933" ht="22.5" customHeight="1"/>
    <row r="934" ht="22.5" customHeight="1"/>
    <row r="935" ht="22.5" customHeight="1"/>
    <row r="936" ht="22.5" customHeight="1"/>
    <row r="937" ht="22.5" customHeight="1"/>
    <row r="938" ht="22.5" customHeight="1"/>
    <row r="939" ht="22.5" customHeight="1"/>
    <row r="940" ht="22.5" customHeight="1"/>
    <row r="941" ht="22.5" customHeight="1"/>
    <row r="942" ht="22.5" customHeight="1"/>
    <row r="943" ht="22.5" customHeight="1"/>
    <row r="944" ht="22.5" customHeight="1"/>
    <row r="945" ht="22.5" customHeight="1"/>
    <row r="946" ht="22.5" customHeight="1"/>
    <row r="947" ht="22.5" customHeight="1"/>
    <row r="948" ht="22.5" customHeight="1"/>
    <row r="949" ht="22.5" customHeight="1"/>
    <row r="950" ht="22.5" customHeight="1"/>
    <row r="951" ht="22.5" customHeight="1"/>
    <row r="952" ht="22.5" customHeight="1"/>
    <row r="953" ht="22.5" customHeight="1"/>
    <row r="954" ht="22.5" customHeight="1"/>
    <row r="955" ht="22.5" customHeight="1"/>
    <row r="956" ht="22.5" customHeight="1"/>
    <row r="957" ht="22.5" customHeight="1"/>
    <row r="958" ht="22.5" customHeight="1"/>
    <row r="959" ht="22.5" customHeight="1"/>
    <row r="960" ht="22.5" customHeight="1"/>
    <row r="961" ht="22.5" customHeight="1"/>
    <row r="962" ht="22.5" customHeight="1"/>
    <row r="963" ht="22.5" customHeight="1"/>
    <row r="964" ht="22.5" customHeight="1"/>
    <row r="965" ht="22.5" customHeight="1"/>
    <row r="966" ht="22.5" customHeight="1"/>
    <row r="967" ht="22.5" customHeight="1"/>
    <row r="968" ht="22.5" customHeight="1"/>
    <row r="969" ht="22.5" customHeight="1"/>
    <row r="970" ht="22.5" customHeight="1"/>
    <row r="971" ht="22.5" customHeight="1"/>
    <row r="972" ht="22.5" customHeight="1"/>
    <row r="973" ht="22.5" customHeight="1"/>
    <row r="974" ht="22.5" customHeight="1"/>
    <row r="975" ht="22.5" customHeight="1"/>
    <row r="976" ht="22.5" customHeight="1"/>
    <row r="977" ht="22.5" customHeight="1"/>
    <row r="978" ht="22.5" customHeight="1"/>
    <row r="979" ht="22.5" customHeight="1"/>
    <row r="980" ht="22.5" customHeight="1"/>
    <row r="981" ht="22.5" customHeight="1"/>
    <row r="982" ht="22.5" customHeight="1"/>
    <row r="983" ht="22.5" customHeight="1"/>
    <row r="984" ht="22.5" customHeight="1"/>
    <row r="985" ht="22.5" customHeight="1"/>
    <row r="986" ht="22.5" customHeight="1"/>
    <row r="987" ht="22.5" customHeight="1"/>
    <row r="988" ht="22.5" customHeight="1"/>
    <row r="989" ht="22.5" customHeight="1"/>
    <row r="990" ht="22.5" customHeight="1"/>
    <row r="991" ht="22.5" customHeight="1"/>
    <row r="992" ht="22.5" customHeight="1"/>
    <row r="993" ht="22.5" customHeight="1"/>
    <row r="994" ht="22.5" customHeight="1"/>
    <row r="995" ht="22.5" customHeight="1"/>
    <row r="996" ht="22.5" customHeight="1"/>
    <row r="997" ht="22.5" customHeight="1"/>
    <row r="998" ht="22.5" customHeight="1"/>
    <row r="999" ht="22.5" customHeight="1"/>
    <row r="1000" ht="22.5" customHeight="1"/>
  </sheetData>
  <drawing r:id="rId1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2" width="14.38"/>
    <col customWidth="1" min="3" max="3" width="37.5"/>
    <col customWidth="1" min="4" max="4" width="19.0"/>
    <col customWidth="1" min="5" max="5" width="14.75"/>
    <col customWidth="1" min="6" max="6" width="19.13"/>
    <col customWidth="1" min="7" max="7" width="12.25"/>
    <col customWidth="1" min="8" max="9" width="8.63"/>
    <col customWidth="1" min="10" max="10" width="21.0"/>
    <col customWidth="1" min="11" max="11" width="25.5"/>
    <col customWidth="1" min="12" max="25" width="8.63"/>
  </cols>
  <sheetData>
    <row r="1">
      <c r="A1" s="3" t="s">
        <v>1</v>
      </c>
      <c r="B1" s="3" t="s">
        <v>9</v>
      </c>
      <c r="C1" s="3" t="s">
        <v>11</v>
      </c>
      <c r="D1" s="3" t="s">
        <v>12</v>
      </c>
      <c r="E1" s="3" t="s">
        <v>15</v>
      </c>
      <c r="F1" s="3" t="s">
        <v>14</v>
      </c>
      <c r="G1" s="3" t="s">
        <v>18</v>
      </c>
      <c r="H1" s="3" t="s">
        <v>16</v>
      </c>
      <c r="I1" s="3" t="s">
        <v>17</v>
      </c>
      <c r="J1" s="3" t="s">
        <v>19</v>
      </c>
      <c r="K1" s="3" t="s">
        <v>20</v>
      </c>
    </row>
    <row r="2">
      <c r="A2" s="6" t="s">
        <v>21</v>
      </c>
      <c r="B2" s="6" t="s">
        <v>22</v>
      </c>
      <c r="C2" s="6" t="s">
        <v>23</v>
      </c>
      <c r="D2" s="6" t="s">
        <v>25</v>
      </c>
      <c r="E2" s="6">
        <v>25401.0</v>
      </c>
      <c r="F2" s="6" t="s">
        <v>28</v>
      </c>
      <c r="G2" s="8"/>
      <c r="H2" s="8"/>
      <c r="I2" s="8"/>
      <c r="J2" s="6" t="s">
        <v>31</v>
      </c>
      <c r="K2" s="6" t="s">
        <v>32</v>
      </c>
    </row>
    <row r="3">
      <c r="A3" s="6" t="s">
        <v>33</v>
      </c>
      <c r="B3" s="6" t="s">
        <v>34</v>
      </c>
      <c r="C3" s="6" t="s">
        <v>35</v>
      </c>
      <c r="D3" s="6" t="s">
        <v>25</v>
      </c>
      <c r="E3" s="6">
        <v>25404.0</v>
      </c>
      <c r="F3" s="6" t="s">
        <v>28</v>
      </c>
      <c r="G3" s="8"/>
      <c r="H3" s="8"/>
      <c r="I3" s="8"/>
      <c r="J3" s="6" t="s">
        <v>31</v>
      </c>
      <c r="K3" s="6" t="s">
        <v>32</v>
      </c>
    </row>
    <row r="4">
      <c r="A4" s="6" t="s">
        <v>41</v>
      </c>
      <c r="B4" s="6" t="s">
        <v>43</v>
      </c>
      <c r="C4" s="6" t="s">
        <v>44</v>
      </c>
      <c r="D4" s="6" t="s">
        <v>45</v>
      </c>
      <c r="E4" s="6">
        <v>26601.0</v>
      </c>
      <c r="F4" s="6" t="s">
        <v>48</v>
      </c>
      <c r="G4" s="8"/>
      <c r="H4" s="8"/>
      <c r="I4" s="8"/>
      <c r="J4" s="6" t="s">
        <v>31</v>
      </c>
      <c r="K4" s="6" t="s">
        <v>32</v>
      </c>
    </row>
    <row r="5">
      <c r="A5" s="6" t="s">
        <v>50</v>
      </c>
      <c r="B5" s="6" t="s">
        <v>51</v>
      </c>
      <c r="C5" s="6" t="s">
        <v>52</v>
      </c>
      <c r="D5" s="6" t="s">
        <v>53</v>
      </c>
      <c r="E5" s="6">
        <v>26062.0</v>
      </c>
      <c r="F5" s="6" t="s">
        <v>54</v>
      </c>
      <c r="G5" s="8"/>
      <c r="H5" s="8"/>
      <c r="I5" s="8"/>
      <c r="J5" s="6" t="s">
        <v>31</v>
      </c>
      <c r="K5" s="6" t="s">
        <v>32</v>
      </c>
    </row>
    <row r="6">
      <c r="A6" s="6" t="s">
        <v>55</v>
      </c>
      <c r="B6" s="6" t="s">
        <v>56</v>
      </c>
      <c r="C6" s="6" t="s">
        <v>57</v>
      </c>
      <c r="D6" s="6" t="s">
        <v>58</v>
      </c>
      <c r="E6" s="6">
        <v>25705.0</v>
      </c>
      <c r="F6" s="6" t="s">
        <v>59</v>
      </c>
      <c r="G6" s="8"/>
      <c r="H6" s="8"/>
      <c r="I6" s="8"/>
      <c r="J6" s="6" t="s">
        <v>31</v>
      </c>
      <c r="K6" s="6" t="s">
        <v>32</v>
      </c>
    </row>
    <row r="7">
      <c r="A7" s="6" t="s">
        <v>61</v>
      </c>
      <c r="B7" s="6" t="s">
        <v>62</v>
      </c>
      <c r="C7" s="6" t="s">
        <v>63</v>
      </c>
      <c r="D7" s="6" t="s">
        <v>64</v>
      </c>
      <c r="E7" s="6">
        <v>25504.0</v>
      </c>
      <c r="F7" s="6" t="s">
        <v>59</v>
      </c>
      <c r="G7" s="8"/>
      <c r="H7" s="8"/>
      <c r="I7" s="8"/>
      <c r="J7" s="6" t="s">
        <v>31</v>
      </c>
      <c r="K7" s="6" t="s">
        <v>32</v>
      </c>
    </row>
    <row r="8">
      <c r="A8" s="6" t="s">
        <v>67</v>
      </c>
      <c r="B8" s="6" t="s">
        <v>69</v>
      </c>
      <c r="C8" s="6" t="s">
        <v>70</v>
      </c>
      <c r="D8" s="6" t="s">
        <v>72</v>
      </c>
      <c r="E8" s="6">
        <v>25840.0</v>
      </c>
      <c r="F8" s="6" t="s">
        <v>74</v>
      </c>
      <c r="G8" s="8"/>
      <c r="H8" s="8"/>
      <c r="I8" s="8"/>
      <c r="J8" s="6" t="s">
        <v>31</v>
      </c>
      <c r="K8" s="6" t="s">
        <v>32</v>
      </c>
    </row>
    <row r="9">
      <c r="A9" s="6" t="s">
        <v>76</v>
      </c>
      <c r="B9" s="6" t="s">
        <v>77</v>
      </c>
      <c r="C9" s="6" t="s">
        <v>79</v>
      </c>
      <c r="D9" s="6" t="s">
        <v>80</v>
      </c>
      <c r="E9" s="6">
        <v>24901.0</v>
      </c>
      <c r="F9" s="6" t="s">
        <v>82</v>
      </c>
      <c r="G9" s="8"/>
      <c r="H9" s="8"/>
      <c r="I9" s="8"/>
      <c r="J9" s="6" t="s">
        <v>31</v>
      </c>
      <c r="K9" s="6" t="s">
        <v>32</v>
      </c>
    </row>
    <row r="10">
      <c r="A10" s="6" t="s">
        <v>84</v>
      </c>
      <c r="B10" s="6" t="s">
        <v>85</v>
      </c>
      <c r="C10" s="6" t="s">
        <v>86</v>
      </c>
      <c r="D10" s="6" t="s">
        <v>88</v>
      </c>
      <c r="E10" s="6">
        <v>26836.0</v>
      </c>
      <c r="F10" s="6" t="s">
        <v>90</v>
      </c>
      <c r="G10" s="8"/>
      <c r="H10" s="8"/>
      <c r="I10" s="8"/>
      <c r="J10" s="6" t="s">
        <v>31</v>
      </c>
      <c r="K10" s="6" t="s">
        <v>32</v>
      </c>
    </row>
    <row r="11">
      <c r="A11" s="6" t="s">
        <v>94</v>
      </c>
      <c r="B11" s="6" t="s">
        <v>96</v>
      </c>
      <c r="C11" s="6" t="s">
        <v>98</v>
      </c>
      <c r="D11" s="6" t="s">
        <v>99</v>
      </c>
      <c r="E11" s="6">
        <v>26301.0</v>
      </c>
      <c r="F11" s="6" t="s">
        <v>101</v>
      </c>
      <c r="G11" s="8"/>
      <c r="H11" s="8"/>
      <c r="I11" s="8"/>
      <c r="J11" s="6" t="s">
        <v>31</v>
      </c>
      <c r="K11" s="6" t="s">
        <v>32</v>
      </c>
    </row>
    <row r="12">
      <c r="A12" s="6" t="s">
        <v>107</v>
      </c>
      <c r="B12" s="6" t="s">
        <v>108</v>
      </c>
      <c r="C12" s="6" t="s">
        <v>109</v>
      </c>
      <c r="D12" s="6" t="s">
        <v>110</v>
      </c>
      <c r="E12" s="6">
        <v>25271.0</v>
      </c>
      <c r="F12" s="6" t="s">
        <v>111</v>
      </c>
      <c r="G12" s="8"/>
      <c r="H12" s="8"/>
      <c r="I12" s="8"/>
      <c r="J12" s="6" t="s">
        <v>31</v>
      </c>
      <c r="K12" s="6" t="s">
        <v>32</v>
      </c>
    </row>
    <row r="13">
      <c r="A13" s="6" t="s">
        <v>112</v>
      </c>
      <c r="B13" s="6" t="s">
        <v>113</v>
      </c>
      <c r="C13" s="6" t="s">
        <v>114</v>
      </c>
      <c r="D13" s="6" t="s">
        <v>115</v>
      </c>
      <c r="E13" s="6">
        <v>25241.0</v>
      </c>
      <c r="F13" s="6" t="s">
        <v>111</v>
      </c>
      <c r="G13" s="8"/>
      <c r="H13" s="8"/>
      <c r="I13" s="8"/>
      <c r="J13" s="6" t="s">
        <v>31</v>
      </c>
      <c r="K13" s="6" t="s">
        <v>32</v>
      </c>
    </row>
    <row r="14">
      <c r="A14" s="6" t="s">
        <v>118</v>
      </c>
      <c r="B14" s="6" t="s">
        <v>120</v>
      </c>
      <c r="C14" s="6" t="s">
        <v>121</v>
      </c>
      <c r="D14" s="6" t="s">
        <v>122</v>
      </c>
      <c r="E14" s="6">
        <v>25414.0</v>
      </c>
      <c r="F14" s="6" t="s">
        <v>123</v>
      </c>
      <c r="G14" s="8"/>
      <c r="H14" s="8"/>
      <c r="I14" s="8"/>
      <c r="J14" s="6" t="s">
        <v>31</v>
      </c>
      <c r="K14" s="6" t="s">
        <v>32</v>
      </c>
    </row>
    <row r="15">
      <c r="A15" s="6" t="s">
        <v>124</v>
      </c>
      <c r="B15" s="6" t="s">
        <v>125</v>
      </c>
      <c r="C15" s="6" t="s">
        <v>126</v>
      </c>
      <c r="D15" s="6" t="s">
        <v>127</v>
      </c>
      <c r="E15" s="6">
        <v>25303.0</v>
      </c>
      <c r="F15" s="6" t="s">
        <v>128</v>
      </c>
      <c r="G15" s="8"/>
      <c r="H15" s="8"/>
      <c r="I15" s="8"/>
      <c r="J15" s="6" t="s">
        <v>31</v>
      </c>
      <c r="K15" s="6" t="s">
        <v>32</v>
      </c>
    </row>
    <row r="16">
      <c r="A16" s="6" t="s">
        <v>129</v>
      </c>
      <c r="B16" s="6" t="s">
        <v>130</v>
      </c>
      <c r="C16" s="6" t="s">
        <v>131</v>
      </c>
      <c r="D16" s="6" t="s">
        <v>132</v>
      </c>
      <c r="E16" s="6">
        <v>25313.0</v>
      </c>
      <c r="F16" s="6" t="s">
        <v>128</v>
      </c>
      <c r="G16" s="8"/>
      <c r="H16" s="8"/>
      <c r="I16" s="8"/>
      <c r="J16" s="6" t="s">
        <v>31</v>
      </c>
      <c r="K16" s="6" t="s">
        <v>32</v>
      </c>
    </row>
    <row r="17">
      <c r="A17" s="6" t="s">
        <v>133</v>
      </c>
      <c r="B17" s="6" t="s">
        <v>134</v>
      </c>
      <c r="C17" s="6" t="s">
        <v>135</v>
      </c>
      <c r="D17" s="6" t="s">
        <v>127</v>
      </c>
      <c r="E17" s="6">
        <v>25309.0</v>
      </c>
      <c r="F17" s="6" t="s">
        <v>128</v>
      </c>
      <c r="G17" s="8"/>
      <c r="H17" s="8"/>
      <c r="I17" s="8"/>
      <c r="J17" s="6" t="s">
        <v>31</v>
      </c>
      <c r="K17" s="6" t="s">
        <v>32</v>
      </c>
    </row>
    <row r="18">
      <c r="A18" s="6" t="s">
        <v>136</v>
      </c>
      <c r="B18" s="6" t="s">
        <v>137</v>
      </c>
      <c r="C18" s="6" t="s">
        <v>138</v>
      </c>
      <c r="D18" s="6" t="s">
        <v>140</v>
      </c>
      <c r="E18" s="6">
        <v>25015.0</v>
      </c>
      <c r="F18" s="6" t="s">
        <v>128</v>
      </c>
      <c r="G18" s="8"/>
      <c r="H18" s="8"/>
      <c r="I18" s="8"/>
      <c r="J18" s="6" t="s">
        <v>31</v>
      </c>
      <c r="K18" s="6" t="s">
        <v>32</v>
      </c>
    </row>
    <row r="19">
      <c r="A19" s="6" t="s">
        <v>142</v>
      </c>
      <c r="B19" s="6" t="s">
        <v>143</v>
      </c>
      <c r="C19" s="6" t="s">
        <v>144</v>
      </c>
      <c r="D19" s="6" t="s">
        <v>145</v>
      </c>
      <c r="E19" s="6">
        <v>26452.0</v>
      </c>
      <c r="F19" s="6" t="s">
        <v>147</v>
      </c>
      <c r="G19" s="8"/>
      <c r="H19" s="8"/>
      <c r="I19" s="8"/>
      <c r="J19" s="6" t="s">
        <v>31</v>
      </c>
      <c r="K19" s="6" t="s">
        <v>32</v>
      </c>
    </row>
    <row r="20">
      <c r="A20" s="6" t="s">
        <v>150</v>
      </c>
      <c r="B20" s="6" t="s">
        <v>151</v>
      </c>
      <c r="C20" s="6" t="s">
        <v>152</v>
      </c>
      <c r="D20" s="6" t="s">
        <v>153</v>
      </c>
      <c r="E20" s="6">
        <v>25601.0</v>
      </c>
      <c r="F20" s="6" t="s">
        <v>153</v>
      </c>
      <c r="G20" s="8"/>
      <c r="H20" s="8"/>
      <c r="I20" s="8"/>
      <c r="J20" s="6" t="s">
        <v>31</v>
      </c>
      <c r="K20" s="6" t="s">
        <v>32</v>
      </c>
    </row>
    <row r="21" ht="15.75" customHeight="1">
      <c r="A21" s="6" t="s">
        <v>155</v>
      </c>
      <c r="B21" s="6" t="s">
        <v>156</v>
      </c>
      <c r="C21" s="6" t="s">
        <v>157</v>
      </c>
      <c r="D21" s="6" t="s">
        <v>158</v>
      </c>
      <c r="E21" s="6">
        <v>26554.0</v>
      </c>
      <c r="F21" s="6" t="s">
        <v>159</v>
      </c>
      <c r="G21" s="8"/>
      <c r="H21" s="8"/>
      <c r="I21" s="8"/>
      <c r="J21" s="6" t="s">
        <v>31</v>
      </c>
      <c r="K21" s="6" t="s">
        <v>32</v>
      </c>
    </row>
    <row r="22" ht="15.75" customHeight="1">
      <c r="A22" s="6" t="s">
        <v>160</v>
      </c>
      <c r="B22" s="6" t="s">
        <v>161</v>
      </c>
      <c r="C22" s="6" t="s">
        <v>162</v>
      </c>
      <c r="D22" s="6" t="s">
        <v>163</v>
      </c>
      <c r="E22" s="6">
        <v>26041.0</v>
      </c>
      <c r="F22" s="6" t="s">
        <v>164</v>
      </c>
      <c r="G22" s="8"/>
      <c r="H22" s="8"/>
      <c r="I22" s="8"/>
      <c r="J22" s="6" t="s">
        <v>31</v>
      </c>
      <c r="K22" s="6" t="s">
        <v>32</v>
      </c>
    </row>
    <row r="23" ht="15.75" customHeight="1">
      <c r="A23" s="6" t="s">
        <v>165</v>
      </c>
      <c r="B23" s="6" t="s">
        <v>166</v>
      </c>
      <c r="C23" s="6" t="s">
        <v>167</v>
      </c>
      <c r="D23" s="6" t="s">
        <v>168</v>
      </c>
      <c r="E23" s="6">
        <v>25260.0</v>
      </c>
      <c r="F23" s="6" t="s">
        <v>168</v>
      </c>
      <c r="G23" s="8"/>
      <c r="H23" s="8"/>
      <c r="I23" s="8"/>
      <c r="J23" s="6" t="s">
        <v>31</v>
      </c>
      <c r="K23" s="6" t="s">
        <v>32</v>
      </c>
    </row>
    <row r="24" ht="15.75" customHeight="1">
      <c r="A24" s="6" t="s">
        <v>171</v>
      </c>
      <c r="B24" s="6" t="s">
        <v>172</v>
      </c>
      <c r="C24" s="6" t="s">
        <v>173</v>
      </c>
      <c r="D24" s="6" t="s">
        <v>174</v>
      </c>
      <c r="E24" s="6">
        <v>24740.0</v>
      </c>
      <c r="F24" s="6" t="s">
        <v>175</v>
      </c>
      <c r="G24" s="8"/>
      <c r="H24" s="8"/>
      <c r="I24" s="8"/>
      <c r="J24" s="6" t="s">
        <v>31</v>
      </c>
      <c r="K24" s="6" t="s">
        <v>32</v>
      </c>
    </row>
    <row r="25" ht="15.75" customHeight="1">
      <c r="A25" s="6" t="s">
        <v>176</v>
      </c>
      <c r="B25" s="6" t="s">
        <v>177</v>
      </c>
      <c r="C25" s="6" t="s">
        <v>178</v>
      </c>
      <c r="D25" s="6" t="s">
        <v>179</v>
      </c>
      <c r="E25" s="6">
        <v>26726.0</v>
      </c>
      <c r="F25" s="6" t="s">
        <v>181</v>
      </c>
      <c r="G25" s="8"/>
      <c r="H25" s="8"/>
      <c r="I25" s="8"/>
      <c r="J25" s="6" t="s">
        <v>31</v>
      </c>
      <c r="K25" s="6" t="s">
        <v>32</v>
      </c>
    </row>
    <row r="26" ht="15.75" customHeight="1">
      <c r="A26" s="6" t="s">
        <v>182</v>
      </c>
      <c r="B26" s="6" t="s">
        <v>183</v>
      </c>
      <c r="C26" s="6" t="s">
        <v>184</v>
      </c>
      <c r="D26" s="6" t="s">
        <v>185</v>
      </c>
      <c r="E26" s="6">
        <v>26508.0</v>
      </c>
      <c r="F26" s="6" t="s">
        <v>169</v>
      </c>
      <c r="G26" s="8"/>
      <c r="H26" s="8"/>
      <c r="I26" s="8"/>
      <c r="J26" s="6" t="s">
        <v>31</v>
      </c>
      <c r="K26" s="6" t="s">
        <v>32</v>
      </c>
    </row>
    <row r="27" ht="15.75" customHeight="1">
      <c r="A27" s="6" t="s">
        <v>186</v>
      </c>
      <c r="B27" s="6" t="s">
        <v>187</v>
      </c>
      <c r="C27" s="6" t="s">
        <v>191</v>
      </c>
      <c r="D27" s="6" t="s">
        <v>185</v>
      </c>
      <c r="E27" s="6">
        <v>26505.0</v>
      </c>
      <c r="F27" s="6" t="s">
        <v>169</v>
      </c>
      <c r="G27" s="8"/>
      <c r="H27" s="8"/>
      <c r="I27" s="8"/>
      <c r="J27" s="6" t="s">
        <v>31</v>
      </c>
      <c r="K27" s="6" t="s">
        <v>32</v>
      </c>
    </row>
    <row r="28" ht="15.75" customHeight="1">
      <c r="A28" s="6" t="s">
        <v>193</v>
      </c>
      <c r="B28" s="6" t="s">
        <v>194</v>
      </c>
      <c r="C28" s="6" t="s">
        <v>195</v>
      </c>
      <c r="D28" s="6" t="s">
        <v>197</v>
      </c>
      <c r="E28" s="6">
        <v>26651.0</v>
      </c>
      <c r="F28" s="6" t="s">
        <v>198</v>
      </c>
      <c r="G28" s="8"/>
      <c r="H28" s="8"/>
      <c r="I28" s="8"/>
      <c r="J28" s="6" t="s">
        <v>31</v>
      </c>
      <c r="K28" s="6" t="s">
        <v>32</v>
      </c>
    </row>
    <row r="29" ht="15.75" customHeight="1">
      <c r="A29" s="6" t="s">
        <v>201</v>
      </c>
      <c r="B29" s="6" t="s">
        <v>202</v>
      </c>
      <c r="C29" s="6" t="s">
        <v>203</v>
      </c>
      <c r="D29" s="6" t="s">
        <v>205</v>
      </c>
      <c r="E29" s="6">
        <v>26059.0</v>
      </c>
      <c r="F29" s="6" t="s">
        <v>206</v>
      </c>
      <c r="G29" s="8"/>
      <c r="H29" s="8"/>
      <c r="I29" s="8"/>
      <c r="J29" s="6" t="s">
        <v>31</v>
      </c>
      <c r="K29" s="6" t="s">
        <v>32</v>
      </c>
    </row>
    <row r="30" ht="15.75" customHeight="1">
      <c r="A30" s="6" t="s">
        <v>208</v>
      </c>
      <c r="B30" s="6" t="s">
        <v>209</v>
      </c>
      <c r="C30" s="6" t="s">
        <v>211</v>
      </c>
      <c r="D30" s="6" t="s">
        <v>212</v>
      </c>
      <c r="E30" s="6">
        <v>26537.0</v>
      </c>
      <c r="F30" s="6" t="s">
        <v>105</v>
      </c>
      <c r="G30" s="8"/>
      <c r="H30" s="8"/>
      <c r="I30" s="8"/>
      <c r="J30" s="6" t="s">
        <v>31</v>
      </c>
      <c r="K30" s="6" t="s">
        <v>32</v>
      </c>
    </row>
    <row r="31" ht="15.75" customHeight="1">
      <c r="A31" s="6" t="s">
        <v>214</v>
      </c>
      <c r="B31" s="6" t="s">
        <v>215</v>
      </c>
      <c r="C31" s="6" t="s">
        <v>216</v>
      </c>
      <c r="D31" s="6" t="s">
        <v>217</v>
      </c>
      <c r="E31" s="6">
        <v>25526.0</v>
      </c>
      <c r="F31" s="6" t="s">
        <v>218</v>
      </c>
      <c r="G31" s="8"/>
      <c r="H31" s="8"/>
      <c r="I31" s="8"/>
      <c r="J31" s="6" t="s">
        <v>31</v>
      </c>
      <c r="K31" s="6" t="s">
        <v>32</v>
      </c>
    </row>
    <row r="32" ht="15.75" customHeight="1">
      <c r="A32" s="6" t="s">
        <v>220</v>
      </c>
      <c r="B32" s="6" t="s">
        <v>222</v>
      </c>
      <c r="C32" s="6" t="s">
        <v>223</v>
      </c>
      <c r="D32" s="6" t="s">
        <v>224</v>
      </c>
      <c r="E32" s="6">
        <v>25801.0</v>
      </c>
      <c r="F32" s="6" t="s">
        <v>225</v>
      </c>
      <c r="G32" s="8"/>
      <c r="H32" s="8"/>
      <c r="I32" s="8"/>
      <c r="J32" s="6" t="s">
        <v>31</v>
      </c>
      <c r="K32" s="6" t="s">
        <v>32</v>
      </c>
    </row>
    <row r="33" ht="15.75" customHeight="1">
      <c r="A33" s="6" t="s">
        <v>226</v>
      </c>
      <c r="B33" s="6" t="s">
        <v>227</v>
      </c>
      <c r="C33" s="6" t="s">
        <v>228</v>
      </c>
      <c r="D33" s="6" t="s">
        <v>229</v>
      </c>
      <c r="E33" s="6">
        <v>25873.0</v>
      </c>
      <c r="F33" s="6" t="s">
        <v>225</v>
      </c>
      <c r="G33" s="8"/>
      <c r="H33" s="8"/>
      <c r="I33" s="8"/>
      <c r="J33" s="6" t="s">
        <v>31</v>
      </c>
      <c r="K33" s="6" t="s">
        <v>32</v>
      </c>
    </row>
    <row r="34" ht="15.75" customHeight="1">
      <c r="A34" s="6" t="s">
        <v>231</v>
      </c>
      <c r="B34" s="6" t="s">
        <v>233</v>
      </c>
      <c r="C34" s="6" t="s">
        <v>234</v>
      </c>
      <c r="D34" s="6" t="s">
        <v>235</v>
      </c>
      <c r="E34" s="6">
        <v>26241.0</v>
      </c>
      <c r="F34" s="6" t="s">
        <v>236</v>
      </c>
      <c r="G34" s="8"/>
      <c r="H34" s="8"/>
      <c r="I34" s="8"/>
      <c r="J34" s="6" t="s">
        <v>31</v>
      </c>
      <c r="K34" s="6" t="s">
        <v>32</v>
      </c>
    </row>
    <row r="35" ht="15.75" customHeight="1">
      <c r="A35" s="6" t="s">
        <v>237</v>
      </c>
      <c r="B35" s="6" t="s">
        <v>238</v>
      </c>
      <c r="C35" s="6" t="s">
        <v>239</v>
      </c>
      <c r="D35" s="6" t="s">
        <v>240</v>
      </c>
      <c r="E35" s="6">
        <v>25276.0</v>
      </c>
      <c r="F35" s="6" t="s">
        <v>241</v>
      </c>
      <c r="G35" s="8"/>
      <c r="H35" s="8"/>
      <c r="I35" s="8"/>
      <c r="J35" s="6" t="s">
        <v>31</v>
      </c>
      <c r="K35" s="6" t="s">
        <v>32</v>
      </c>
    </row>
    <row r="36" ht="15.75" customHeight="1">
      <c r="A36" s="6" t="s">
        <v>242</v>
      </c>
      <c r="B36" s="6" t="s">
        <v>243</v>
      </c>
      <c r="C36" s="6" t="s">
        <v>244</v>
      </c>
      <c r="D36" s="6" t="s">
        <v>246</v>
      </c>
      <c r="E36" s="6">
        <v>26354.0</v>
      </c>
      <c r="F36" s="6" t="s">
        <v>247</v>
      </c>
      <c r="G36" s="8"/>
      <c r="H36" s="8"/>
      <c r="I36" s="8"/>
      <c r="J36" s="6" t="s">
        <v>31</v>
      </c>
      <c r="K36" s="6" t="s">
        <v>32</v>
      </c>
    </row>
    <row r="37" ht="15.75" customHeight="1">
      <c r="A37" s="6" t="s">
        <v>248</v>
      </c>
      <c r="B37" s="6" t="s">
        <v>249</v>
      </c>
      <c r="C37" s="6" t="s">
        <v>250</v>
      </c>
      <c r="D37" s="6" t="s">
        <v>251</v>
      </c>
      <c r="E37" s="6">
        <v>26201.0</v>
      </c>
      <c r="F37" s="6" t="s">
        <v>252</v>
      </c>
      <c r="G37" s="8"/>
      <c r="H37" s="8"/>
      <c r="I37" s="8"/>
      <c r="J37" s="6" t="s">
        <v>31</v>
      </c>
      <c r="K37" s="6" t="s">
        <v>32</v>
      </c>
    </row>
    <row r="38" ht="15.75" customHeight="1">
      <c r="A38" s="6" t="s">
        <v>253</v>
      </c>
      <c r="B38" s="6" t="s">
        <v>254</v>
      </c>
      <c r="C38" s="6" t="s">
        <v>255</v>
      </c>
      <c r="D38" s="6" t="s">
        <v>256</v>
      </c>
      <c r="E38" s="6">
        <v>25570.0</v>
      </c>
      <c r="F38" s="6" t="s">
        <v>256</v>
      </c>
      <c r="G38" s="8"/>
      <c r="H38" s="8"/>
      <c r="I38" s="8"/>
      <c r="J38" s="6" t="s">
        <v>31</v>
      </c>
      <c r="K38" s="6" t="s">
        <v>32</v>
      </c>
    </row>
    <row r="39" ht="15.75" customHeight="1">
      <c r="A39" s="6" t="s">
        <v>257</v>
      </c>
      <c r="B39" s="6" t="s">
        <v>258</v>
      </c>
      <c r="C39" s="6" t="s">
        <v>260</v>
      </c>
      <c r="D39" s="6" t="s">
        <v>261</v>
      </c>
      <c r="E39" s="6">
        <v>26155.0</v>
      </c>
      <c r="F39" s="6" t="s">
        <v>263</v>
      </c>
      <c r="G39" s="8"/>
      <c r="H39" s="8"/>
      <c r="I39" s="8"/>
      <c r="J39" s="6" t="s">
        <v>31</v>
      </c>
      <c r="K39" s="6" t="s">
        <v>32</v>
      </c>
    </row>
    <row r="40" ht="15.75" customHeight="1">
      <c r="A40" s="6" t="s">
        <v>264</v>
      </c>
      <c r="B40" s="6" t="s">
        <v>265</v>
      </c>
      <c r="C40" s="6" t="s">
        <v>266</v>
      </c>
      <c r="D40" s="6" t="s">
        <v>267</v>
      </c>
      <c r="E40" s="6">
        <v>26101.0</v>
      </c>
      <c r="F40" s="6" t="s">
        <v>268</v>
      </c>
      <c r="G40" s="8"/>
      <c r="H40" s="8"/>
      <c r="I40" s="8"/>
      <c r="J40" s="6" t="s">
        <v>31</v>
      </c>
      <c r="K40" s="6" t="s">
        <v>32</v>
      </c>
    </row>
    <row r="41" ht="15.75" customHeight="1">
      <c r="A41" s="6" t="s">
        <v>269</v>
      </c>
      <c r="B41" s="6" t="s">
        <v>270</v>
      </c>
      <c r="C41" s="6" t="s">
        <v>271</v>
      </c>
      <c r="D41" s="6" t="s">
        <v>272</v>
      </c>
      <c r="E41" s="6">
        <v>26105.0</v>
      </c>
      <c r="F41" s="6" t="s">
        <v>268</v>
      </c>
      <c r="G41" s="8"/>
      <c r="H41" s="8"/>
      <c r="I41" s="8"/>
      <c r="J41" s="6" t="s">
        <v>31</v>
      </c>
      <c r="K41" s="6" t="s">
        <v>32</v>
      </c>
    </row>
    <row r="42" ht="15.75" customHeight="1">
      <c r="A42" s="6" t="s">
        <v>274</v>
      </c>
      <c r="B42" s="6" t="s">
        <v>275</v>
      </c>
      <c r="C42" s="6" t="s">
        <v>276</v>
      </c>
      <c r="D42" s="6" t="s">
        <v>277</v>
      </c>
      <c r="E42" s="6">
        <v>25428.0</v>
      </c>
      <c r="F42" s="6" t="s">
        <v>28</v>
      </c>
      <c r="G42" s="8"/>
      <c r="H42" s="8"/>
      <c r="I42" s="8"/>
      <c r="J42" s="6" t="s">
        <v>278</v>
      </c>
      <c r="K42" s="6" t="s">
        <v>32</v>
      </c>
    </row>
    <row r="43" ht="15.75" customHeight="1">
      <c r="A43" s="6" t="s">
        <v>279</v>
      </c>
      <c r="B43" s="6" t="s">
        <v>280</v>
      </c>
      <c r="C43" s="6" t="s">
        <v>281</v>
      </c>
      <c r="D43" s="6" t="s">
        <v>282</v>
      </c>
      <c r="E43" s="6">
        <v>25419.0</v>
      </c>
      <c r="F43" s="6" t="s">
        <v>28</v>
      </c>
      <c r="G43" s="8"/>
      <c r="H43" s="8"/>
      <c r="I43" s="8"/>
      <c r="J43" s="6" t="s">
        <v>278</v>
      </c>
      <c r="K43" s="6" t="s">
        <v>32</v>
      </c>
    </row>
    <row r="44" ht="15.75" customHeight="1">
      <c r="A44" s="6" t="s">
        <v>284</v>
      </c>
      <c r="B44" s="6" t="s">
        <v>285</v>
      </c>
      <c r="C44" s="6" t="s">
        <v>286</v>
      </c>
      <c r="D44" s="6" t="s">
        <v>287</v>
      </c>
      <c r="E44" s="6">
        <v>25130.0</v>
      </c>
      <c r="F44" s="6" t="s">
        <v>288</v>
      </c>
      <c r="G44" s="8"/>
      <c r="H44" s="8"/>
      <c r="I44" s="8"/>
      <c r="J44" s="6" t="s">
        <v>278</v>
      </c>
      <c r="K44" s="6" t="s">
        <v>32</v>
      </c>
    </row>
    <row r="45" ht="15.75" customHeight="1">
      <c r="A45" s="6" t="s">
        <v>289</v>
      </c>
      <c r="B45" s="6" t="s">
        <v>290</v>
      </c>
      <c r="C45" s="6" t="s">
        <v>291</v>
      </c>
      <c r="D45" s="6" t="s">
        <v>292</v>
      </c>
      <c r="E45" s="6">
        <v>26070.0</v>
      </c>
      <c r="F45" s="6" t="s">
        <v>293</v>
      </c>
      <c r="G45" s="8"/>
      <c r="H45" s="8"/>
      <c r="I45" s="8"/>
      <c r="J45" s="6" t="s">
        <v>278</v>
      </c>
      <c r="K45" s="6" t="s">
        <v>32</v>
      </c>
    </row>
    <row r="46" ht="15.75" customHeight="1">
      <c r="A46" s="6" t="s">
        <v>295</v>
      </c>
      <c r="B46" s="6" t="s">
        <v>296</v>
      </c>
      <c r="C46" s="6" t="s">
        <v>297</v>
      </c>
      <c r="D46" s="6" t="s">
        <v>64</v>
      </c>
      <c r="E46" s="6">
        <v>25504.0</v>
      </c>
      <c r="F46" s="6" t="s">
        <v>59</v>
      </c>
      <c r="G46" s="8"/>
      <c r="H46" s="8"/>
      <c r="I46" s="8"/>
      <c r="J46" s="6" t="s">
        <v>278</v>
      </c>
      <c r="K46" s="6" t="s">
        <v>32</v>
      </c>
    </row>
    <row r="47" ht="15.75" customHeight="1">
      <c r="A47" s="6" t="s">
        <v>298</v>
      </c>
      <c r="B47" s="6" t="s">
        <v>299</v>
      </c>
      <c r="C47" s="6" t="s">
        <v>300</v>
      </c>
      <c r="D47" s="6" t="s">
        <v>58</v>
      </c>
      <c r="E47" s="6">
        <v>25701.0</v>
      </c>
      <c r="F47" s="6" t="s">
        <v>59</v>
      </c>
      <c r="G47" s="8"/>
      <c r="H47" s="8"/>
      <c r="I47" s="8"/>
      <c r="J47" s="6" t="s">
        <v>278</v>
      </c>
      <c r="K47" s="6" t="s">
        <v>32</v>
      </c>
    </row>
    <row r="48" ht="15.75" customHeight="1">
      <c r="A48" s="6" t="s">
        <v>301</v>
      </c>
      <c r="B48" s="6" t="s">
        <v>303</v>
      </c>
      <c r="C48" s="6" t="s">
        <v>304</v>
      </c>
      <c r="D48" s="6" t="s">
        <v>58</v>
      </c>
      <c r="E48" s="6">
        <v>25702.0</v>
      </c>
      <c r="F48" s="6" t="s">
        <v>59</v>
      </c>
      <c r="G48" s="8"/>
      <c r="H48" s="8"/>
      <c r="I48" s="8"/>
      <c r="J48" s="6" t="s">
        <v>278</v>
      </c>
      <c r="K48" s="6" t="s">
        <v>32</v>
      </c>
    </row>
    <row r="49" ht="15.75" customHeight="1">
      <c r="A49" s="6" t="s">
        <v>307</v>
      </c>
      <c r="B49" s="6" t="s">
        <v>308</v>
      </c>
      <c r="C49" s="6" t="s">
        <v>309</v>
      </c>
      <c r="D49" s="6" t="s">
        <v>310</v>
      </c>
      <c r="E49" s="6">
        <v>25901.0</v>
      </c>
      <c r="F49" s="6" t="s">
        <v>74</v>
      </c>
      <c r="G49" s="8"/>
      <c r="H49" s="8"/>
      <c r="I49" s="8"/>
      <c r="J49" s="6" t="s">
        <v>278</v>
      </c>
      <c r="K49" s="6" t="s">
        <v>32</v>
      </c>
    </row>
    <row r="50" ht="15.75" customHeight="1">
      <c r="A50" s="6" t="s">
        <v>311</v>
      </c>
      <c r="B50" s="6" t="s">
        <v>313</v>
      </c>
      <c r="C50" s="6" t="s">
        <v>314</v>
      </c>
      <c r="D50" s="6" t="s">
        <v>316</v>
      </c>
      <c r="E50" s="6">
        <v>24970.0</v>
      </c>
      <c r="F50" s="6" t="s">
        <v>82</v>
      </c>
      <c r="G50" s="8"/>
      <c r="H50" s="8"/>
      <c r="I50" s="8"/>
      <c r="J50" s="6" t="s">
        <v>278</v>
      </c>
      <c r="K50" s="6" t="s">
        <v>32</v>
      </c>
    </row>
    <row r="51" ht="15.75" customHeight="1">
      <c r="A51" s="6" t="s">
        <v>317</v>
      </c>
      <c r="B51" s="6" t="s">
        <v>318</v>
      </c>
      <c r="C51" s="6" t="s">
        <v>319</v>
      </c>
      <c r="D51" s="6" t="s">
        <v>320</v>
      </c>
      <c r="E51" s="6">
        <v>25962.0</v>
      </c>
      <c r="F51" s="6" t="s">
        <v>82</v>
      </c>
      <c r="G51" s="8"/>
      <c r="H51" s="8"/>
      <c r="I51" s="8"/>
      <c r="J51" s="6" t="s">
        <v>278</v>
      </c>
      <c r="K51" s="6" t="s">
        <v>32</v>
      </c>
    </row>
    <row r="52" ht="15.75" customHeight="1">
      <c r="A52" s="6" t="s">
        <v>322</v>
      </c>
      <c r="B52" s="6" t="s">
        <v>323</v>
      </c>
      <c r="C52" s="6" t="s">
        <v>324</v>
      </c>
      <c r="D52" s="6" t="s">
        <v>325</v>
      </c>
      <c r="E52" s="6">
        <v>24986.0</v>
      </c>
      <c r="F52" s="6" t="s">
        <v>82</v>
      </c>
      <c r="G52" s="8"/>
      <c r="H52" s="8"/>
      <c r="I52" s="8"/>
      <c r="J52" s="6" t="s">
        <v>278</v>
      </c>
      <c r="K52" s="6" t="s">
        <v>32</v>
      </c>
    </row>
    <row r="53" ht="15.75" customHeight="1">
      <c r="A53" s="6" t="s">
        <v>326</v>
      </c>
      <c r="B53" s="6" t="s">
        <v>327</v>
      </c>
      <c r="C53" s="6" t="s">
        <v>328</v>
      </c>
      <c r="D53" s="6" t="s">
        <v>329</v>
      </c>
      <c r="E53" s="6">
        <v>26757.0</v>
      </c>
      <c r="F53" s="6" t="s">
        <v>273</v>
      </c>
      <c r="G53" s="8"/>
      <c r="H53" s="8"/>
      <c r="I53" s="8"/>
      <c r="J53" s="6" t="s">
        <v>278</v>
      </c>
      <c r="K53" s="6" t="s">
        <v>32</v>
      </c>
    </row>
    <row r="54" ht="15.75" customHeight="1">
      <c r="A54" s="6" t="s">
        <v>332</v>
      </c>
      <c r="B54" s="6" t="s">
        <v>333</v>
      </c>
      <c r="C54" s="6" t="s">
        <v>335</v>
      </c>
      <c r="D54" s="6" t="s">
        <v>53</v>
      </c>
      <c r="E54" s="6">
        <v>26062.0</v>
      </c>
      <c r="F54" s="6" t="s">
        <v>54</v>
      </c>
      <c r="G54" s="8"/>
      <c r="H54" s="8"/>
      <c r="I54" s="8"/>
      <c r="J54" s="6" t="s">
        <v>278</v>
      </c>
      <c r="K54" s="6" t="s">
        <v>32</v>
      </c>
    </row>
    <row r="55" ht="15.75" customHeight="1">
      <c r="A55" s="6" t="s">
        <v>336</v>
      </c>
      <c r="B55" s="6" t="s">
        <v>337</v>
      </c>
      <c r="C55" s="6" t="s">
        <v>338</v>
      </c>
      <c r="D55" s="6" t="s">
        <v>88</v>
      </c>
      <c r="E55" s="6">
        <v>26836.0</v>
      </c>
      <c r="F55" s="6" t="s">
        <v>90</v>
      </c>
      <c r="G55" s="8"/>
      <c r="H55" s="8"/>
      <c r="I55" s="8"/>
      <c r="J55" s="6" t="s">
        <v>278</v>
      </c>
      <c r="K55" s="6" t="s">
        <v>32</v>
      </c>
    </row>
    <row r="56" ht="15.75" customHeight="1">
      <c r="A56" s="6" t="s">
        <v>339</v>
      </c>
      <c r="B56" s="6" t="s">
        <v>340</v>
      </c>
      <c r="C56" s="6" t="s">
        <v>341</v>
      </c>
      <c r="D56" s="6" t="s">
        <v>99</v>
      </c>
      <c r="E56" s="6">
        <v>26301.0</v>
      </c>
      <c r="F56" s="6" t="s">
        <v>101</v>
      </c>
      <c r="G56" s="8"/>
      <c r="H56" s="8"/>
      <c r="I56" s="8"/>
      <c r="J56" s="6" t="s">
        <v>278</v>
      </c>
      <c r="K56" s="6" t="s">
        <v>32</v>
      </c>
    </row>
    <row r="57" ht="15.75" customHeight="1">
      <c r="A57" s="6" t="s">
        <v>343</v>
      </c>
      <c r="B57" s="6" t="s">
        <v>344</v>
      </c>
      <c r="C57" s="6" t="s">
        <v>345</v>
      </c>
      <c r="D57" s="6" t="s">
        <v>347</v>
      </c>
      <c r="E57" s="6">
        <v>26301.0</v>
      </c>
      <c r="F57" s="6" t="s">
        <v>101</v>
      </c>
      <c r="G57" s="8"/>
      <c r="H57" s="8"/>
      <c r="I57" s="8"/>
      <c r="J57" s="6" t="s">
        <v>278</v>
      </c>
      <c r="K57" s="6" t="s">
        <v>32</v>
      </c>
    </row>
    <row r="58" ht="15.75" customHeight="1">
      <c r="A58" s="6" t="s">
        <v>349</v>
      </c>
      <c r="B58" s="6" t="s">
        <v>350</v>
      </c>
      <c r="C58" s="6" t="s">
        <v>352</v>
      </c>
      <c r="D58" s="6" t="s">
        <v>99</v>
      </c>
      <c r="E58" s="6">
        <v>26301.0</v>
      </c>
      <c r="F58" s="6" t="s">
        <v>101</v>
      </c>
      <c r="G58" s="8"/>
      <c r="H58" s="8"/>
      <c r="I58" s="8"/>
      <c r="J58" s="6" t="s">
        <v>278</v>
      </c>
      <c r="K58" s="6" t="s">
        <v>32</v>
      </c>
    </row>
    <row r="59" ht="15.75" customHeight="1">
      <c r="A59" s="6" t="s">
        <v>353</v>
      </c>
      <c r="B59" s="6" t="s">
        <v>354</v>
      </c>
      <c r="C59" s="6" t="s">
        <v>355</v>
      </c>
      <c r="D59" s="6" t="s">
        <v>110</v>
      </c>
      <c r="E59" s="6">
        <v>25271.0</v>
      </c>
      <c r="F59" s="6" t="s">
        <v>111</v>
      </c>
      <c r="G59" s="8"/>
      <c r="H59" s="8"/>
      <c r="I59" s="8"/>
      <c r="J59" s="6" t="s">
        <v>278</v>
      </c>
      <c r="K59" s="6" t="s">
        <v>32</v>
      </c>
    </row>
    <row r="60" ht="15.75" customHeight="1">
      <c r="A60" s="6" t="s">
        <v>357</v>
      </c>
      <c r="B60" s="6" t="s">
        <v>358</v>
      </c>
      <c r="C60" s="6" t="s">
        <v>360</v>
      </c>
      <c r="D60" s="6" t="s">
        <v>122</v>
      </c>
      <c r="E60" s="6">
        <v>25414.0</v>
      </c>
      <c r="F60" s="6" t="s">
        <v>123</v>
      </c>
      <c r="G60" s="8"/>
      <c r="H60" s="8"/>
      <c r="I60" s="8"/>
      <c r="J60" s="6" t="s">
        <v>278</v>
      </c>
      <c r="K60" s="6" t="s">
        <v>32</v>
      </c>
    </row>
    <row r="61" ht="15.75" customHeight="1">
      <c r="A61" s="6" t="s">
        <v>361</v>
      </c>
      <c r="B61" s="6" t="s">
        <v>362</v>
      </c>
      <c r="C61" s="6" t="s">
        <v>363</v>
      </c>
      <c r="D61" s="6" t="s">
        <v>364</v>
      </c>
      <c r="E61" s="6">
        <v>25443.0</v>
      </c>
      <c r="F61" s="6" t="s">
        <v>123</v>
      </c>
      <c r="G61" s="8"/>
      <c r="H61" s="8"/>
      <c r="I61" s="8"/>
      <c r="J61" s="6" t="s">
        <v>278</v>
      </c>
      <c r="K61" s="6" t="s">
        <v>32</v>
      </c>
    </row>
    <row r="62" ht="15.75" customHeight="1">
      <c r="A62" s="6" t="s">
        <v>365</v>
      </c>
      <c r="B62" s="6" t="s">
        <v>366</v>
      </c>
      <c r="C62" s="6" t="s">
        <v>367</v>
      </c>
      <c r="D62" s="6" t="s">
        <v>369</v>
      </c>
      <c r="E62" s="6">
        <v>25315.0</v>
      </c>
      <c r="F62" s="6" t="s">
        <v>128</v>
      </c>
      <c r="G62" s="8"/>
      <c r="H62" s="8"/>
      <c r="I62" s="8"/>
      <c r="J62" s="6" t="s">
        <v>278</v>
      </c>
      <c r="K62" s="6" t="s">
        <v>32</v>
      </c>
    </row>
    <row r="63" ht="15.75" customHeight="1">
      <c r="A63" s="6" t="s">
        <v>371</v>
      </c>
      <c r="B63" s="6" t="s">
        <v>372</v>
      </c>
      <c r="C63" s="6" t="s">
        <v>373</v>
      </c>
      <c r="D63" s="6" t="s">
        <v>132</v>
      </c>
      <c r="E63" s="6">
        <v>25313.0</v>
      </c>
      <c r="F63" s="6" t="s">
        <v>128</v>
      </c>
      <c r="G63" s="8"/>
      <c r="H63" s="8"/>
      <c r="I63" s="8"/>
      <c r="J63" s="6" t="s">
        <v>278</v>
      </c>
      <c r="K63" s="6" t="s">
        <v>32</v>
      </c>
    </row>
    <row r="64" ht="15.75" customHeight="1">
      <c r="A64" s="6" t="s">
        <v>374</v>
      </c>
      <c r="B64" s="6" t="s">
        <v>375</v>
      </c>
      <c r="C64" s="6" t="s">
        <v>376</v>
      </c>
      <c r="D64" s="6" t="s">
        <v>377</v>
      </c>
      <c r="E64" s="6">
        <v>25314.0</v>
      </c>
      <c r="F64" s="6" t="s">
        <v>128</v>
      </c>
      <c r="G64" s="8"/>
      <c r="H64" s="8"/>
      <c r="I64" s="8"/>
      <c r="J64" s="6" t="s">
        <v>278</v>
      </c>
      <c r="K64" s="6" t="s">
        <v>32</v>
      </c>
    </row>
    <row r="65" ht="15.75" customHeight="1">
      <c r="A65" s="6" t="s">
        <v>379</v>
      </c>
      <c r="B65" s="6" t="s">
        <v>380</v>
      </c>
      <c r="C65" s="6" t="s">
        <v>382</v>
      </c>
      <c r="D65" s="6" t="s">
        <v>377</v>
      </c>
      <c r="E65" s="6">
        <v>25302.0</v>
      </c>
      <c r="F65" s="6" t="s">
        <v>128</v>
      </c>
      <c r="G65" s="8"/>
      <c r="H65" s="8"/>
      <c r="I65" s="8"/>
      <c r="J65" s="6" t="s">
        <v>278</v>
      </c>
      <c r="K65" s="6" t="s">
        <v>32</v>
      </c>
    </row>
    <row r="66" ht="15.75" customHeight="1">
      <c r="A66" s="6" t="s">
        <v>384</v>
      </c>
      <c r="B66" s="6" t="s">
        <v>385</v>
      </c>
      <c r="C66" s="6" t="s">
        <v>386</v>
      </c>
      <c r="D66" s="6" t="s">
        <v>377</v>
      </c>
      <c r="E66" s="6">
        <v>25304.0</v>
      </c>
      <c r="F66" s="6" t="s">
        <v>128</v>
      </c>
      <c r="G66" s="8"/>
      <c r="H66" s="8"/>
      <c r="I66" s="8"/>
      <c r="J66" s="6" t="s">
        <v>278</v>
      </c>
      <c r="K66" s="6" t="s">
        <v>32</v>
      </c>
    </row>
    <row r="67" ht="15.75" customHeight="1">
      <c r="A67" s="6" t="s">
        <v>387</v>
      </c>
      <c r="B67" s="6" t="s">
        <v>388</v>
      </c>
      <c r="C67" s="6" t="s">
        <v>389</v>
      </c>
      <c r="D67" s="6" t="s">
        <v>390</v>
      </c>
      <c r="E67" s="6">
        <v>25177.0</v>
      </c>
      <c r="F67" s="6" t="s">
        <v>128</v>
      </c>
      <c r="G67" s="8"/>
      <c r="H67" s="8"/>
      <c r="I67" s="8"/>
      <c r="J67" s="6" t="s">
        <v>278</v>
      </c>
      <c r="K67" s="6" t="s">
        <v>32</v>
      </c>
    </row>
    <row r="68" ht="15.75" customHeight="1">
      <c r="A68" s="6" t="s">
        <v>393</v>
      </c>
      <c r="B68" s="6" t="s">
        <v>394</v>
      </c>
      <c r="C68" s="6" t="s">
        <v>395</v>
      </c>
      <c r="D68" s="6" t="s">
        <v>396</v>
      </c>
      <c r="E68" s="6">
        <v>25071.0</v>
      </c>
      <c r="F68" s="6" t="s">
        <v>128</v>
      </c>
      <c r="G68" s="8"/>
      <c r="H68" s="8"/>
      <c r="I68" s="8"/>
      <c r="J68" s="6" t="s">
        <v>278</v>
      </c>
      <c r="K68" s="6" t="s">
        <v>32</v>
      </c>
    </row>
    <row r="69" ht="15.75" customHeight="1">
      <c r="A69" s="6" t="s">
        <v>398</v>
      </c>
      <c r="B69" s="6" t="s">
        <v>399</v>
      </c>
      <c r="C69" s="6" t="s">
        <v>400</v>
      </c>
      <c r="D69" s="6" t="s">
        <v>153</v>
      </c>
      <c r="E69" s="6">
        <v>25601.0</v>
      </c>
      <c r="F69" s="6" t="s">
        <v>153</v>
      </c>
      <c r="G69" s="8"/>
      <c r="H69" s="8"/>
      <c r="I69" s="8"/>
      <c r="J69" s="6" t="s">
        <v>278</v>
      </c>
      <c r="K69" s="6" t="s">
        <v>32</v>
      </c>
    </row>
    <row r="70" ht="15.75" customHeight="1">
      <c r="A70" s="6" t="s">
        <v>402</v>
      </c>
      <c r="B70" s="6" t="s">
        <v>403</v>
      </c>
      <c r="C70" s="6" t="s">
        <v>404</v>
      </c>
      <c r="D70" s="6" t="s">
        <v>158</v>
      </c>
      <c r="E70" s="6">
        <v>26554.0</v>
      </c>
      <c r="F70" s="6" t="s">
        <v>159</v>
      </c>
      <c r="G70" s="8"/>
      <c r="H70" s="8"/>
      <c r="I70" s="8"/>
      <c r="J70" s="6" t="s">
        <v>278</v>
      </c>
      <c r="K70" s="6" t="s">
        <v>32</v>
      </c>
    </row>
    <row r="71" ht="15.75" customHeight="1">
      <c r="A71" s="6" t="s">
        <v>406</v>
      </c>
      <c r="B71" s="6" t="s">
        <v>407</v>
      </c>
      <c r="C71" s="6" t="s">
        <v>408</v>
      </c>
      <c r="D71" s="6" t="s">
        <v>163</v>
      </c>
      <c r="E71" s="6">
        <v>26041.0</v>
      </c>
      <c r="F71" s="6" t="s">
        <v>164</v>
      </c>
      <c r="G71" s="8"/>
      <c r="H71" s="8"/>
      <c r="I71" s="8"/>
      <c r="J71" s="6" t="s">
        <v>278</v>
      </c>
      <c r="K71" s="6" t="s">
        <v>32</v>
      </c>
    </row>
    <row r="72" ht="15.75" customHeight="1">
      <c r="A72" s="6" t="s">
        <v>409</v>
      </c>
      <c r="B72" s="6" t="s">
        <v>410</v>
      </c>
      <c r="C72" s="6" t="s">
        <v>411</v>
      </c>
      <c r="D72" s="6" t="s">
        <v>174</v>
      </c>
      <c r="E72" s="6">
        <v>24740.0</v>
      </c>
      <c r="F72" s="6" t="s">
        <v>175</v>
      </c>
      <c r="G72" s="8"/>
      <c r="H72" s="8"/>
      <c r="I72" s="8"/>
      <c r="J72" s="6" t="s">
        <v>278</v>
      </c>
      <c r="K72" s="6" t="s">
        <v>32</v>
      </c>
    </row>
    <row r="73" ht="15.75" customHeight="1">
      <c r="A73" s="6" t="s">
        <v>412</v>
      </c>
      <c r="B73" s="6" t="s">
        <v>413</v>
      </c>
      <c r="C73" s="6" t="s">
        <v>414</v>
      </c>
      <c r="D73" s="6" t="s">
        <v>185</v>
      </c>
      <c r="E73" s="6">
        <v>26505.0</v>
      </c>
      <c r="F73" s="6" t="s">
        <v>169</v>
      </c>
      <c r="G73" s="8"/>
      <c r="H73" s="8"/>
      <c r="I73" s="8"/>
      <c r="J73" s="6" t="s">
        <v>278</v>
      </c>
      <c r="K73" s="6" t="s">
        <v>32</v>
      </c>
    </row>
    <row r="74" ht="15.75" customHeight="1">
      <c r="A74" s="6" t="s">
        <v>417</v>
      </c>
      <c r="B74" s="6" t="s">
        <v>418</v>
      </c>
      <c r="C74" s="6" t="s">
        <v>419</v>
      </c>
      <c r="D74" s="6" t="s">
        <v>185</v>
      </c>
      <c r="E74" s="6">
        <v>26505.0</v>
      </c>
      <c r="F74" s="6" t="s">
        <v>169</v>
      </c>
      <c r="G74" s="8"/>
      <c r="H74" s="8"/>
      <c r="I74" s="8"/>
      <c r="J74" s="6" t="s">
        <v>278</v>
      </c>
      <c r="K74" s="6" t="s">
        <v>32</v>
      </c>
    </row>
    <row r="75" ht="15.75" customHeight="1">
      <c r="A75" s="6" t="s">
        <v>421</v>
      </c>
      <c r="B75" s="6" t="s">
        <v>422</v>
      </c>
      <c r="C75" s="6" t="s">
        <v>423</v>
      </c>
      <c r="D75" s="6" t="s">
        <v>185</v>
      </c>
      <c r="E75" s="6">
        <v>26505.0</v>
      </c>
      <c r="F75" s="6" t="s">
        <v>169</v>
      </c>
      <c r="G75" s="8"/>
      <c r="H75" s="8"/>
      <c r="I75" s="8"/>
      <c r="J75" s="6" t="s">
        <v>278</v>
      </c>
      <c r="K75" s="6" t="s">
        <v>32</v>
      </c>
    </row>
    <row r="76" ht="15.75" customHeight="1">
      <c r="A76" s="6" t="s">
        <v>429</v>
      </c>
      <c r="B76" s="6" t="s">
        <v>430</v>
      </c>
      <c r="C76" s="6" t="s">
        <v>431</v>
      </c>
      <c r="D76" s="6" t="s">
        <v>432</v>
      </c>
      <c r="E76" s="6">
        <v>25411.0</v>
      </c>
      <c r="F76" s="6" t="s">
        <v>433</v>
      </c>
      <c r="G76" s="8"/>
      <c r="H76" s="8"/>
      <c r="I76" s="8"/>
      <c r="J76" s="6" t="s">
        <v>278</v>
      </c>
      <c r="K76" s="6" t="s">
        <v>32</v>
      </c>
    </row>
    <row r="77" ht="15.75" customHeight="1">
      <c r="A77" s="6" t="s">
        <v>435</v>
      </c>
      <c r="B77" s="6" t="s">
        <v>437</v>
      </c>
      <c r="C77" s="6" t="s">
        <v>438</v>
      </c>
      <c r="D77" s="6" t="s">
        <v>197</v>
      </c>
      <c r="E77" s="6">
        <v>26651.0</v>
      </c>
      <c r="F77" s="6" t="s">
        <v>198</v>
      </c>
      <c r="G77" s="8"/>
      <c r="H77" s="8"/>
      <c r="I77" s="8"/>
      <c r="J77" s="6" t="s">
        <v>278</v>
      </c>
      <c r="K77" s="6" t="s">
        <v>32</v>
      </c>
    </row>
    <row r="78" ht="15.75" customHeight="1">
      <c r="A78" s="6" t="s">
        <v>440</v>
      </c>
      <c r="B78" s="6" t="s">
        <v>442</v>
      </c>
      <c r="C78" s="6" t="s">
        <v>443</v>
      </c>
      <c r="D78" s="6" t="s">
        <v>444</v>
      </c>
      <c r="E78" s="6">
        <v>26003.0</v>
      </c>
      <c r="F78" s="6" t="s">
        <v>206</v>
      </c>
      <c r="G78" s="8"/>
      <c r="H78" s="8"/>
      <c r="I78" s="8"/>
      <c r="J78" s="6" t="s">
        <v>278</v>
      </c>
      <c r="K78" s="6" t="s">
        <v>32</v>
      </c>
    </row>
    <row r="79" ht="15.75" customHeight="1">
      <c r="A79" s="6" t="s">
        <v>446</v>
      </c>
      <c r="B79" s="6" t="s">
        <v>447</v>
      </c>
      <c r="C79" s="6" t="s">
        <v>448</v>
      </c>
      <c r="D79" s="6" t="s">
        <v>444</v>
      </c>
      <c r="E79" s="6">
        <v>26003.0</v>
      </c>
      <c r="F79" s="6" t="s">
        <v>206</v>
      </c>
      <c r="G79" s="8"/>
      <c r="H79" s="8"/>
      <c r="I79" s="8"/>
      <c r="J79" s="6" t="s">
        <v>278</v>
      </c>
      <c r="K79" s="6" t="s">
        <v>32</v>
      </c>
    </row>
    <row r="80" ht="15.75" customHeight="1">
      <c r="A80" s="6" t="s">
        <v>449</v>
      </c>
      <c r="B80" s="6" t="s">
        <v>450</v>
      </c>
      <c r="C80" s="6" t="s">
        <v>451</v>
      </c>
      <c r="D80" s="6" t="s">
        <v>452</v>
      </c>
      <c r="E80" s="6">
        <v>25560.0</v>
      </c>
      <c r="F80" s="6" t="s">
        <v>218</v>
      </c>
      <c r="G80" s="8"/>
      <c r="H80" s="8"/>
      <c r="I80" s="8"/>
      <c r="J80" s="6" t="s">
        <v>278</v>
      </c>
      <c r="K80" s="6" t="s">
        <v>32</v>
      </c>
    </row>
    <row r="81" ht="15.75" customHeight="1">
      <c r="A81" s="6" t="s">
        <v>453</v>
      </c>
      <c r="B81" s="6" t="s">
        <v>454</v>
      </c>
      <c r="C81" s="6" t="s">
        <v>455</v>
      </c>
      <c r="D81" s="6" t="s">
        <v>224</v>
      </c>
      <c r="E81" s="6">
        <v>25801.0</v>
      </c>
      <c r="F81" s="6" t="s">
        <v>225</v>
      </c>
      <c r="G81" s="8"/>
      <c r="H81" s="8"/>
      <c r="I81" s="8"/>
      <c r="J81" s="6" t="s">
        <v>278</v>
      </c>
      <c r="K81" s="6" t="s">
        <v>32</v>
      </c>
    </row>
    <row r="82" ht="15.75" customHeight="1">
      <c r="A82" s="6" t="s">
        <v>458</v>
      </c>
      <c r="B82" s="6" t="s">
        <v>459</v>
      </c>
      <c r="C82" s="6" t="s">
        <v>460</v>
      </c>
      <c r="D82" s="6" t="s">
        <v>461</v>
      </c>
      <c r="E82" s="6">
        <v>25813.0</v>
      </c>
      <c r="F82" s="6" t="s">
        <v>225</v>
      </c>
      <c r="G82" s="8"/>
      <c r="H82" s="8"/>
      <c r="I82" s="8"/>
      <c r="J82" s="6" t="s">
        <v>278</v>
      </c>
      <c r="K82" s="6" t="s">
        <v>32</v>
      </c>
    </row>
    <row r="83" ht="15.75" customHeight="1">
      <c r="A83" s="6" t="s">
        <v>462</v>
      </c>
      <c r="B83" s="6" t="s">
        <v>463</v>
      </c>
      <c r="C83" s="6" t="s">
        <v>464</v>
      </c>
      <c r="D83" s="6" t="s">
        <v>465</v>
      </c>
      <c r="E83" s="6">
        <v>25921.0</v>
      </c>
      <c r="F83" s="6" t="s">
        <v>225</v>
      </c>
      <c r="G83" s="8"/>
      <c r="H83" s="8"/>
      <c r="I83" s="8"/>
      <c r="J83" s="6" t="s">
        <v>278</v>
      </c>
      <c r="K83" s="6" t="s">
        <v>32</v>
      </c>
    </row>
    <row r="84" ht="15.75" customHeight="1">
      <c r="A84" s="6" t="s">
        <v>468</v>
      </c>
      <c r="B84" s="6" t="s">
        <v>469</v>
      </c>
      <c r="C84" s="6" t="s">
        <v>470</v>
      </c>
      <c r="D84" s="6" t="s">
        <v>224</v>
      </c>
      <c r="E84" s="6">
        <v>25801.0</v>
      </c>
      <c r="F84" s="6" t="s">
        <v>225</v>
      </c>
      <c r="G84" s="8"/>
      <c r="H84" s="8"/>
      <c r="I84" s="8"/>
      <c r="J84" s="6" t="s">
        <v>278</v>
      </c>
      <c r="K84" s="6" t="s">
        <v>32</v>
      </c>
    </row>
    <row r="85" ht="15.75" customHeight="1">
      <c r="A85" s="6" t="s">
        <v>472</v>
      </c>
      <c r="B85" s="6" t="s">
        <v>473</v>
      </c>
      <c r="C85" s="6" t="s">
        <v>474</v>
      </c>
      <c r="D85" s="6" t="s">
        <v>224</v>
      </c>
      <c r="E85" s="6">
        <v>25801.0</v>
      </c>
      <c r="F85" s="6" t="s">
        <v>225</v>
      </c>
      <c r="G85" s="8"/>
      <c r="H85" s="8"/>
      <c r="I85" s="8"/>
      <c r="J85" s="6" t="s">
        <v>278</v>
      </c>
      <c r="K85" s="6" t="s">
        <v>32</v>
      </c>
    </row>
    <row r="86" ht="15.75" customHeight="1">
      <c r="A86" s="6" t="s">
        <v>477</v>
      </c>
      <c r="B86" s="6" t="s">
        <v>478</v>
      </c>
      <c r="C86" s="6" t="s">
        <v>479</v>
      </c>
      <c r="D86" s="6" t="s">
        <v>235</v>
      </c>
      <c r="E86" s="6">
        <v>26241.0</v>
      </c>
      <c r="F86" s="6" t="s">
        <v>236</v>
      </c>
      <c r="G86" s="8"/>
      <c r="H86" s="8"/>
      <c r="I86" s="8"/>
      <c r="J86" s="6" t="s">
        <v>278</v>
      </c>
      <c r="K86" s="6" t="s">
        <v>32</v>
      </c>
    </row>
    <row r="87" ht="15.75" customHeight="1">
      <c r="A87" s="6" t="s">
        <v>482</v>
      </c>
      <c r="B87" s="6" t="s">
        <v>483</v>
      </c>
      <c r="C87" s="6" t="s">
        <v>484</v>
      </c>
      <c r="D87" s="6" t="s">
        <v>485</v>
      </c>
      <c r="E87" s="6">
        <v>25951.0</v>
      </c>
      <c r="F87" s="6" t="s">
        <v>486</v>
      </c>
      <c r="G87" s="8"/>
      <c r="H87" s="8"/>
      <c r="I87" s="8"/>
      <c r="J87" s="6" t="s">
        <v>278</v>
      </c>
      <c r="K87" s="6" t="s">
        <v>32</v>
      </c>
    </row>
    <row r="88" ht="15.75" customHeight="1">
      <c r="A88" s="6" t="s">
        <v>489</v>
      </c>
      <c r="B88" s="6" t="s">
        <v>490</v>
      </c>
      <c r="C88" s="6" t="s">
        <v>491</v>
      </c>
      <c r="D88" s="6" t="s">
        <v>251</v>
      </c>
      <c r="E88" s="6">
        <v>26201.0</v>
      </c>
      <c r="F88" s="6" t="s">
        <v>252</v>
      </c>
      <c r="G88" s="8"/>
      <c r="H88" s="8"/>
      <c r="I88" s="8"/>
      <c r="J88" s="6" t="s">
        <v>278</v>
      </c>
      <c r="K88" s="6" t="s">
        <v>32</v>
      </c>
    </row>
    <row r="89" ht="15.75" customHeight="1">
      <c r="A89" s="6" t="s">
        <v>492</v>
      </c>
      <c r="B89" s="6" t="s">
        <v>493</v>
      </c>
      <c r="C89" s="6" t="s">
        <v>494</v>
      </c>
      <c r="D89" s="6" t="s">
        <v>267</v>
      </c>
      <c r="E89" s="6">
        <v>26101.0</v>
      </c>
      <c r="F89" s="6" t="s">
        <v>268</v>
      </c>
      <c r="G89" s="8"/>
      <c r="H89" s="8"/>
      <c r="I89" s="8"/>
      <c r="J89" s="6" t="s">
        <v>278</v>
      </c>
      <c r="K89" s="6" t="s">
        <v>32</v>
      </c>
    </row>
    <row r="90" ht="15.75" customHeight="1">
      <c r="A90" s="6" t="s">
        <v>495</v>
      </c>
      <c r="B90" s="6" t="s">
        <v>496</v>
      </c>
      <c r="C90" s="6" t="s">
        <v>497</v>
      </c>
      <c r="D90" s="6" t="s">
        <v>267</v>
      </c>
      <c r="E90" s="6">
        <v>26101.0</v>
      </c>
      <c r="F90" s="6" t="s">
        <v>268</v>
      </c>
      <c r="G90" s="8"/>
      <c r="H90" s="8"/>
      <c r="I90" s="8"/>
      <c r="J90" s="6" t="s">
        <v>278</v>
      </c>
      <c r="K90" s="6" t="s">
        <v>32</v>
      </c>
    </row>
    <row r="91" ht="15.75" customHeight="1">
      <c r="A91" s="6" t="s">
        <v>500</v>
      </c>
      <c r="B91" s="6" t="s">
        <v>501</v>
      </c>
      <c r="C91" s="6" t="s">
        <v>502</v>
      </c>
      <c r="D91" s="6" t="s">
        <v>25</v>
      </c>
      <c r="E91" s="6">
        <v>25401.0</v>
      </c>
      <c r="F91" s="6" t="s">
        <v>28</v>
      </c>
      <c r="G91" s="8"/>
      <c r="H91" s="8"/>
      <c r="I91" s="8"/>
      <c r="J91" s="6" t="s">
        <v>504</v>
      </c>
      <c r="K91" s="6" t="s">
        <v>32</v>
      </c>
    </row>
    <row r="92" ht="15.75" customHeight="1">
      <c r="A92" s="6" t="s">
        <v>505</v>
      </c>
      <c r="B92" s="6" t="s">
        <v>506</v>
      </c>
      <c r="C92" s="6" t="s">
        <v>508</v>
      </c>
      <c r="D92" s="6" t="s">
        <v>25</v>
      </c>
      <c r="E92" s="6">
        <v>25401.0</v>
      </c>
      <c r="F92" s="6" t="s">
        <v>28</v>
      </c>
      <c r="G92" s="8"/>
      <c r="H92" s="8"/>
      <c r="I92" s="8"/>
      <c r="J92" s="6" t="s">
        <v>504</v>
      </c>
      <c r="K92" s="6" t="s">
        <v>32</v>
      </c>
    </row>
    <row r="93" ht="15.75" customHeight="1">
      <c r="A93" s="6" t="s">
        <v>509</v>
      </c>
      <c r="B93" s="6" t="s">
        <v>510</v>
      </c>
      <c r="C93" s="6" t="s">
        <v>511</v>
      </c>
      <c r="D93" s="6" t="s">
        <v>25</v>
      </c>
      <c r="E93" s="6">
        <v>25404.0</v>
      </c>
      <c r="F93" s="6" t="s">
        <v>28</v>
      </c>
      <c r="G93" s="8"/>
      <c r="H93" s="8"/>
      <c r="I93" s="8"/>
      <c r="J93" s="6" t="s">
        <v>504</v>
      </c>
      <c r="K93" s="6" t="s">
        <v>32</v>
      </c>
    </row>
    <row r="94" ht="15.75" customHeight="1">
      <c r="A94" s="6" t="s">
        <v>512</v>
      </c>
      <c r="B94" s="6" t="s">
        <v>513</v>
      </c>
      <c r="C94" s="6" t="s">
        <v>514</v>
      </c>
      <c r="D94" s="6" t="s">
        <v>515</v>
      </c>
      <c r="E94" s="6">
        <v>25427.0</v>
      </c>
      <c r="F94" s="6" t="s">
        <v>28</v>
      </c>
      <c r="G94" s="8"/>
      <c r="H94" s="8"/>
      <c r="I94" s="8"/>
      <c r="J94" s="6" t="s">
        <v>504</v>
      </c>
      <c r="K94" s="6" t="s">
        <v>32</v>
      </c>
    </row>
    <row r="95" ht="15.75" customHeight="1">
      <c r="A95" s="6" t="s">
        <v>517</v>
      </c>
      <c r="B95" s="6" t="s">
        <v>518</v>
      </c>
      <c r="C95" s="6" t="s">
        <v>519</v>
      </c>
      <c r="D95" s="6" t="s">
        <v>25</v>
      </c>
      <c r="E95" s="6">
        <v>25401.0</v>
      </c>
      <c r="F95" s="6" t="s">
        <v>28</v>
      </c>
      <c r="G95" s="8"/>
      <c r="H95" s="8"/>
      <c r="I95" s="8"/>
      <c r="J95" s="6" t="s">
        <v>504</v>
      </c>
      <c r="K95" s="6" t="s">
        <v>32</v>
      </c>
    </row>
    <row r="96" ht="15.75" customHeight="1">
      <c r="A96" s="6" t="s">
        <v>520</v>
      </c>
      <c r="B96" s="6" t="s">
        <v>521</v>
      </c>
      <c r="C96" s="6" t="s">
        <v>522</v>
      </c>
      <c r="D96" s="6" t="s">
        <v>25</v>
      </c>
      <c r="E96" s="6">
        <v>25405.0</v>
      </c>
      <c r="F96" s="6" t="s">
        <v>28</v>
      </c>
      <c r="G96" s="8"/>
      <c r="H96" s="8"/>
      <c r="I96" s="8"/>
      <c r="J96" s="6" t="s">
        <v>504</v>
      </c>
      <c r="K96" s="6" t="s">
        <v>32</v>
      </c>
    </row>
    <row r="97" ht="15.75" customHeight="1">
      <c r="A97" s="6" t="s">
        <v>525</v>
      </c>
      <c r="B97" s="6" t="s">
        <v>526</v>
      </c>
      <c r="C97" s="6" t="s">
        <v>527</v>
      </c>
      <c r="D97" s="6" t="s">
        <v>528</v>
      </c>
      <c r="E97" s="6">
        <v>26624.0</v>
      </c>
      <c r="F97" s="6" t="s">
        <v>48</v>
      </c>
      <c r="G97" s="8"/>
      <c r="H97" s="8"/>
      <c r="I97" s="8"/>
      <c r="J97" s="6" t="s">
        <v>504</v>
      </c>
      <c r="K97" s="6" t="s">
        <v>32</v>
      </c>
    </row>
    <row r="98" ht="15.75" customHeight="1">
      <c r="A98" s="6" t="s">
        <v>530</v>
      </c>
      <c r="B98" s="6" t="s">
        <v>531</v>
      </c>
      <c r="C98" s="6" t="s">
        <v>532</v>
      </c>
      <c r="D98" s="6" t="s">
        <v>377</v>
      </c>
      <c r="E98" s="6">
        <v>25304.0</v>
      </c>
      <c r="F98" s="6" t="s">
        <v>128</v>
      </c>
      <c r="G98" s="8"/>
      <c r="H98" s="8"/>
      <c r="I98" s="8"/>
      <c r="J98" s="6" t="s">
        <v>504</v>
      </c>
      <c r="K98" s="6" t="s">
        <v>32</v>
      </c>
    </row>
    <row r="99" ht="15.75" customHeight="1">
      <c r="A99" s="6" t="s">
        <v>534</v>
      </c>
      <c r="B99" s="6" t="s">
        <v>535</v>
      </c>
      <c r="C99" s="6" t="s">
        <v>536</v>
      </c>
      <c r="D99" s="6" t="s">
        <v>537</v>
      </c>
      <c r="E99" s="6">
        <v>25070.0</v>
      </c>
      <c r="F99" s="6" t="s">
        <v>218</v>
      </c>
      <c r="G99" s="8"/>
      <c r="H99" s="8"/>
      <c r="I99" s="8"/>
      <c r="J99" s="6" t="s">
        <v>504</v>
      </c>
      <c r="K99" s="6" t="s">
        <v>32</v>
      </c>
    </row>
    <row r="100" ht="15.75" customHeight="1">
      <c r="A100" s="6" t="s">
        <v>538</v>
      </c>
      <c r="B100" s="6" t="s">
        <v>539</v>
      </c>
      <c r="C100" s="6" t="s">
        <v>542</v>
      </c>
      <c r="D100" s="6" t="s">
        <v>310</v>
      </c>
      <c r="E100" s="6">
        <v>25901.0</v>
      </c>
      <c r="F100" s="6" t="s">
        <v>74</v>
      </c>
      <c r="G100" s="8"/>
      <c r="H100" s="8"/>
      <c r="I100" s="8"/>
      <c r="J100" s="6" t="s">
        <v>504</v>
      </c>
      <c r="K100" s="6" t="s">
        <v>32</v>
      </c>
    </row>
    <row r="101" ht="15.75" customHeight="1">
      <c r="A101" s="6" t="s">
        <v>544</v>
      </c>
      <c r="B101" s="6" t="s">
        <v>545</v>
      </c>
      <c r="C101" s="6" t="s">
        <v>546</v>
      </c>
      <c r="D101" s="6" t="s">
        <v>547</v>
      </c>
      <c r="E101" s="6">
        <v>25186.0</v>
      </c>
      <c r="F101" s="6" t="s">
        <v>74</v>
      </c>
      <c r="G101" s="8"/>
      <c r="H101" s="8"/>
      <c r="I101" s="8"/>
      <c r="J101" s="6" t="s">
        <v>504</v>
      </c>
      <c r="K101" s="6" t="s">
        <v>32</v>
      </c>
    </row>
    <row r="102" ht="15.75" customHeight="1">
      <c r="A102" s="6" t="s">
        <v>548</v>
      </c>
      <c r="B102" s="6" t="s">
        <v>549</v>
      </c>
      <c r="C102" s="6" t="s">
        <v>550</v>
      </c>
      <c r="D102" s="6" t="s">
        <v>53</v>
      </c>
      <c r="E102" s="6">
        <v>26062.0</v>
      </c>
      <c r="F102" s="6" t="s">
        <v>54</v>
      </c>
      <c r="G102" s="8"/>
      <c r="H102" s="8"/>
      <c r="I102" s="8"/>
      <c r="J102" s="6" t="s">
        <v>504</v>
      </c>
      <c r="K102" s="6" t="s">
        <v>32</v>
      </c>
    </row>
    <row r="103" ht="15.75" customHeight="1">
      <c r="A103" s="6" t="s">
        <v>552</v>
      </c>
      <c r="B103" s="6" t="s">
        <v>553</v>
      </c>
      <c r="C103" s="6" t="s">
        <v>554</v>
      </c>
      <c r="D103" s="6" t="s">
        <v>555</v>
      </c>
      <c r="E103" s="6">
        <v>26431.0</v>
      </c>
      <c r="F103" s="6" t="s">
        <v>101</v>
      </c>
      <c r="G103" s="8"/>
      <c r="H103" s="8"/>
      <c r="I103" s="8"/>
      <c r="J103" s="6" t="s">
        <v>504</v>
      </c>
      <c r="K103" s="6" t="s">
        <v>32</v>
      </c>
    </row>
    <row r="104" ht="15.75" customHeight="1">
      <c r="A104" s="6" t="s">
        <v>557</v>
      </c>
      <c r="B104" s="6" t="s">
        <v>558</v>
      </c>
      <c r="C104" s="6" t="s">
        <v>559</v>
      </c>
      <c r="D104" s="6" t="s">
        <v>99</v>
      </c>
      <c r="E104" s="6">
        <v>26301.0</v>
      </c>
      <c r="F104" s="6" t="s">
        <v>101</v>
      </c>
      <c r="G104" s="8"/>
      <c r="H104" s="8"/>
      <c r="I104" s="8"/>
      <c r="J104" s="6" t="s">
        <v>504</v>
      </c>
      <c r="K104" s="6" t="s">
        <v>32</v>
      </c>
    </row>
    <row r="105" ht="15.75" customHeight="1">
      <c r="A105" s="6" t="s">
        <v>561</v>
      </c>
      <c r="B105" s="6" t="s">
        <v>562</v>
      </c>
      <c r="C105" s="6" t="s">
        <v>564</v>
      </c>
      <c r="D105" s="6" t="s">
        <v>566</v>
      </c>
      <c r="E105" s="6">
        <v>26330.0</v>
      </c>
      <c r="F105" s="6" t="s">
        <v>101</v>
      </c>
      <c r="G105" s="8"/>
      <c r="H105" s="8"/>
      <c r="I105" s="8"/>
      <c r="J105" s="6" t="s">
        <v>504</v>
      </c>
      <c r="K105" s="6" t="s">
        <v>32</v>
      </c>
    </row>
    <row r="106" ht="15.75" customHeight="1">
      <c r="A106" s="6" t="s">
        <v>568</v>
      </c>
      <c r="B106" s="6" t="s">
        <v>569</v>
      </c>
      <c r="C106" s="6" t="s">
        <v>570</v>
      </c>
      <c r="D106" s="6" t="s">
        <v>122</v>
      </c>
      <c r="E106" s="6">
        <v>25414.0</v>
      </c>
      <c r="F106" s="6" t="s">
        <v>123</v>
      </c>
      <c r="G106" s="8"/>
      <c r="H106" s="8"/>
      <c r="I106" s="8"/>
      <c r="J106" s="6" t="s">
        <v>504</v>
      </c>
      <c r="K106" s="6" t="s">
        <v>32</v>
      </c>
    </row>
    <row r="107" ht="15.75" customHeight="1">
      <c r="A107" s="6" t="s">
        <v>572</v>
      </c>
      <c r="B107" s="6" t="s">
        <v>573</v>
      </c>
      <c r="C107" s="6" t="s">
        <v>574</v>
      </c>
      <c r="D107" s="6" t="s">
        <v>122</v>
      </c>
      <c r="E107" s="6">
        <v>25414.0</v>
      </c>
      <c r="F107" s="6" t="s">
        <v>123</v>
      </c>
      <c r="G107" s="8"/>
      <c r="H107" s="8"/>
      <c r="I107" s="8"/>
      <c r="J107" s="6" t="s">
        <v>504</v>
      </c>
      <c r="K107" s="6" t="s">
        <v>32</v>
      </c>
    </row>
    <row r="108" ht="15.75" customHeight="1">
      <c r="A108" s="6" t="s">
        <v>575</v>
      </c>
      <c r="B108" s="6" t="s">
        <v>577</v>
      </c>
      <c r="C108" s="6" t="s">
        <v>578</v>
      </c>
      <c r="D108" s="6" t="s">
        <v>579</v>
      </c>
      <c r="E108" s="6">
        <v>25438.0</v>
      </c>
      <c r="F108" s="6" t="s">
        <v>123</v>
      </c>
      <c r="G108" s="8"/>
      <c r="H108" s="8"/>
      <c r="I108" s="8"/>
      <c r="J108" s="6" t="s">
        <v>504</v>
      </c>
      <c r="K108" s="6" t="s">
        <v>32</v>
      </c>
    </row>
    <row r="109" ht="15.75" customHeight="1">
      <c r="A109" s="6" t="s">
        <v>580</v>
      </c>
      <c r="B109" s="6" t="s">
        <v>581</v>
      </c>
      <c r="C109" s="6" t="s">
        <v>583</v>
      </c>
      <c r="D109" s="6" t="s">
        <v>584</v>
      </c>
      <c r="E109" s="6">
        <v>25523.0</v>
      </c>
      <c r="F109" s="6" t="s">
        <v>585</v>
      </c>
      <c r="G109" s="8"/>
      <c r="H109" s="8"/>
      <c r="I109" s="8"/>
      <c r="J109" s="6" t="s">
        <v>504</v>
      </c>
      <c r="K109" s="6" t="s">
        <v>32</v>
      </c>
    </row>
    <row r="110" ht="15.75" customHeight="1">
      <c r="A110" s="6" t="s">
        <v>587</v>
      </c>
      <c r="B110" s="6" t="s">
        <v>588</v>
      </c>
      <c r="C110" s="6" t="s">
        <v>590</v>
      </c>
      <c r="D110" s="6" t="s">
        <v>591</v>
      </c>
      <c r="E110" s="6">
        <v>25541.0</v>
      </c>
      <c r="F110" s="6" t="s">
        <v>59</v>
      </c>
      <c r="G110" s="8"/>
      <c r="H110" s="8"/>
      <c r="I110" s="8"/>
      <c r="J110" s="6" t="s">
        <v>504</v>
      </c>
      <c r="K110" s="6" t="s">
        <v>32</v>
      </c>
    </row>
    <row r="111" ht="15.75" customHeight="1">
      <c r="A111" s="6" t="s">
        <v>592</v>
      </c>
      <c r="B111" s="6" t="s">
        <v>593</v>
      </c>
      <c r="C111" s="6" t="s">
        <v>594</v>
      </c>
      <c r="D111" s="6" t="s">
        <v>397</v>
      </c>
      <c r="E111" s="6">
        <v>24892.0</v>
      </c>
      <c r="F111" s="6" t="s">
        <v>596</v>
      </c>
      <c r="G111" s="8"/>
      <c r="H111" s="8"/>
      <c r="I111" s="8"/>
      <c r="J111" s="6" t="s">
        <v>504</v>
      </c>
      <c r="K111" s="6" t="s">
        <v>32</v>
      </c>
    </row>
    <row r="112" ht="15.75" customHeight="1">
      <c r="A112" s="6" t="s">
        <v>597</v>
      </c>
      <c r="B112" s="6" t="s">
        <v>598</v>
      </c>
      <c r="C112" s="6" t="s">
        <v>599</v>
      </c>
      <c r="D112" s="6" t="s">
        <v>600</v>
      </c>
      <c r="E112" s="6">
        <v>26582.0</v>
      </c>
      <c r="F112" s="6" t="s">
        <v>159</v>
      </c>
      <c r="G112" s="8"/>
      <c r="H112" s="8"/>
      <c r="I112" s="8"/>
      <c r="J112" s="6" t="s">
        <v>504</v>
      </c>
      <c r="K112" s="6" t="s">
        <v>32</v>
      </c>
    </row>
    <row r="113" ht="15.75" customHeight="1">
      <c r="A113" s="6" t="s">
        <v>602</v>
      </c>
      <c r="B113" s="6" t="s">
        <v>603</v>
      </c>
      <c r="C113" s="6" t="s">
        <v>604</v>
      </c>
      <c r="D113" s="6" t="s">
        <v>158</v>
      </c>
      <c r="E113" s="6">
        <v>26554.0</v>
      </c>
      <c r="F113" s="6" t="s">
        <v>159</v>
      </c>
      <c r="G113" s="8"/>
      <c r="H113" s="8"/>
      <c r="I113" s="8"/>
      <c r="J113" s="6" t="s">
        <v>504</v>
      </c>
      <c r="K113" s="6" t="s">
        <v>32</v>
      </c>
    </row>
    <row r="114" ht="15.75" customHeight="1">
      <c r="A114" s="6" t="s">
        <v>606</v>
      </c>
      <c r="B114" s="6" t="s">
        <v>607</v>
      </c>
      <c r="C114" s="6" t="s">
        <v>608</v>
      </c>
      <c r="D114" s="6" t="s">
        <v>158</v>
      </c>
      <c r="E114" s="6">
        <v>26554.0</v>
      </c>
      <c r="F114" s="6" t="s">
        <v>159</v>
      </c>
      <c r="G114" s="8"/>
      <c r="H114" s="8"/>
      <c r="I114" s="8"/>
      <c r="J114" s="6" t="s">
        <v>504</v>
      </c>
      <c r="K114" s="6" t="s">
        <v>32</v>
      </c>
    </row>
    <row r="115" ht="15.75" customHeight="1">
      <c r="A115" s="6" t="s">
        <v>609</v>
      </c>
      <c r="B115" s="6" t="s">
        <v>610</v>
      </c>
      <c r="C115" s="6" t="s">
        <v>611</v>
      </c>
      <c r="D115" s="6" t="s">
        <v>158</v>
      </c>
      <c r="E115" s="6">
        <v>26554.0</v>
      </c>
      <c r="F115" s="6" t="s">
        <v>159</v>
      </c>
      <c r="G115" s="8"/>
      <c r="H115" s="8"/>
      <c r="I115" s="8"/>
      <c r="J115" s="6" t="s">
        <v>504</v>
      </c>
      <c r="K115" s="6" t="s">
        <v>32</v>
      </c>
    </row>
    <row r="116" ht="15.75" customHeight="1">
      <c r="A116" s="6" t="s">
        <v>615</v>
      </c>
      <c r="B116" s="6" t="s">
        <v>617</v>
      </c>
      <c r="C116" s="6" t="s">
        <v>618</v>
      </c>
      <c r="D116" s="6" t="s">
        <v>262</v>
      </c>
      <c r="E116" s="6">
        <v>24701.0</v>
      </c>
      <c r="F116" s="6" t="s">
        <v>175</v>
      </c>
      <c r="G116" s="8"/>
      <c r="H116" s="8"/>
      <c r="I116" s="8"/>
      <c r="J116" s="6" t="s">
        <v>504</v>
      </c>
      <c r="K116" s="6" t="s">
        <v>32</v>
      </c>
    </row>
    <row r="117" ht="15.75" customHeight="1">
      <c r="A117" s="6" t="s">
        <v>620</v>
      </c>
      <c r="B117" s="6" t="s">
        <v>621</v>
      </c>
      <c r="C117" s="6" t="s">
        <v>622</v>
      </c>
      <c r="D117" s="6" t="s">
        <v>174</v>
      </c>
      <c r="E117" s="6">
        <v>24740.0</v>
      </c>
      <c r="F117" s="6" t="s">
        <v>175</v>
      </c>
      <c r="G117" s="8"/>
      <c r="H117" s="8"/>
      <c r="I117" s="8"/>
      <c r="J117" s="6" t="s">
        <v>504</v>
      </c>
      <c r="K117" s="6" t="s">
        <v>32</v>
      </c>
    </row>
    <row r="118" ht="15.75" customHeight="1">
      <c r="A118" s="6" t="s">
        <v>624</v>
      </c>
      <c r="B118" s="6" t="s">
        <v>625</v>
      </c>
      <c r="C118" s="6" t="s">
        <v>626</v>
      </c>
      <c r="D118" s="6" t="s">
        <v>262</v>
      </c>
      <c r="E118" s="6">
        <v>24740.0</v>
      </c>
      <c r="F118" s="6" t="s">
        <v>175</v>
      </c>
      <c r="G118" s="8"/>
      <c r="H118" s="8"/>
      <c r="I118" s="8"/>
      <c r="J118" s="6" t="s">
        <v>504</v>
      </c>
      <c r="K118" s="6" t="s">
        <v>32</v>
      </c>
    </row>
    <row r="119" ht="15.75" customHeight="1">
      <c r="A119" s="6" t="s">
        <v>628</v>
      </c>
      <c r="B119" s="6" t="s">
        <v>629</v>
      </c>
      <c r="C119" s="6" t="s">
        <v>630</v>
      </c>
      <c r="D119" s="6" t="s">
        <v>174</v>
      </c>
      <c r="E119" s="6">
        <v>24740.0</v>
      </c>
      <c r="F119" s="6" t="s">
        <v>175</v>
      </c>
      <c r="G119" s="8"/>
      <c r="H119" s="8"/>
      <c r="I119" s="8"/>
      <c r="J119" s="6" t="s">
        <v>504</v>
      </c>
      <c r="K119" s="6" t="s">
        <v>32</v>
      </c>
    </row>
    <row r="120" ht="15.75" customHeight="1">
      <c r="A120" s="6" t="s">
        <v>631</v>
      </c>
      <c r="B120" s="6" t="s">
        <v>632</v>
      </c>
      <c r="C120" s="6" t="s">
        <v>633</v>
      </c>
      <c r="D120" s="6" t="s">
        <v>174</v>
      </c>
      <c r="E120" s="6">
        <v>24740.0</v>
      </c>
      <c r="F120" s="6" t="s">
        <v>175</v>
      </c>
      <c r="G120" s="8"/>
      <c r="H120" s="8"/>
      <c r="I120" s="8"/>
      <c r="J120" s="6" t="s">
        <v>504</v>
      </c>
      <c r="K120" s="6" t="s">
        <v>32</v>
      </c>
    </row>
    <row r="121" ht="15.75" customHeight="1">
      <c r="A121" s="6" t="s">
        <v>634</v>
      </c>
      <c r="B121" s="6" t="s">
        <v>635</v>
      </c>
      <c r="C121" s="6" t="s">
        <v>636</v>
      </c>
      <c r="D121" s="6" t="s">
        <v>262</v>
      </c>
      <c r="E121" s="6">
        <v>24701.0</v>
      </c>
      <c r="F121" s="6" t="s">
        <v>175</v>
      </c>
      <c r="G121" s="8"/>
      <c r="H121" s="8"/>
      <c r="I121" s="8"/>
      <c r="J121" s="6" t="s">
        <v>504</v>
      </c>
      <c r="K121" s="6" t="s">
        <v>32</v>
      </c>
    </row>
    <row r="122" ht="15.75" customHeight="1">
      <c r="A122" s="6" t="s">
        <v>638</v>
      </c>
      <c r="B122" s="6" t="s">
        <v>639</v>
      </c>
      <c r="C122" s="6" t="s">
        <v>640</v>
      </c>
      <c r="D122" s="6" t="s">
        <v>179</v>
      </c>
      <c r="E122" s="6">
        <v>26726.0</v>
      </c>
      <c r="F122" s="6" t="s">
        <v>181</v>
      </c>
      <c r="G122" s="8"/>
      <c r="H122" s="8"/>
      <c r="I122" s="8"/>
      <c r="J122" s="6" t="s">
        <v>504</v>
      </c>
      <c r="K122" s="6" t="s">
        <v>32</v>
      </c>
    </row>
    <row r="123" ht="15.75" customHeight="1">
      <c r="A123" s="6" t="s">
        <v>641</v>
      </c>
      <c r="B123" s="6" t="s">
        <v>642</v>
      </c>
      <c r="C123" s="6" t="s">
        <v>643</v>
      </c>
      <c r="D123" s="6" t="s">
        <v>185</v>
      </c>
      <c r="E123" s="6">
        <v>26505.0</v>
      </c>
      <c r="F123" s="6" t="s">
        <v>169</v>
      </c>
      <c r="G123" s="8"/>
      <c r="H123" s="8"/>
      <c r="I123" s="8"/>
      <c r="J123" s="6" t="s">
        <v>504</v>
      </c>
      <c r="K123" s="6" t="s">
        <v>32</v>
      </c>
    </row>
    <row r="124" ht="15.75" customHeight="1">
      <c r="A124" s="6" t="s">
        <v>645</v>
      </c>
      <c r="B124" s="6" t="s">
        <v>646</v>
      </c>
      <c r="C124" s="6" t="s">
        <v>647</v>
      </c>
      <c r="D124" s="6" t="s">
        <v>185</v>
      </c>
      <c r="E124" s="6">
        <v>26508.0</v>
      </c>
      <c r="F124" s="6" t="s">
        <v>169</v>
      </c>
      <c r="G124" s="8"/>
      <c r="H124" s="8"/>
      <c r="I124" s="8"/>
      <c r="J124" s="6" t="s">
        <v>504</v>
      </c>
      <c r="K124" s="6" t="s">
        <v>32</v>
      </c>
    </row>
    <row r="125" ht="15.75" customHeight="1">
      <c r="A125" s="6" t="s">
        <v>648</v>
      </c>
      <c r="B125" s="6" t="s">
        <v>649</v>
      </c>
      <c r="C125" s="6" t="s">
        <v>650</v>
      </c>
      <c r="D125" s="6" t="s">
        <v>185</v>
      </c>
      <c r="E125" s="6">
        <v>26501.0</v>
      </c>
      <c r="F125" s="6" t="s">
        <v>169</v>
      </c>
      <c r="G125" s="8"/>
      <c r="H125" s="8"/>
      <c r="I125" s="8"/>
      <c r="J125" s="6" t="s">
        <v>504</v>
      </c>
      <c r="K125" s="6" t="s">
        <v>32</v>
      </c>
    </row>
    <row r="126" ht="15.75" customHeight="1">
      <c r="A126" s="6" t="s">
        <v>653</v>
      </c>
      <c r="B126" s="6" t="s">
        <v>654</v>
      </c>
      <c r="C126" s="6" t="s">
        <v>655</v>
      </c>
      <c r="D126" s="6" t="s">
        <v>179</v>
      </c>
      <c r="E126" s="6">
        <v>26726.0</v>
      </c>
      <c r="F126" s="6" t="s">
        <v>181</v>
      </c>
      <c r="G126" s="8"/>
      <c r="H126" s="8"/>
      <c r="I126" s="8"/>
      <c r="J126" s="6" t="s">
        <v>504</v>
      </c>
      <c r="K126" s="6" t="s">
        <v>32</v>
      </c>
    </row>
    <row r="127" ht="15.75" customHeight="1">
      <c r="A127" s="6" t="s">
        <v>656</v>
      </c>
      <c r="B127" s="6" t="s">
        <v>657</v>
      </c>
      <c r="C127" s="6" t="s">
        <v>658</v>
      </c>
      <c r="D127" s="6" t="s">
        <v>212</v>
      </c>
      <c r="E127" s="6">
        <v>26537.0</v>
      </c>
      <c r="F127" s="6" t="s">
        <v>105</v>
      </c>
      <c r="G127" s="8"/>
      <c r="H127" s="8"/>
      <c r="I127" s="8"/>
      <c r="J127" s="6" t="s">
        <v>504</v>
      </c>
      <c r="K127" s="6" t="s">
        <v>32</v>
      </c>
    </row>
    <row r="128" ht="15.75" customHeight="1">
      <c r="A128" s="6" t="s">
        <v>660</v>
      </c>
      <c r="B128" s="6" t="s">
        <v>661</v>
      </c>
      <c r="C128" s="6" t="s">
        <v>662</v>
      </c>
      <c r="D128" s="6" t="s">
        <v>261</v>
      </c>
      <c r="E128" s="6">
        <v>26155.0</v>
      </c>
      <c r="F128" s="6" t="s">
        <v>263</v>
      </c>
      <c r="G128" s="8"/>
      <c r="H128" s="8"/>
      <c r="I128" s="8"/>
      <c r="J128" s="6" t="s">
        <v>504</v>
      </c>
      <c r="K128" s="6" t="s">
        <v>32</v>
      </c>
    </row>
    <row r="129" ht="15.75" customHeight="1">
      <c r="A129" s="6" t="s">
        <v>664</v>
      </c>
      <c r="B129" s="6" t="s">
        <v>665</v>
      </c>
      <c r="C129" s="6" t="s">
        <v>666</v>
      </c>
      <c r="D129" s="6" t="s">
        <v>667</v>
      </c>
      <c r="E129" s="6">
        <v>26250.0</v>
      </c>
      <c r="F129" s="6" t="s">
        <v>467</v>
      </c>
      <c r="G129" s="8"/>
      <c r="H129" s="8"/>
      <c r="I129" s="8"/>
      <c r="J129" s="6" t="s">
        <v>668</v>
      </c>
      <c r="K129" s="6" t="s">
        <v>32</v>
      </c>
    </row>
    <row r="130" ht="15.75" customHeight="1">
      <c r="A130" s="6" t="s">
        <v>669</v>
      </c>
      <c r="B130" s="6" t="s">
        <v>670</v>
      </c>
      <c r="C130" s="6" t="s">
        <v>671</v>
      </c>
      <c r="D130" s="6" t="s">
        <v>672</v>
      </c>
      <c r="E130" s="6">
        <v>26416.0</v>
      </c>
      <c r="F130" s="6" t="s">
        <v>467</v>
      </c>
      <c r="G130" s="8"/>
      <c r="H130" s="8"/>
      <c r="I130" s="8"/>
      <c r="J130" s="6" t="s">
        <v>668</v>
      </c>
      <c r="K130" s="6" t="s">
        <v>32</v>
      </c>
    </row>
    <row r="131" ht="15.75" customHeight="1">
      <c r="A131" s="6" t="s">
        <v>675</v>
      </c>
      <c r="B131" s="6" t="s">
        <v>676</v>
      </c>
      <c r="C131" s="6" t="s">
        <v>677</v>
      </c>
      <c r="D131" s="6" t="s">
        <v>627</v>
      </c>
      <c r="E131" s="6">
        <v>25053.0</v>
      </c>
      <c r="F131" s="6" t="s">
        <v>288</v>
      </c>
      <c r="G131" s="8"/>
      <c r="H131" s="8"/>
      <c r="I131" s="8"/>
      <c r="J131" s="6" t="s">
        <v>668</v>
      </c>
      <c r="K131" s="6" t="s">
        <v>32</v>
      </c>
    </row>
    <row r="132" ht="15.75" customHeight="1">
      <c r="A132" s="6" t="s">
        <v>678</v>
      </c>
      <c r="B132" s="6" t="s">
        <v>679</v>
      </c>
      <c r="C132" s="6" t="s">
        <v>680</v>
      </c>
      <c r="D132" s="6" t="s">
        <v>681</v>
      </c>
      <c r="E132" s="6">
        <v>26037.0</v>
      </c>
      <c r="F132" s="6" t="s">
        <v>293</v>
      </c>
      <c r="G132" s="8"/>
      <c r="H132" s="8"/>
      <c r="I132" s="8"/>
      <c r="J132" s="6" t="s">
        <v>668</v>
      </c>
      <c r="K132" s="6" t="s">
        <v>32</v>
      </c>
    </row>
    <row r="133" ht="15.75" customHeight="1">
      <c r="A133" s="6" t="s">
        <v>684</v>
      </c>
      <c r="B133" s="6" t="s">
        <v>685</v>
      </c>
      <c r="C133" s="6" t="s">
        <v>687</v>
      </c>
      <c r="D133" s="6" t="s">
        <v>64</v>
      </c>
      <c r="E133" s="6">
        <v>25504.0</v>
      </c>
      <c r="F133" s="6" t="s">
        <v>59</v>
      </c>
      <c r="G133" s="8"/>
      <c r="H133" s="8"/>
      <c r="I133" s="8"/>
      <c r="J133" s="6" t="s">
        <v>668</v>
      </c>
      <c r="K133" s="6" t="s">
        <v>32</v>
      </c>
    </row>
    <row r="134" ht="15.75" customHeight="1">
      <c r="A134" s="6" t="s">
        <v>688</v>
      </c>
      <c r="B134" s="6" t="s">
        <v>690</v>
      </c>
      <c r="C134" s="6" t="s">
        <v>691</v>
      </c>
      <c r="D134" s="6" t="s">
        <v>692</v>
      </c>
      <c r="E134" s="6">
        <v>25159.0</v>
      </c>
      <c r="F134" s="6" t="s">
        <v>218</v>
      </c>
      <c r="G134" s="8"/>
      <c r="H134" s="8"/>
      <c r="I134" s="8"/>
      <c r="J134" s="6" t="s">
        <v>668</v>
      </c>
      <c r="K134" s="6" t="s">
        <v>32</v>
      </c>
    </row>
    <row r="135" ht="15.75" customHeight="1">
      <c r="A135" s="6" t="s">
        <v>693</v>
      </c>
      <c r="B135" s="6" t="s">
        <v>694</v>
      </c>
      <c r="C135" s="6" t="s">
        <v>695</v>
      </c>
      <c r="D135" s="6" t="s">
        <v>696</v>
      </c>
      <c r="E135" s="6">
        <v>26147.0</v>
      </c>
      <c r="F135" s="6" t="s">
        <v>189</v>
      </c>
      <c r="G135" s="8"/>
      <c r="H135" s="8"/>
      <c r="I135" s="8"/>
      <c r="J135" s="6" t="s">
        <v>668</v>
      </c>
      <c r="K135" s="6" t="s">
        <v>32</v>
      </c>
    </row>
    <row r="136" ht="15.75" customHeight="1">
      <c r="A136" s="6" t="s">
        <v>701</v>
      </c>
      <c r="B136" s="6" t="s">
        <v>702</v>
      </c>
      <c r="C136" s="6" t="s">
        <v>703</v>
      </c>
      <c r="D136" s="6" t="s">
        <v>704</v>
      </c>
      <c r="E136" s="6">
        <v>26456.0</v>
      </c>
      <c r="F136" s="6" t="s">
        <v>705</v>
      </c>
      <c r="G136" s="8"/>
      <c r="H136" s="8"/>
      <c r="I136" s="8"/>
      <c r="J136" s="6" t="s">
        <v>668</v>
      </c>
      <c r="K136" s="6" t="s">
        <v>32</v>
      </c>
    </row>
    <row r="137" ht="15.75" customHeight="1">
      <c r="A137" s="6" t="s">
        <v>706</v>
      </c>
      <c r="B137" s="6" t="s">
        <v>707</v>
      </c>
      <c r="C137" s="6" t="s">
        <v>708</v>
      </c>
      <c r="D137" s="6" t="s">
        <v>709</v>
      </c>
      <c r="E137" s="6">
        <v>26351.0</v>
      </c>
      <c r="F137" s="6" t="s">
        <v>710</v>
      </c>
      <c r="G137" s="8"/>
      <c r="H137" s="8"/>
      <c r="I137" s="8"/>
      <c r="J137" s="6" t="s">
        <v>668</v>
      </c>
      <c r="K137" s="6" t="s">
        <v>32</v>
      </c>
    </row>
    <row r="138" ht="15.75" customHeight="1">
      <c r="A138" s="6" t="s">
        <v>712</v>
      </c>
      <c r="B138" s="6" t="s">
        <v>713</v>
      </c>
      <c r="C138" s="6" t="s">
        <v>714</v>
      </c>
      <c r="D138" s="6" t="s">
        <v>716</v>
      </c>
      <c r="E138" s="6">
        <v>26847.0</v>
      </c>
      <c r="F138" s="6" t="s">
        <v>717</v>
      </c>
      <c r="G138" s="8"/>
      <c r="H138" s="8"/>
      <c r="I138" s="8"/>
      <c r="J138" s="6" t="s">
        <v>668</v>
      </c>
      <c r="K138" s="6" t="s">
        <v>32</v>
      </c>
    </row>
    <row r="139" ht="15.75" customHeight="1">
      <c r="A139" s="6" t="s">
        <v>718</v>
      </c>
      <c r="B139" s="6" t="s">
        <v>719</v>
      </c>
      <c r="C139" s="6" t="s">
        <v>721</v>
      </c>
      <c r="D139" s="6" t="s">
        <v>80</v>
      </c>
      <c r="E139" s="6">
        <v>24901.0</v>
      </c>
      <c r="F139" s="6" t="s">
        <v>82</v>
      </c>
      <c r="G139" s="8"/>
      <c r="H139" s="8"/>
      <c r="I139" s="8"/>
      <c r="J139" s="6" t="s">
        <v>668</v>
      </c>
      <c r="K139" s="6" t="s">
        <v>32</v>
      </c>
    </row>
    <row r="140" ht="15.75" customHeight="1">
      <c r="A140" s="6" t="s">
        <v>722</v>
      </c>
      <c r="B140" s="6" t="s">
        <v>723</v>
      </c>
      <c r="C140" s="6" t="s">
        <v>724</v>
      </c>
      <c r="D140" s="6" t="s">
        <v>725</v>
      </c>
      <c r="E140" s="6">
        <v>26426.0</v>
      </c>
      <c r="F140" s="6" t="s">
        <v>101</v>
      </c>
      <c r="G140" s="8"/>
      <c r="H140" s="8"/>
      <c r="I140" s="8"/>
      <c r="J140" s="6" t="s">
        <v>668</v>
      </c>
      <c r="K140" s="6" t="s">
        <v>32</v>
      </c>
    </row>
    <row r="141" ht="15.75" customHeight="1">
      <c r="A141" s="6" t="s">
        <v>728</v>
      </c>
      <c r="B141" s="6" t="s">
        <v>729</v>
      </c>
      <c r="C141" s="6" t="s">
        <v>730</v>
      </c>
      <c r="D141" s="6" t="s">
        <v>731</v>
      </c>
      <c r="E141" s="6">
        <v>26164.0</v>
      </c>
      <c r="F141" s="6" t="s">
        <v>111</v>
      </c>
      <c r="G141" s="8"/>
      <c r="H141" s="8"/>
      <c r="I141" s="8"/>
      <c r="J141" s="6" t="s">
        <v>668</v>
      </c>
      <c r="K141" s="6" t="s">
        <v>32</v>
      </c>
    </row>
    <row r="142" ht="15.75" customHeight="1">
      <c r="A142" s="6" t="s">
        <v>734</v>
      </c>
      <c r="B142" s="6" t="s">
        <v>735</v>
      </c>
      <c r="C142" s="6" t="s">
        <v>736</v>
      </c>
      <c r="D142" s="6" t="s">
        <v>377</v>
      </c>
      <c r="E142" s="6">
        <v>25312.0</v>
      </c>
      <c r="F142" s="6" t="s">
        <v>128</v>
      </c>
      <c r="G142" s="8"/>
      <c r="H142" s="8"/>
      <c r="I142" s="8"/>
      <c r="J142" s="6" t="s">
        <v>668</v>
      </c>
      <c r="K142" s="6" t="s">
        <v>32</v>
      </c>
    </row>
    <row r="143" ht="15.75" customHeight="1">
      <c r="A143" s="6" t="s">
        <v>739</v>
      </c>
      <c r="B143" s="6" t="s">
        <v>740</v>
      </c>
      <c r="C143" s="6" t="s">
        <v>741</v>
      </c>
      <c r="D143" s="6" t="s">
        <v>601</v>
      </c>
      <c r="E143" s="6">
        <v>25045.0</v>
      </c>
      <c r="F143" s="6" t="s">
        <v>128</v>
      </c>
      <c r="G143" s="8"/>
      <c r="H143" s="8"/>
      <c r="I143" s="8"/>
      <c r="J143" s="6" t="s">
        <v>668</v>
      </c>
      <c r="K143" s="6" t="s">
        <v>32</v>
      </c>
    </row>
    <row r="144" ht="15.75" customHeight="1">
      <c r="A144" s="6" t="s">
        <v>742</v>
      </c>
      <c r="B144" s="6" t="s">
        <v>743</v>
      </c>
      <c r="C144" s="6" t="s">
        <v>744</v>
      </c>
      <c r="D144" s="6" t="s">
        <v>396</v>
      </c>
      <c r="E144" s="6">
        <v>25071.0</v>
      </c>
      <c r="F144" s="6" t="s">
        <v>128</v>
      </c>
      <c r="G144" s="8"/>
      <c r="H144" s="8"/>
      <c r="I144" s="8"/>
      <c r="J144" s="6" t="s">
        <v>668</v>
      </c>
      <c r="K144" s="6" t="s">
        <v>32</v>
      </c>
    </row>
    <row r="145" ht="15.75" customHeight="1">
      <c r="A145" s="6" t="s">
        <v>745</v>
      </c>
      <c r="B145" s="6" t="s">
        <v>746</v>
      </c>
      <c r="C145" s="6" t="s">
        <v>747</v>
      </c>
      <c r="D145" s="6" t="s">
        <v>377</v>
      </c>
      <c r="E145" s="6">
        <v>25302.0</v>
      </c>
      <c r="F145" s="6" t="s">
        <v>128</v>
      </c>
      <c r="G145" s="8"/>
      <c r="H145" s="8"/>
      <c r="I145" s="8"/>
      <c r="J145" s="6" t="s">
        <v>668</v>
      </c>
      <c r="K145" s="6" t="s">
        <v>32</v>
      </c>
    </row>
    <row r="146" ht="15.75" customHeight="1">
      <c r="A146" s="6" t="s">
        <v>749</v>
      </c>
      <c r="B146" s="6" t="s">
        <v>750</v>
      </c>
      <c r="C146" s="6" t="s">
        <v>751</v>
      </c>
      <c r="D146" s="6" t="s">
        <v>377</v>
      </c>
      <c r="E146" s="6">
        <v>25313.0</v>
      </c>
      <c r="F146" s="6" t="s">
        <v>128</v>
      </c>
      <c r="G146" s="8"/>
      <c r="H146" s="8"/>
      <c r="I146" s="8"/>
      <c r="J146" s="6" t="s">
        <v>668</v>
      </c>
      <c r="K146" s="6" t="s">
        <v>32</v>
      </c>
    </row>
    <row r="147" ht="15.75" customHeight="1">
      <c r="A147" s="6" t="s">
        <v>752</v>
      </c>
      <c r="B147" s="6" t="s">
        <v>753</v>
      </c>
      <c r="C147" s="6" t="s">
        <v>754</v>
      </c>
      <c r="D147" s="6" t="s">
        <v>145</v>
      </c>
      <c r="E147" s="6">
        <v>26452.0</v>
      </c>
      <c r="F147" s="6" t="s">
        <v>147</v>
      </c>
      <c r="G147" s="8"/>
      <c r="H147" s="8"/>
      <c r="I147" s="8"/>
      <c r="J147" s="6" t="s">
        <v>668</v>
      </c>
      <c r="K147" s="6" t="s">
        <v>32</v>
      </c>
    </row>
    <row r="148" ht="15.75" customHeight="1">
      <c r="A148" s="6" t="s">
        <v>757</v>
      </c>
      <c r="B148" s="6" t="s">
        <v>758</v>
      </c>
      <c r="C148" s="6" t="s">
        <v>759</v>
      </c>
      <c r="D148" s="6" t="s">
        <v>760</v>
      </c>
      <c r="E148" s="6">
        <v>25506.0</v>
      </c>
      <c r="F148" s="6" t="s">
        <v>585</v>
      </c>
      <c r="G148" s="8"/>
      <c r="H148" s="8"/>
      <c r="I148" s="8"/>
      <c r="J148" s="6" t="s">
        <v>668</v>
      </c>
      <c r="K148" s="6" t="s">
        <v>32</v>
      </c>
    </row>
    <row r="149" ht="15.75" customHeight="1">
      <c r="A149" s="6" t="s">
        <v>762</v>
      </c>
      <c r="B149" s="6" t="s">
        <v>763</v>
      </c>
      <c r="C149" s="6" t="s">
        <v>764</v>
      </c>
      <c r="D149" s="6" t="s">
        <v>584</v>
      </c>
      <c r="E149" s="6">
        <v>25523.0</v>
      </c>
      <c r="F149" s="6" t="s">
        <v>585</v>
      </c>
      <c r="G149" s="8"/>
      <c r="H149" s="8"/>
      <c r="I149" s="8"/>
      <c r="J149" s="6" t="s">
        <v>668</v>
      </c>
      <c r="K149" s="6" t="s">
        <v>32</v>
      </c>
    </row>
    <row r="150" ht="15.75" customHeight="1">
      <c r="A150" s="6" t="s">
        <v>765</v>
      </c>
      <c r="B150" s="6" t="s">
        <v>766</v>
      </c>
      <c r="C150" s="6" t="s">
        <v>767</v>
      </c>
      <c r="D150" s="6" t="s">
        <v>306</v>
      </c>
      <c r="E150" s="6">
        <v>24801.0</v>
      </c>
      <c r="F150" s="6" t="s">
        <v>596</v>
      </c>
      <c r="G150" s="8"/>
      <c r="H150" s="8"/>
      <c r="I150" s="8"/>
      <c r="J150" s="6" t="s">
        <v>668</v>
      </c>
      <c r="K150" s="6" t="s">
        <v>32</v>
      </c>
    </row>
    <row r="151" ht="15.75" customHeight="1">
      <c r="A151" s="6" t="s">
        <v>771</v>
      </c>
      <c r="B151" s="6" t="s">
        <v>772</v>
      </c>
      <c r="C151" s="6" t="s">
        <v>773</v>
      </c>
      <c r="D151" s="6" t="s">
        <v>774</v>
      </c>
      <c r="E151" s="6">
        <v>25550.0</v>
      </c>
      <c r="F151" s="6" t="s">
        <v>168</v>
      </c>
      <c r="G151" s="8"/>
      <c r="H151" s="8"/>
      <c r="I151" s="8"/>
      <c r="J151" s="6" t="s">
        <v>668</v>
      </c>
      <c r="K151" s="6" t="s">
        <v>32</v>
      </c>
    </row>
    <row r="152" ht="15.75" customHeight="1">
      <c r="A152" s="6" t="s">
        <v>775</v>
      </c>
      <c r="B152" s="6" t="s">
        <v>776</v>
      </c>
      <c r="C152" s="6" t="s">
        <v>777</v>
      </c>
      <c r="D152" s="6" t="s">
        <v>778</v>
      </c>
      <c r="E152" s="6">
        <v>26205.0</v>
      </c>
      <c r="F152" s="6" t="s">
        <v>198</v>
      </c>
      <c r="G152" s="8"/>
      <c r="H152" s="8"/>
      <c r="I152" s="8"/>
      <c r="J152" s="6" t="s">
        <v>668</v>
      </c>
      <c r="K152" s="6" t="s">
        <v>32</v>
      </c>
    </row>
    <row r="153" ht="15.75" customHeight="1">
      <c r="A153" s="6" t="s">
        <v>779</v>
      </c>
      <c r="B153" s="6" t="s">
        <v>780</v>
      </c>
      <c r="C153" s="6" t="s">
        <v>781</v>
      </c>
      <c r="D153" s="6" t="s">
        <v>197</v>
      </c>
      <c r="E153" s="6">
        <v>26651.0</v>
      </c>
      <c r="F153" s="6" t="s">
        <v>198</v>
      </c>
      <c r="G153" s="8"/>
      <c r="H153" s="8"/>
      <c r="I153" s="8"/>
      <c r="J153" s="6" t="s">
        <v>668</v>
      </c>
      <c r="K153" s="6" t="s">
        <v>32</v>
      </c>
    </row>
    <row r="154" ht="15.75" customHeight="1">
      <c r="A154" s="6" t="s">
        <v>785</v>
      </c>
      <c r="B154" s="6" t="s">
        <v>786</v>
      </c>
      <c r="C154" s="6" t="s">
        <v>788</v>
      </c>
      <c r="D154" s="6" t="s">
        <v>444</v>
      </c>
      <c r="E154" s="6">
        <v>26003.0</v>
      </c>
      <c r="F154" s="6" t="s">
        <v>206</v>
      </c>
      <c r="G154" s="8"/>
      <c r="H154" s="8"/>
      <c r="I154" s="8"/>
      <c r="J154" s="6" t="s">
        <v>668</v>
      </c>
      <c r="K154" s="6" t="s">
        <v>32</v>
      </c>
    </row>
    <row r="155" ht="15.75" customHeight="1">
      <c r="A155" s="6" t="s">
        <v>790</v>
      </c>
      <c r="B155" s="6" t="s">
        <v>791</v>
      </c>
      <c r="C155" s="6" t="s">
        <v>793</v>
      </c>
      <c r="D155" s="6" t="s">
        <v>794</v>
      </c>
      <c r="E155" s="6">
        <v>26807.0</v>
      </c>
      <c r="F155" s="6" t="s">
        <v>795</v>
      </c>
      <c r="G155" s="8"/>
      <c r="H155" s="8"/>
      <c r="I155" s="8"/>
      <c r="J155" s="6" t="s">
        <v>668</v>
      </c>
      <c r="K155" s="6" t="s">
        <v>32</v>
      </c>
    </row>
    <row r="156" ht="15.75" customHeight="1">
      <c r="A156" s="6" t="s">
        <v>798</v>
      </c>
      <c r="B156" s="6" t="s">
        <v>799</v>
      </c>
      <c r="C156" s="6" t="s">
        <v>800</v>
      </c>
      <c r="D156" s="6" t="s">
        <v>801</v>
      </c>
      <c r="E156" s="6">
        <v>26170.0</v>
      </c>
      <c r="F156" s="6" t="s">
        <v>529</v>
      </c>
      <c r="G156" s="8"/>
      <c r="H156" s="8"/>
      <c r="I156" s="8"/>
      <c r="J156" s="6" t="s">
        <v>668</v>
      </c>
      <c r="K156" s="6" t="s">
        <v>32</v>
      </c>
    </row>
    <row r="157" ht="15.75" customHeight="1">
      <c r="A157" s="6" t="s">
        <v>802</v>
      </c>
      <c r="B157" s="6" t="s">
        <v>803</v>
      </c>
      <c r="C157" s="6" t="s">
        <v>805</v>
      </c>
      <c r="D157" s="6" t="s">
        <v>806</v>
      </c>
      <c r="E157" s="6">
        <v>26547.0</v>
      </c>
      <c r="F157" s="6" t="s">
        <v>105</v>
      </c>
      <c r="G157" s="8"/>
      <c r="H157" s="8"/>
      <c r="I157" s="8"/>
      <c r="J157" s="6" t="s">
        <v>668</v>
      </c>
      <c r="K157" s="6" t="s">
        <v>32</v>
      </c>
    </row>
    <row r="158" ht="15.75" customHeight="1">
      <c r="A158" s="6" t="s">
        <v>808</v>
      </c>
      <c r="B158" s="6" t="s">
        <v>809</v>
      </c>
      <c r="C158" s="6" t="s">
        <v>810</v>
      </c>
      <c r="D158" s="6" t="s">
        <v>811</v>
      </c>
      <c r="E158" s="6">
        <v>25832.0</v>
      </c>
      <c r="F158" s="6" t="s">
        <v>225</v>
      </c>
      <c r="G158" s="8"/>
      <c r="H158" s="8"/>
      <c r="I158" s="8"/>
      <c r="J158" s="6" t="s">
        <v>668</v>
      </c>
      <c r="K158" s="6" t="s">
        <v>32</v>
      </c>
    </row>
    <row r="159" ht="15.75" customHeight="1">
      <c r="A159" s="6" t="s">
        <v>814</v>
      </c>
      <c r="B159" s="6" t="s">
        <v>815</v>
      </c>
      <c r="C159" s="6" t="s">
        <v>816</v>
      </c>
      <c r="D159" s="6" t="s">
        <v>235</v>
      </c>
      <c r="E159" s="6">
        <v>26241.0</v>
      </c>
      <c r="F159" s="6" t="s">
        <v>236</v>
      </c>
      <c r="G159" s="8"/>
      <c r="H159" s="8"/>
      <c r="I159" s="8"/>
      <c r="J159" s="6" t="s">
        <v>668</v>
      </c>
      <c r="K159" s="6" t="s">
        <v>32</v>
      </c>
    </row>
    <row r="160" ht="15.75" customHeight="1">
      <c r="A160" s="6" t="s">
        <v>817</v>
      </c>
      <c r="B160" s="6" t="s">
        <v>819</v>
      </c>
      <c r="C160" s="6" t="s">
        <v>820</v>
      </c>
      <c r="D160" s="6" t="s">
        <v>235</v>
      </c>
      <c r="E160" s="6">
        <v>26241.0</v>
      </c>
      <c r="F160" s="6" t="s">
        <v>236</v>
      </c>
      <c r="G160" s="8"/>
      <c r="H160" s="8"/>
      <c r="I160" s="8"/>
      <c r="J160" s="6" t="s">
        <v>668</v>
      </c>
      <c r="K160" s="6" t="s">
        <v>32</v>
      </c>
    </row>
    <row r="161" ht="15.75" customHeight="1">
      <c r="A161" s="6" t="s">
        <v>822</v>
      </c>
      <c r="B161" s="6" t="s">
        <v>823</v>
      </c>
      <c r="C161" s="6" t="s">
        <v>824</v>
      </c>
      <c r="D161" s="6" t="s">
        <v>825</v>
      </c>
      <c r="E161" s="6">
        <v>26362.0</v>
      </c>
      <c r="F161" s="6" t="s">
        <v>826</v>
      </c>
      <c r="G161" s="8"/>
      <c r="H161" s="8"/>
      <c r="I161" s="8"/>
      <c r="J161" s="6" t="s">
        <v>668</v>
      </c>
      <c r="K161" s="6" t="s">
        <v>32</v>
      </c>
    </row>
    <row r="162" ht="15.75" customHeight="1">
      <c r="A162" s="6" t="s">
        <v>827</v>
      </c>
      <c r="B162" s="6" t="s">
        <v>828</v>
      </c>
      <c r="C162" s="6" t="s">
        <v>829</v>
      </c>
      <c r="D162" s="6" t="s">
        <v>485</v>
      </c>
      <c r="E162" s="6">
        <v>25951.0</v>
      </c>
      <c r="F162" s="6" t="s">
        <v>486</v>
      </c>
      <c r="G162" s="8"/>
      <c r="H162" s="8"/>
      <c r="I162" s="8"/>
      <c r="J162" s="6" t="s">
        <v>668</v>
      </c>
      <c r="K162" s="6" t="s">
        <v>32</v>
      </c>
    </row>
    <row r="163" ht="15.75" customHeight="1">
      <c r="A163" s="6" t="s">
        <v>831</v>
      </c>
      <c r="B163" s="6" t="s">
        <v>832</v>
      </c>
      <c r="C163" s="6" t="s">
        <v>833</v>
      </c>
      <c r="D163" s="6" t="s">
        <v>246</v>
      </c>
      <c r="E163" s="6">
        <v>26354.0</v>
      </c>
      <c r="F163" s="6" t="s">
        <v>247</v>
      </c>
      <c r="G163" s="8"/>
      <c r="H163" s="8"/>
      <c r="I163" s="8"/>
      <c r="J163" s="6" t="s">
        <v>668</v>
      </c>
      <c r="K163" s="6" t="s">
        <v>32</v>
      </c>
    </row>
    <row r="164" ht="15.75" customHeight="1">
      <c r="A164" s="6" t="s">
        <v>834</v>
      </c>
      <c r="B164" s="6" t="s">
        <v>836</v>
      </c>
      <c r="C164" s="6" t="s">
        <v>837</v>
      </c>
      <c r="D164" s="6" t="s">
        <v>838</v>
      </c>
      <c r="E164" s="6">
        <v>26287.0</v>
      </c>
      <c r="F164" s="6" t="s">
        <v>839</v>
      </c>
      <c r="G164" s="8"/>
      <c r="H164" s="8"/>
      <c r="I164" s="8"/>
      <c r="J164" s="6" t="s">
        <v>668</v>
      </c>
      <c r="K164" s="6" t="s">
        <v>32</v>
      </c>
    </row>
    <row r="165" ht="15.75" customHeight="1">
      <c r="A165" s="6" t="s">
        <v>840</v>
      </c>
      <c r="B165" s="6" t="s">
        <v>841</v>
      </c>
      <c r="C165" s="6" t="s">
        <v>844</v>
      </c>
      <c r="D165" s="6" t="s">
        <v>845</v>
      </c>
      <c r="E165" s="6">
        <v>26260.0</v>
      </c>
      <c r="F165" s="6" t="s">
        <v>839</v>
      </c>
      <c r="G165" s="8"/>
      <c r="H165" s="8"/>
      <c r="I165" s="8"/>
      <c r="J165" s="6" t="s">
        <v>668</v>
      </c>
      <c r="K165" s="6" t="s">
        <v>32</v>
      </c>
    </row>
    <row r="166" ht="15.75" customHeight="1">
      <c r="A166" s="6" t="s">
        <v>847</v>
      </c>
      <c r="B166" s="6" t="s">
        <v>848</v>
      </c>
      <c r="C166" s="6" t="s">
        <v>849</v>
      </c>
      <c r="D166" s="6" t="s">
        <v>850</v>
      </c>
      <c r="E166" s="6">
        <v>26175.0</v>
      </c>
      <c r="F166" s="6" t="s">
        <v>851</v>
      </c>
      <c r="G166" s="8"/>
      <c r="H166" s="8"/>
      <c r="I166" s="8"/>
      <c r="J166" s="6" t="s">
        <v>668</v>
      </c>
      <c r="K166" s="6" t="s">
        <v>32</v>
      </c>
    </row>
    <row r="167" ht="15.75" customHeight="1">
      <c r="A167" s="6" t="s">
        <v>853</v>
      </c>
      <c r="B167" s="6" t="s">
        <v>854</v>
      </c>
      <c r="C167" s="6" t="s">
        <v>855</v>
      </c>
      <c r="D167" s="6" t="s">
        <v>856</v>
      </c>
      <c r="E167" s="6">
        <v>26149.0</v>
      </c>
      <c r="F167" s="6" t="s">
        <v>851</v>
      </c>
      <c r="G167" s="8"/>
      <c r="H167" s="8"/>
      <c r="I167" s="8"/>
      <c r="J167" s="6" t="s">
        <v>668</v>
      </c>
      <c r="K167" s="6" t="s">
        <v>32</v>
      </c>
    </row>
    <row r="168" ht="15.75" customHeight="1">
      <c r="A168" s="6" t="s">
        <v>857</v>
      </c>
      <c r="B168" s="6" t="s">
        <v>859</v>
      </c>
      <c r="C168" s="6" t="s">
        <v>860</v>
      </c>
      <c r="D168" s="6" t="s">
        <v>251</v>
      </c>
      <c r="E168" s="6">
        <v>26201.0</v>
      </c>
      <c r="F168" s="6" t="s">
        <v>252</v>
      </c>
      <c r="G168" s="8"/>
      <c r="H168" s="8"/>
      <c r="I168" s="8"/>
      <c r="J168" s="6" t="s">
        <v>668</v>
      </c>
      <c r="K168" s="6" t="s">
        <v>32</v>
      </c>
    </row>
    <row r="169" ht="15.75" customHeight="1">
      <c r="A169" s="6" t="s">
        <v>862</v>
      </c>
      <c r="B169" s="6" t="s">
        <v>863</v>
      </c>
      <c r="C169" s="6" t="s">
        <v>864</v>
      </c>
      <c r="D169" s="6" t="s">
        <v>58</v>
      </c>
      <c r="E169" s="6">
        <v>25701.0</v>
      </c>
      <c r="F169" s="6" t="s">
        <v>59</v>
      </c>
      <c r="G169" s="8"/>
      <c r="H169" s="8"/>
      <c r="I169" s="8"/>
      <c r="J169" s="6" t="s">
        <v>668</v>
      </c>
      <c r="K169" s="6" t="s">
        <v>32</v>
      </c>
    </row>
    <row r="170" ht="15.75" customHeight="1">
      <c r="A170" s="6" t="s">
        <v>865</v>
      </c>
      <c r="B170" s="6" t="s">
        <v>866</v>
      </c>
      <c r="C170" s="6" t="s">
        <v>867</v>
      </c>
      <c r="D170" s="6" t="s">
        <v>868</v>
      </c>
      <c r="E170" s="6">
        <v>25530.0</v>
      </c>
      <c r="F170" s="6" t="s">
        <v>256</v>
      </c>
      <c r="G170" s="8"/>
      <c r="H170" s="8"/>
      <c r="I170" s="8"/>
      <c r="J170" s="6" t="s">
        <v>668</v>
      </c>
      <c r="K170" s="6" t="s">
        <v>32</v>
      </c>
    </row>
    <row r="171" ht="15.75" customHeight="1">
      <c r="A171" s="6" t="s">
        <v>870</v>
      </c>
      <c r="B171" s="6" t="s">
        <v>871</v>
      </c>
      <c r="C171" s="6" t="s">
        <v>872</v>
      </c>
      <c r="D171" s="6" t="s">
        <v>873</v>
      </c>
      <c r="E171" s="6">
        <v>25507.0</v>
      </c>
      <c r="F171" s="6" t="s">
        <v>256</v>
      </c>
      <c r="G171" s="8"/>
      <c r="H171" s="8"/>
      <c r="I171" s="8"/>
      <c r="J171" s="6" t="s">
        <v>668</v>
      </c>
      <c r="K171" s="6" t="s">
        <v>32</v>
      </c>
    </row>
    <row r="172" ht="15.75" customHeight="1">
      <c r="A172" s="6" t="s">
        <v>875</v>
      </c>
      <c r="B172" s="6" t="s">
        <v>876</v>
      </c>
      <c r="C172" s="6" t="s">
        <v>877</v>
      </c>
      <c r="D172" s="6" t="s">
        <v>58</v>
      </c>
      <c r="E172" s="6">
        <v>25704.0</v>
      </c>
      <c r="F172" s="6" t="s">
        <v>59</v>
      </c>
      <c r="G172" s="8"/>
      <c r="H172" s="8"/>
      <c r="I172" s="8"/>
      <c r="J172" s="6" t="s">
        <v>668</v>
      </c>
      <c r="K172" s="6" t="s">
        <v>32</v>
      </c>
    </row>
    <row r="173" ht="15.75" customHeight="1">
      <c r="A173" s="6" t="s">
        <v>879</v>
      </c>
      <c r="B173" s="6" t="s">
        <v>880</v>
      </c>
      <c r="C173" s="6" t="s">
        <v>881</v>
      </c>
      <c r="D173" s="6" t="s">
        <v>58</v>
      </c>
      <c r="E173" s="6">
        <v>25705.0</v>
      </c>
      <c r="F173" s="6" t="s">
        <v>59</v>
      </c>
      <c r="G173" s="8"/>
      <c r="H173" s="8"/>
      <c r="I173" s="8"/>
      <c r="J173" s="6" t="s">
        <v>668</v>
      </c>
      <c r="K173" s="6" t="s">
        <v>32</v>
      </c>
    </row>
    <row r="174" ht="15.75" customHeight="1">
      <c r="A174" s="6" t="s">
        <v>885</v>
      </c>
      <c r="B174" s="6" t="s">
        <v>887</v>
      </c>
      <c r="C174" s="6" t="s">
        <v>888</v>
      </c>
      <c r="D174" s="6" t="s">
        <v>267</v>
      </c>
      <c r="E174" s="6">
        <v>26101.0</v>
      </c>
      <c r="F174" s="6" t="s">
        <v>268</v>
      </c>
      <c r="G174" s="8"/>
      <c r="H174" s="8"/>
      <c r="I174" s="8"/>
      <c r="J174" s="6" t="s">
        <v>668</v>
      </c>
      <c r="K174" s="6" t="s">
        <v>32</v>
      </c>
    </row>
    <row r="175" ht="15.75" customHeight="1">
      <c r="A175" s="6" t="s">
        <v>891</v>
      </c>
      <c r="B175" s="6" t="s">
        <v>892</v>
      </c>
      <c r="C175" s="6" t="s">
        <v>893</v>
      </c>
      <c r="D175" s="6" t="s">
        <v>894</v>
      </c>
      <c r="E175" s="6">
        <v>25882.0</v>
      </c>
      <c r="F175" s="6" t="s">
        <v>895</v>
      </c>
      <c r="G175" s="8"/>
      <c r="H175" s="8"/>
      <c r="I175" s="8"/>
      <c r="J175" s="6" t="s">
        <v>668</v>
      </c>
      <c r="K175" s="6" t="s">
        <v>32</v>
      </c>
    </row>
    <row r="176" ht="15.75" customHeight="1">
      <c r="A176" s="6" t="s">
        <v>896</v>
      </c>
      <c r="B176" s="6" t="s">
        <v>897</v>
      </c>
      <c r="C176" s="6" t="s">
        <v>898</v>
      </c>
      <c r="D176" s="6" t="s">
        <v>899</v>
      </c>
      <c r="E176" s="6">
        <v>25559.0</v>
      </c>
      <c r="F176" s="6" t="s">
        <v>59</v>
      </c>
      <c r="G176" s="8"/>
      <c r="H176" s="8"/>
      <c r="I176" s="8"/>
      <c r="J176" s="6" t="s">
        <v>901</v>
      </c>
      <c r="K176" s="6" t="s">
        <v>32</v>
      </c>
    </row>
    <row r="177" ht="15.75" customHeight="1">
      <c r="A177" s="6" t="s">
        <v>902</v>
      </c>
      <c r="B177" s="6" t="s">
        <v>903</v>
      </c>
      <c r="C177" s="6" t="s">
        <v>904</v>
      </c>
      <c r="D177" s="6" t="s">
        <v>567</v>
      </c>
      <c r="E177" s="6">
        <v>25019.0</v>
      </c>
      <c r="F177" s="6" t="s">
        <v>906</v>
      </c>
      <c r="G177" s="8"/>
      <c r="H177" s="8"/>
      <c r="I177" s="8"/>
      <c r="J177" s="6" t="s">
        <v>901</v>
      </c>
      <c r="K177" s="6" t="s">
        <v>32</v>
      </c>
    </row>
    <row r="178" ht="15.75" customHeight="1">
      <c r="A178" s="6" t="s">
        <v>907</v>
      </c>
      <c r="B178" s="6" t="s">
        <v>908</v>
      </c>
      <c r="C178" s="6" t="s">
        <v>909</v>
      </c>
      <c r="D178" s="6" t="s">
        <v>720</v>
      </c>
      <c r="E178" s="6">
        <v>25133.0</v>
      </c>
      <c r="F178" s="6" t="s">
        <v>906</v>
      </c>
      <c r="G178" s="8"/>
      <c r="H178" s="8"/>
      <c r="I178" s="8"/>
      <c r="J178" s="6" t="s">
        <v>901</v>
      </c>
      <c r="K178" s="6" t="s">
        <v>32</v>
      </c>
    </row>
    <row r="179" ht="15.75" customHeight="1">
      <c r="A179" s="6" t="s">
        <v>913</v>
      </c>
      <c r="B179" s="6" t="s">
        <v>914</v>
      </c>
      <c r="C179" s="6" t="s">
        <v>915</v>
      </c>
      <c r="D179" s="6" t="s">
        <v>916</v>
      </c>
      <c r="E179" s="6">
        <v>25854.0</v>
      </c>
      <c r="F179" s="6" t="s">
        <v>74</v>
      </c>
      <c r="G179" s="8"/>
      <c r="H179" s="8"/>
      <c r="I179" s="8"/>
      <c r="J179" s="6" t="s">
        <v>901</v>
      </c>
      <c r="K179" s="6" t="s">
        <v>32</v>
      </c>
    </row>
    <row r="180" ht="15.75" customHeight="1">
      <c r="A180" s="6" t="s">
        <v>917</v>
      </c>
      <c r="B180" s="6" t="s">
        <v>918</v>
      </c>
      <c r="C180" s="6" t="s">
        <v>919</v>
      </c>
      <c r="D180" s="6" t="s">
        <v>920</v>
      </c>
      <c r="E180" s="6">
        <v>26047.0</v>
      </c>
      <c r="F180" s="6" t="s">
        <v>921</v>
      </c>
      <c r="G180" s="8"/>
      <c r="H180" s="8"/>
      <c r="I180" s="8"/>
      <c r="J180" s="6" t="s">
        <v>901</v>
      </c>
      <c r="K180" s="6" t="s">
        <v>32</v>
      </c>
    </row>
    <row r="181" ht="15.75" customHeight="1">
      <c r="A181" s="6" t="s">
        <v>923</v>
      </c>
      <c r="B181" s="6" t="s">
        <v>924</v>
      </c>
      <c r="C181" s="6" t="s">
        <v>925</v>
      </c>
      <c r="D181" s="6" t="s">
        <v>926</v>
      </c>
      <c r="E181" s="6">
        <v>26034.0</v>
      </c>
      <c r="F181" s="6" t="s">
        <v>921</v>
      </c>
      <c r="G181" s="8"/>
      <c r="H181" s="8"/>
      <c r="I181" s="8"/>
      <c r="J181" s="6" t="s">
        <v>901</v>
      </c>
      <c r="K181" s="6" t="s">
        <v>32</v>
      </c>
    </row>
    <row r="182" ht="15.75" customHeight="1">
      <c r="A182" s="6" t="s">
        <v>929</v>
      </c>
      <c r="B182" s="6" t="s">
        <v>930</v>
      </c>
      <c r="C182" s="6" t="s">
        <v>931</v>
      </c>
      <c r="D182" s="6" t="s">
        <v>88</v>
      </c>
      <c r="E182" s="6">
        <v>26836.0</v>
      </c>
      <c r="F182" s="6" t="s">
        <v>90</v>
      </c>
      <c r="G182" s="8"/>
      <c r="H182" s="8"/>
      <c r="I182" s="8"/>
      <c r="J182" s="6" t="s">
        <v>901</v>
      </c>
      <c r="K182" s="6" t="s">
        <v>32</v>
      </c>
    </row>
    <row r="183" ht="15.75" customHeight="1">
      <c r="A183" s="6" t="s">
        <v>933</v>
      </c>
      <c r="B183" s="6" t="s">
        <v>934</v>
      </c>
      <c r="C183" s="6" t="s">
        <v>935</v>
      </c>
      <c r="D183" s="6" t="s">
        <v>377</v>
      </c>
      <c r="E183" s="6">
        <v>25306.0</v>
      </c>
      <c r="F183" s="6" t="s">
        <v>128</v>
      </c>
      <c r="G183" s="8"/>
      <c r="H183" s="8"/>
      <c r="I183" s="8"/>
      <c r="J183" s="6" t="s">
        <v>901</v>
      </c>
      <c r="K183" s="6" t="s">
        <v>32</v>
      </c>
    </row>
    <row r="184" ht="15.75" customHeight="1">
      <c r="A184" s="6" t="s">
        <v>937</v>
      </c>
      <c r="B184" s="6" t="s">
        <v>938</v>
      </c>
      <c r="C184" s="6" t="s">
        <v>939</v>
      </c>
      <c r="D184" s="6" t="s">
        <v>377</v>
      </c>
      <c r="E184" s="6">
        <v>25302.0</v>
      </c>
      <c r="F184" s="6" t="s">
        <v>128</v>
      </c>
      <c r="G184" s="8"/>
      <c r="H184" s="8"/>
      <c r="I184" s="8"/>
      <c r="J184" s="6" t="s">
        <v>901</v>
      </c>
      <c r="K184" s="6" t="s">
        <v>32</v>
      </c>
    </row>
    <row r="185" ht="15.75" customHeight="1">
      <c r="A185" s="6" t="s">
        <v>940</v>
      </c>
      <c r="B185" s="6" t="s">
        <v>941</v>
      </c>
      <c r="C185" s="6" t="s">
        <v>942</v>
      </c>
      <c r="D185" s="6" t="s">
        <v>390</v>
      </c>
      <c r="E185" s="6">
        <v>25177.0</v>
      </c>
      <c r="F185" s="6" t="s">
        <v>128</v>
      </c>
      <c r="G185" s="8"/>
      <c r="H185" s="8"/>
      <c r="I185" s="8"/>
      <c r="J185" s="6" t="s">
        <v>901</v>
      </c>
      <c r="K185" s="6" t="s">
        <v>32</v>
      </c>
    </row>
    <row r="186" ht="15.75" customHeight="1">
      <c r="A186" s="6" t="s">
        <v>944</v>
      </c>
      <c r="B186" s="6" t="s">
        <v>945</v>
      </c>
      <c r="C186" s="6" t="s">
        <v>946</v>
      </c>
      <c r="D186" s="6" t="s">
        <v>947</v>
      </c>
      <c r="E186" s="6">
        <v>25524.0</v>
      </c>
      <c r="F186" s="6" t="s">
        <v>585</v>
      </c>
      <c r="G186" s="8"/>
      <c r="H186" s="8"/>
      <c r="I186" s="8"/>
      <c r="J186" s="6" t="s">
        <v>901</v>
      </c>
      <c r="K186" s="6" t="s">
        <v>32</v>
      </c>
    </row>
    <row r="187" ht="15.75" customHeight="1">
      <c r="A187" s="6" t="s">
        <v>949</v>
      </c>
      <c r="B187" s="6" t="s">
        <v>951</v>
      </c>
      <c r="C187" s="6" t="s">
        <v>952</v>
      </c>
      <c r="D187" s="6" t="s">
        <v>377</v>
      </c>
      <c r="E187" s="6">
        <v>25320.0</v>
      </c>
      <c r="F187" s="6" t="s">
        <v>128</v>
      </c>
      <c r="G187" s="8"/>
      <c r="H187" s="8"/>
      <c r="I187" s="8"/>
      <c r="J187" s="6" t="s">
        <v>901</v>
      </c>
      <c r="K187" s="6" t="s">
        <v>32</v>
      </c>
    </row>
    <row r="188" ht="15.75" customHeight="1">
      <c r="A188" s="6" t="s">
        <v>955</v>
      </c>
      <c r="B188" s="6" t="s">
        <v>956</v>
      </c>
      <c r="C188" s="6" t="s">
        <v>957</v>
      </c>
      <c r="D188" s="6" t="s">
        <v>958</v>
      </c>
      <c r="E188" s="6">
        <v>25635.0</v>
      </c>
      <c r="F188" s="6" t="s">
        <v>153</v>
      </c>
      <c r="G188" s="8"/>
      <c r="H188" s="8"/>
      <c r="I188" s="8"/>
      <c r="J188" s="6" t="s">
        <v>901</v>
      </c>
      <c r="K188" s="6" t="s">
        <v>32</v>
      </c>
    </row>
    <row r="189" ht="15.75" customHeight="1">
      <c r="A189" s="6" t="s">
        <v>959</v>
      </c>
      <c r="B189" s="6" t="s">
        <v>960</v>
      </c>
      <c r="C189" s="6" t="s">
        <v>961</v>
      </c>
      <c r="D189" s="6" t="s">
        <v>962</v>
      </c>
      <c r="E189" s="6">
        <v>25508.0</v>
      </c>
      <c r="F189" s="6" t="s">
        <v>153</v>
      </c>
      <c r="G189" s="8"/>
      <c r="H189" s="8"/>
      <c r="I189" s="8"/>
      <c r="J189" s="6" t="s">
        <v>901</v>
      </c>
      <c r="K189" s="6" t="s">
        <v>32</v>
      </c>
    </row>
    <row r="190" ht="15.75" customHeight="1">
      <c r="A190" s="6" t="s">
        <v>966</v>
      </c>
      <c r="B190" s="6" t="s">
        <v>967</v>
      </c>
      <c r="C190" s="6" t="s">
        <v>968</v>
      </c>
      <c r="D190" s="6" t="s">
        <v>306</v>
      </c>
      <c r="E190" s="6">
        <v>24801.0</v>
      </c>
      <c r="F190" s="6" t="s">
        <v>596</v>
      </c>
      <c r="G190" s="8"/>
      <c r="H190" s="8"/>
      <c r="I190" s="8"/>
      <c r="J190" s="6" t="s">
        <v>901</v>
      </c>
      <c r="K190" s="6" t="s">
        <v>32</v>
      </c>
    </row>
    <row r="191" ht="15.75" customHeight="1">
      <c r="A191" s="6" t="s">
        <v>969</v>
      </c>
      <c r="B191" s="6" t="s">
        <v>970</v>
      </c>
      <c r="C191" s="6" t="s">
        <v>971</v>
      </c>
      <c r="D191" s="6" t="s">
        <v>334</v>
      </c>
      <c r="E191" s="6">
        <v>24817.0</v>
      </c>
      <c r="F191" s="6" t="s">
        <v>596</v>
      </c>
      <c r="G191" s="8"/>
      <c r="H191" s="8"/>
      <c r="I191" s="8"/>
      <c r="J191" s="6" t="s">
        <v>901</v>
      </c>
      <c r="K191" s="6" t="s">
        <v>32</v>
      </c>
    </row>
    <row r="192" ht="15.75" customHeight="1">
      <c r="A192" s="6" t="s">
        <v>974</v>
      </c>
      <c r="B192" s="6" t="s">
        <v>975</v>
      </c>
      <c r="C192" s="6" t="s">
        <v>976</v>
      </c>
      <c r="D192" s="6" t="s">
        <v>977</v>
      </c>
      <c r="E192" s="6">
        <v>25621.0</v>
      </c>
      <c r="F192" s="6" t="s">
        <v>978</v>
      </c>
      <c r="G192" s="8"/>
      <c r="H192" s="8"/>
      <c r="I192" s="8"/>
      <c r="J192" s="6" t="s">
        <v>901</v>
      </c>
      <c r="K192" s="6" t="s">
        <v>32</v>
      </c>
    </row>
    <row r="193" ht="15.75" customHeight="1">
      <c r="A193" s="6" t="s">
        <v>979</v>
      </c>
      <c r="B193" s="6" t="s">
        <v>980</v>
      </c>
      <c r="C193" s="6" t="s">
        <v>981</v>
      </c>
      <c r="D193" s="6" t="s">
        <v>441</v>
      </c>
      <c r="E193" s="6">
        <v>24951.0</v>
      </c>
      <c r="F193" s="6" t="s">
        <v>982</v>
      </c>
      <c r="G193" s="8"/>
      <c r="H193" s="8"/>
      <c r="I193" s="8"/>
      <c r="J193" s="6" t="s">
        <v>901</v>
      </c>
      <c r="K193" s="6" t="s">
        <v>32</v>
      </c>
    </row>
    <row r="194" ht="15.75" customHeight="1">
      <c r="A194" s="6" t="s">
        <v>984</v>
      </c>
      <c r="B194" s="6" t="s">
        <v>985</v>
      </c>
      <c r="C194" s="6" t="s">
        <v>986</v>
      </c>
      <c r="D194" s="6" t="s">
        <v>488</v>
      </c>
      <c r="E194" s="6">
        <v>24983.0</v>
      </c>
      <c r="F194" s="6" t="s">
        <v>982</v>
      </c>
      <c r="G194" s="8"/>
      <c r="H194" s="8"/>
      <c r="I194" s="8"/>
      <c r="J194" s="6" t="s">
        <v>901</v>
      </c>
      <c r="K194" s="6" t="s">
        <v>32</v>
      </c>
    </row>
    <row r="195" ht="15.75" customHeight="1">
      <c r="A195" s="6" t="s">
        <v>990</v>
      </c>
      <c r="B195" s="6" t="s">
        <v>991</v>
      </c>
      <c r="C195" s="6" t="s">
        <v>992</v>
      </c>
      <c r="D195" s="6" t="s">
        <v>993</v>
      </c>
      <c r="E195" s="6">
        <v>26261.0</v>
      </c>
      <c r="F195" s="6" t="s">
        <v>198</v>
      </c>
      <c r="G195" s="8"/>
      <c r="H195" s="8"/>
      <c r="I195" s="8"/>
      <c r="J195" s="6" t="s">
        <v>901</v>
      </c>
      <c r="K195" s="6" t="s">
        <v>32</v>
      </c>
    </row>
    <row r="196" ht="15.75" customHeight="1">
      <c r="A196" s="6" t="s">
        <v>994</v>
      </c>
      <c r="B196" s="6" t="s">
        <v>995</v>
      </c>
      <c r="C196" s="6" t="s">
        <v>997</v>
      </c>
      <c r="D196" s="6" t="s">
        <v>444</v>
      </c>
      <c r="E196" s="6">
        <v>26003.0</v>
      </c>
      <c r="F196" s="6" t="s">
        <v>206</v>
      </c>
      <c r="G196" s="8"/>
      <c r="H196" s="8"/>
      <c r="I196" s="8"/>
      <c r="J196" s="6" t="s">
        <v>901</v>
      </c>
      <c r="K196" s="6" t="s">
        <v>32</v>
      </c>
    </row>
    <row r="197" ht="15.75" customHeight="1">
      <c r="A197" s="6" t="s">
        <v>999</v>
      </c>
      <c r="B197" s="6" t="s">
        <v>1000</v>
      </c>
      <c r="C197" s="6" t="s">
        <v>1001</v>
      </c>
      <c r="D197" s="6" t="s">
        <v>457</v>
      </c>
      <c r="E197" s="6">
        <v>24954.0</v>
      </c>
      <c r="F197" s="6" t="s">
        <v>1002</v>
      </c>
      <c r="G197" s="8"/>
      <c r="H197" s="8"/>
      <c r="I197" s="8"/>
      <c r="J197" s="6" t="s">
        <v>901</v>
      </c>
      <c r="K197" s="6" t="s">
        <v>32</v>
      </c>
    </row>
    <row r="198" ht="15.75" customHeight="1">
      <c r="A198" s="6" t="s">
        <v>1003</v>
      </c>
      <c r="B198" s="6" t="s">
        <v>1004</v>
      </c>
      <c r="C198" s="6" t="s">
        <v>1005</v>
      </c>
      <c r="D198" s="6" t="s">
        <v>1006</v>
      </c>
      <c r="E198" s="6">
        <v>24944.0</v>
      </c>
      <c r="F198" s="6" t="s">
        <v>1002</v>
      </c>
      <c r="G198" s="8"/>
      <c r="H198" s="8"/>
      <c r="I198" s="8"/>
      <c r="J198" s="6" t="s">
        <v>901</v>
      </c>
      <c r="K198" s="6" t="s">
        <v>32</v>
      </c>
    </row>
    <row r="199" ht="15.75" customHeight="1">
      <c r="A199" s="6" t="s">
        <v>1008</v>
      </c>
      <c r="B199" s="6" t="s">
        <v>1009</v>
      </c>
      <c r="C199" s="6" t="s">
        <v>1010</v>
      </c>
      <c r="D199" s="6" t="s">
        <v>1011</v>
      </c>
      <c r="E199" s="6">
        <v>26291.0</v>
      </c>
      <c r="F199" s="6" t="s">
        <v>1002</v>
      </c>
      <c r="G199" s="8"/>
      <c r="H199" s="8"/>
      <c r="I199" s="8"/>
      <c r="J199" s="6" t="s">
        <v>901</v>
      </c>
      <c r="K199" s="6" t="s">
        <v>32</v>
      </c>
    </row>
    <row r="200" ht="15.75" customHeight="1">
      <c r="A200" s="6" t="s">
        <v>1012</v>
      </c>
      <c r="B200" s="6" t="s">
        <v>1013</v>
      </c>
      <c r="C200" s="6" t="s">
        <v>1014</v>
      </c>
      <c r="D200" s="6" t="s">
        <v>586</v>
      </c>
      <c r="E200" s="6">
        <v>25033.0</v>
      </c>
      <c r="F200" s="6" t="s">
        <v>218</v>
      </c>
      <c r="G200" s="8"/>
      <c r="H200" s="8"/>
      <c r="I200" s="8"/>
      <c r="J200" s="6" t="s">
        <v>901</v>
      </c>
      <c r="K200" s="6" t="s">
        <v>32</v>
      </c>
    </row>
    <row r="201" ht="15.75" customHeight="1">
      <c r="A201" s="6" t="s">
        <v>1015</v>
      </c>
      <c r="B201" s="6" t="s">
        <v>1016</v>
      </c>
      <c r="C201" s="6" t="s">
        <v>1017</v>
      </c>
      <c r="D201" s="6" t="s">
        <v>1018</v>
      </c>
      <c r="E201" s="6">
        <v>25844.0</v>
      </c>
      <c r="F201" s="6" t="s">
        <v>225</v>
      </c>
      <c r="G201" s="8"/>
      <c r="H201" s="8"/>
      <c r="I201" s="8"/>
      <c r="J201" s="6" t="s">
        <v>901</v>
      </c>
      <c r="K201" s="6" t="s">
        <v>32</v>
      </c>
    </row>
    <row r="202" ht="15.75" customHeight="1">
      <c r="A202" s="6" t="s">
        <v>1019</v>
      </c>
      <c r="B202" s="6" t="s">
        <v>1020</v>
      </c>
      <c r="C202" s="6" t="s">
        <v>1021</v>
      </c>
      <c r="D202" s="6" t="s">
        <v>240</v>
      </c>
      <c r="E202" s="6">
        <v>25276.0</v>
      </c>
      <c r="F202" s="6" t="s">
        <v>241</v>
      </c>
      <c r="G202" s="8"/>
      <c r="H202" s="8"/>
      <c r="I202" s="8"/>
      <c r="J202" s="6" t="s">
        <v>901</v>
      </c>
      <c r="K202" s="6" t="s">
        <v>32</v>
      </c>
    </row>
    <row r="203" ht="15.75" customHeight="1">
      <c r="A203" s="6" t="s">
        <v>1023</v>
      </c>
      <c r="B203" s="6" t="s">
        <v>1024</v>
      </c>
      <c r="C203" s="6" t="s">
        <v>1025</v>
      </c>
      <c r="D203" s="6" t="s">
        <v>1026</v>
      </c>
      <c r="E203" s="6">
        <v>26234.0</v>
      </c>
      <c r="F203" s="6" t="s">
        <v>252</v>
      </c>
      <c r="G203" s="8"/>
      <c r="H203" s="8"/>
      <c r="I203" s="8"/>
      <c r="J203" s="6" t="s">
        <v>901</v>
      </c>
      <c r="K203" s="6" t="s">
        <v>32</v>
      </c>
    </row>
    <row r="204" ht="15.75" customHeight="1">
      <c r="A204" s="6" t="s">
        <v>1027</v>
      </c>
      <c r="B204" s="6" t="s">
        <v>1028</v>
      </c>
      <c r="C204" s="6" t="s">
        <v>1030</v>
      </c>
      <c r="D204" s="6" t="s">
        <v>1032</v>
      </c>
      <c r="E204" s="6">
        <v>26288.0</v>
      </c>
      <c r="F204" s="6" t="s">
        <v>1034</v>
      </c>
      <c r="G204" s="8"/>
      <c r="H204" s="8"/>
      <c r="I204" s="8"/>
      <c r="J204" s="6" t="s">
        <v>901</v>
      </c>
      <c r="K204" s="6" t="s">
        <v>32</v>
      </c>
    </row>
    <row r="205" ht="15.75" customHeight="1">
      <c r="A205" s="6" t="s">
        <v>1035</v>
      </c>
      <c r="B205" s="6" t="s">
        <v>1036</v>
      </c>
      <c r="C205" s="6" t="s">
        <v>1037</v>
      </c>
      <c r="D205" s="6" t="s">
        <v>1038</v>
      </c>
      <c r="E205" s="6">
        <v>26206.0</v>
      </c>
      <c r="F205" s="6" t="s">
        <v>1034</v>
      </c>
      <c r="G205" s="8"/>
      <c r="H205" s="8"/>
      <c r="I205" s="8"/>
      <c r="J205" s="6" t="s">
        <v>901</v>
      </c>
      <c r="K205" s="6" t="s">
        <v>32</v>
      </c>
    </row>
    <row r="206" ht="15.75" customHeight="1">
      <c r="A206" s="6" t="s">
        <v>1039</v>
      </c>
      <c r="B206" s="6" t="s">
        <v>1040</v>
      </c>
      <c r="C206" s="6" t="s">
        <v>1041</v>
      </c>
      <c r="D206" s="6" t="s">
        <v>1042</v>
      </c>
      <c r="E206" s="6">
        <v>26143.0</v>
      </c>
      <c r="F206" s="6" t="s">
        <v>1043</v>
      </c>
      <c r="G206" s="8"/>
      <c r="H206" s="8"/>
      <c r="I206" s="8"/>
      <c r="J206" s="6" t="s">
        <v>901</v>
      </c>
      <c r="K206" s="6" t="s">
        <v>32</v>
      </c>
    </row>
    <row r="207" ht="15.75" customHeight="1">
      <c r="A207" s="6" t="s">
        <v>1044</v>
      </c>
      <c r="B207" s="6" t="s">
        <v>1046</v>
      </c>
      <c r="C207" s="6" t="s">
        <v>1047</v>
      </c>
      <c r="D207" s="6" t="s">
        <v>272</v>
      </c>
      <c r="E207" s="6">
        <v>26105.0</v>
      </c>
      <c r="F207" s="6" t="s">
        <v>268</v>
      </c>
      <c r="G207" s="8"/>
      <c r="H207" s="8"/>
      <c r="I207" s="8"/>
      <c r="J207" s="6" t="s">
        <v>901</v>
      </c>
      <c r="K207" s="6" t="s">
        <v>32</v>
      </c>
    </row>
    <row r="208" ht="15.75" customHeight="1">
      <c r="A208" s="6" t="s">
        <v>1048</v>
      </c>
      <c r="B208" s="6" t="s">
        <v>1049</v>
      </c>
      <c r="C208" s="6" t="s">
        <v>1050</v>
      </c>
      <c r="D208" s="6" t="s">
        <v>267</v>
      </c>
      <c r="E208" s="6">
        <v>26101.0</v>
      </c>
      <c r="F208" s="6" t="s">
        <v>268</v>
      </c>
      <c r="G208" s="8"/>
      <c r="H208" s="8"/>
      <c r="I208" s="8"/>
      <c r="J208" s="6" t="s">
        <v>901</v>
      </c>
      <c r="K208" s="6" t="s">
        <v>32</v>
      </c>
    </row>
    <row r="209" ht="15.75" customHeight="1">
      <c r="A209" s="6" t="s">
        <v>1051</v>
      </c>
      <c r="B209" s="6" t="s">
        <v>1052</v>
      </c>
      <c r="C209" s="6" t="s">
        <v>1053</v>
      </c>
      <c r="D209" s="6" t="s">
        <v>272</v>
      </c>
      <c r="E209" s="6">
        <v>26105.0</v>
      </c>
      <c r="F209" s="6" t="s">
        <v>268</v>
      </c>
      <c r="G209" s="8"/>
      <c r="H209" s="8"/>
      <c r="I209" s="8"/>
      <c r="J209" s="6" t="s">
        <v>901</v>
      </c>
      <c r="K209" s="6" t="s">
        <v>32</v>
      </c>
    </row>
    <row r="210" ht="15.75" customHeight="1">
      <c r="A210" s="6" t="s">
        <v>1055</v>
      </c>
      <c r="B210" s="6" t="s">
        <v>1056</v>
      </c>
      <c r="C210" s="6" t="s">
        <v>1058</v>
      </c>
      <c r="D210" s="6" t="s">
        <v>267</v>
      </c>
      <c r="E210" s="6">
        <v>26101.0</v>
      </c>
      <c r="F210" s="6" t="s">
        <v>268</v>
      </c>
      <c r="G210" s="8"/>
      <c r="H210" s="8"/>
      <c r="I210" s="8"/>
      <c r="J210" s="6" t="s">
        <v>901</v>
      </c>
      <c r="K210" s="6" t="s">
        <v>32</v>
      </c>
    </row>
    <row r="211" ht="15.75" customHeight="1">
      <c r="A211" s="6" t="s">
        <v>1060</v>
      </c>
      <c r="B211" s="6" t="s">
        <v>1061</v>
      </c>
      <c r="C211" s="6" t="s">
        <v>1062</v>
      </c>
      <c r="D211" s="6" t="s">
        <v>370</v>
      </c>
      <c r="E211" s="6">
        <v>24870.0</v>
      </c>
      <c r="F211" s="6" t="s">
        <v>895</v>
      </c>
      <c r="G211" s="8"/>
      <c r="H211" s="8"/>
      <c r="I211" s="8"/>
      <c r="J211" s="6" t="s">
        <v>901</v>
      </c>
      <c r="K211" s="6" t="s">
        <v>32</v>
      </c>
    </row>
    <row r="212" ht="15.75" customHeight="1">
      <c r="A212" s="6" t="s">
        <v>1063</v>
      </c>
      <c r="B212" s="6" t="s">
        <v>1064</v>
      </c>
      <c r="C212" s="6" t="s">
        <v>1065</v>
      </c>
      <c r="D212" s="6" t="s">
        <v>383</v>
      </c>
      <c r="E212" s="6">
        <v>24874.0</v>
      </c>
      <c r="F212" s="6" t="s">
        <v>895</v>
      </c>
      <c r="G212" s="8"/>
      <c r="H212" s="8"/>
      <c r="I212" s="8"/>
      <c r="J212" s="6" t="s">
        <v>901</v>
      </c>
      <c r="K212" s="6" t="s">
        <v>32</v>
      </c>
    </row>
    <row r="213" ht="15.75" customHeight="1">
      <c r="A213" s="6" t="s">
        <v>1067</v>
      </c>
      <c r="B213" s="6" t="s">
        <v>1068</v>
      </c>
      <c r="C213" s="6" t="s">
        <v>1069</v>
      </c>
      <c r="D213" s="6" t="s">
        <v>25</v>
      </c>
      <c r="E213" s="6">
        <v>25401.0</v>
      </c>
      <c r="F213" s="6" t="s">
        <v>28</v>
      </c>
      <c r="G213" s="8"/>
      <c r="H213" s="8"/>
      <c r="I213" s="8"/>
      <c r="J213" s="6" t="s">
        <v>1070</v>
      </c>
      <c r="K213" s="6" t="s">
        <v>32</v>
      </c>
    </row>
    <row r="214" ht="15.75" customHeight="1">
      <c r="A214" s="6" t="s">
        <v>1072</v>
      </c>
      <c r="B214" s="6" t="s">
        <v>1073</v>
      </c>
      <c r="C214" s="6" t="s">
        <v>1074</v>
      </c>
      <c r="D214" s="6" t="s">
        <v>612</v>
      </c>
      <c r="E214" s="6">
        <v>25049.0</v>
      </c>
      <c r="F214" s="6" t="s">
        <v>288</v>
      </c>
      <c r="G214" s="8"/>
      <c r="H214" s="8"/>
      <c r="I214" s="8"/>
      <c r="J214" s="6" t="s">
        <v>1070</v>
      </c>
      <c r="K214" s="6" t="s">
        <v>32</v>
      </c>
    </row>
    <row r="215" ht="15.75" customHeight="1">
      <c r="A215" s="6" t="s">
        <v>1076</v>
      </c>
      <c r="B215" s="6" t="s">
        <v>1077</v>
      </c>
      <c r="C215" s="6" t="s">
        <v>1078</v>
      </c>
      <c r="D215" s="6" t="s">
        <v>789</v>
      </c>
      <c r="E215" s="6">
        <v>25181.0</v>
      </c>
      <c r="F215" s="6" t="s">
        <v>288</v>
      </c>
      <c r="G215" s="8"/>
      <c r="H215" s="8"/>
      <c r="I215" s="8"/>
      <c r="J215" s="6" t="s">
        <v>1070</v>
      </c>
      <c r="K215" s="6" t="s">
        <v>32</v>
      </c>
    </row>
    <row r="216" ht="15.75" customHeight="1">
      <c r="A216" s="6" t="s">
        <v>1079</v>
      </c>
      <c r="B216" s="6" t="s">
        <v>1080</v>
      </c>
      <c r="C216" s="6" t="s">
        <v>1081</v>
      </c>
      <c r="D216" s="6" t="s">
        <v>58</v>
      </c>
      <c r="E216" s="6">
        <v>25705.0</v>
      </c>
      <c r="F216" s="6" t="s">
        <v>59</v>
      </c>
      <c r="G216" s="8"/>
      <c r="H216" s="8"/>
      <c r="I216" s="8"/>
      <c r="J216" s="6" t="s">
        <v>1070</v>
      </c>
      <c r="K216" s="6" t="s">
        <v>32</v>
      </c>
    </row>
    <row r="217" ht="15.75" customHeight="1">
      <c r="A217" s="6" t="s">
        <v>1082</v>
      </c>
      <c r="B217" s="6" t="s">
        <v>1083</v>
      </c>
      <c r="C217" s="6" t="s">
        <v>1084</v>
      </c>
      <c r="D217" s="6" t="s">
        <v>1085</v>
      </c>
      <c r="E217" s="6">
        <v>25235.0</v>
      </c>
      <c r="F217" s="6" t="s">
        <v>189</v>
      </c>
      <c r="G217" s="8"/>
      <c r="H217" s="8"/>
      <c r="I217" s="8"/>
      <c r="J217" s="6" t="s">
        <v>1070</v>
      </c>
      <c r="K217" s="6" t="s">
        <v>32</v>
      </c>
    </row>
    <row r="218" ht="15.75" customHeight="1">
      <c r="A218" s="6" t="s">
        <v>1087</v>
      </c>
      <c r="B218" s="6" t="s">
        <v>1088</v>
      </c>
      <c r="C218" s="6" t="s">
        <v>1089</v>
      </c>
      <c r="D218" s="6" t="s">
        <v>673</v>
      </c>
      <c r="E218" s="6">
        <v>25113.0</v>
      </c>
      <c r="F218" s="6" t="s">
        <v>906</v>
      </c>
      <c r="G218" s="8"/>
      <c r="H218" s="8"/>
      <c r="I218" s="8"/>
      <c r="J218" s="6" t="s">
        <v>1070</v>
      </c>
      <c r="K218" s="6" t="s">
        <v>32</v>
      </c>
    </row>
    <row r="219" ht="15.75" customHeight="1">
      <c r="A219" s="6" t="s">
        <v>1090</v>
      </c>
      <c r="B219" s="6" t="s">
        <v>1091</v>
      </c>
      <c r="C219" s="6" t="s">
        <v>1093</v>
      </c>
      <c r="D219" s="6" t="s">
        <v>673</v>
      </c>
      <c r="E219" s="6">
        <v>25113.0</v>
      </c>
      <c r="F219" s="6" t="s">
        <v>906</v>
      </c>
      <c r="G219" s="8"/>
      <c r="H219" s="8"/>
      <c r="I219" s="8"/>
      <c r="J219" s="6" t="s">
        <v>1070</v>
      </c>
      <c r="K219" s="6" t="s">
        <v>32</v>
      </c>
    </row>
    <row r="220" ht="15.75" customHeight="1">
      <c r="A220" s="6" t="s">
        <v>1096</v>
      </c>
      <c r="B220" s="6" t="s">
        <v>1097</v>
      </c>
      <c r="C220" s="6" t="s">
        <v>1098</v>
      </c>
      <c r="D220" s="6" t="s">
        <v>737</v>
      </c>
      <c r="E220" s="6">
        <v>25136.0</v>
      </c>
      <c r="F220" s="6" t="s">
        <v>1099</v>
      </c>
      <c r="G220" s="8"/>
      <c r="H220" s="8"/>
      <c r="I220" s="8"/>
      <c r="J220" s="6" t="s">
        <v>1070</v>
      </c>
      <c r="K220" s="6" t="s">
        <v>32</v>
      </c>
    </row>
    <row r="221" ht="15.75" customHeight="1">
      <c r="A221" s="6" t="s">
        <v>1100</v>
      </c>
      <c r="B221" s="6" t="s">
        <v>1101</v>
      </c>
      <c r="C221" s="6" t="s">
        <v>1102</v>
      </c>
      <c r="D221" s="6" t="s">
        <v>533</v>
      </c>
      <c r="E221" s="6">
        <v>25003.0</v>
      </c>
      <c r="F221" s="6" t="s">
        <v>1103</v>
      </c>
      <c r="G221" s="8"/>
      <c r="H221" s="8"/>
      <c r="I221" s="8"/>
      <c r="J221" s="6" t="s">
        <v>1070</v>
      </c>
      <c r="K221" s="6" t="s">
        <v>32</v>
      </c>
    </row>
    <row r="222" ht="15.75" customHeight="1">
      <c r="A222" s="6" t="s">
        <v>1105</v>
      </c>
      <c r="B222" s="6" t="s">
        <v>1106</v>
      </c>
      <c r="C222" s="6" t="s">
        <v>1107</v>
      </c>
      <c r="D222" s="6" t="s">
        <v>351</v>
      </c>
      <c r="E222" s="6">
        <v>24844.0</v>
      </c>
      <c r="F222" s="6" t="s">
        <v>596</v>
      </c>
      <c r="G222" s="8"/>
      <c r="H222" s="8"/>
      <c r="I222" s="8"/>
      <c r="J222" s="6" t="s">
        <v>1070</v>
      </c>
      <c r="K222" s="6" t="s">
        <v>32</v>
      </c>
    </row>
    <row r="223" ht="15.75" customHeight="1">
      <c r="A223" s="6" t="s">
        <v>1108</v>
      </c>
      <c r="B223" s="6" t="s">
        <v>1109</v>
      </c>
      <c r="C223" s="6" t="s">
        <v>1110</v>
      </c>
      <c r="D223" s="6" t="s">
        <v>1111</v>
      </c>
      <c r="E223" s="6">
        <v>25123.0</v>
      </c>
      <c r="F223" s="6" t="s">
        <v>168</v>
      </c>
      <c r="G223" s="8"/>
      <c r="H223" s="8"/>
      <c r="I223" s="8"/>
      <c r="J223" s="6" t="s">
        <v>1070</v>
      </c>
      <c r="K223" s="6" t="s">
        <v>32</v>
      </c>
    </row>
    <row r="224" ht="15.75" customHeight="1">
      <c r="A224" s="6" t="s">
        <v>1114</v>
      </c>
      <c r="B224" s="6" t="s">
        <v>1115</v>
      </c>
      <c r="C224" s="6" t="s">
        <v>1116</v>
      </c>
      <c r="D224" s="6" t="s">
        <v>1117</v>
      </c>
      <c r="E224" s="6">
        <v>25512.0</v>
      </c>
      <c r="F224" s="6" t="s">
        <v>256</v>
      </c>
      <c r="G224" s="8"/>
      <c r="H224" s="8"/>
      <c r="I224" s="8"/>
      <c r="J224" s="6" t="s">
        <v>1070</v>
      </c>
      <c r="K224" s="6" t="s">
        <v>32</v>
      </c>
    </row>
    <row r="225" ht="15.75" customHeight="1">
      <c r="A225" s="6" t="s">
        <v>1119</v>
      </c>
      <c r="B225" s="6" t="s">
        <v>1120</v>
      </c>
      <c r="C225" s="6" t="s">
        <v>1121</v>
      </c>
      <c r="D225" s="6" t="s">
        <v>1122</v>
      </c>
      <c r="E225" s="6">
        <v>25514.0</v>
      </c>
      <c r="F225" s="6" t="s">
        <v>256</v>
      </c>
      <c r="G225" s="8"/>
      <c r="H225" s="8"/>
      <c r="I225" s="8"/>
      <c r="J225" s="6" t="s">
        <v>1070</v>
      </c>
      <c r="K225" s="6" t="s">
        <v>32</v>
      </c>
    </row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3" max="3" width="24.5"/>
    <col customWidth="1" min="4" max="4" width="20.63"/>
    <col customWidth="1" min="5" max="5" width="25.0"/>
    <col customWidth="1" min="6" max="6" width="19.5"/>
    <col customWidth="1" min="7" max="7" width="20.25"/>
    <col customWidth="1" min="8" max="8" width="19.0"/>
    <col customWidth="1" min="9" max="9" width="22.25"/>
    <col customWidth="1" min="10" max="10" width="25.5"/>
    <col customWidth="1" min="11" max="11" width="25.88"/>
    <col customWidth="1" min="12" max="12" width="32.88"/>
    <col customWidth="1" min="13" max="13" width="25.25"/>
    <col customWidth="1" min="14" max="14" width="26.38"/>
    <col customWidth="1" min="15" max="15" width="25.13"/>
    <col customWidth="1" min="16" max="16" width="29.0"/>
    <col customWidth="1" min="17" max="17" width="23.38"/>
    <col customWidth="1" min="18" max="18" width="31.88"/>
    <col customWidth="1" min="19" max="19" width="28.38"/>
    <col customWidth="1" min="20" max="20" width="29.63"/>
    <col customWidth="1" min="21" max="21" width="27.88"/>
    <col customWidth="1" min="22" max="22" width="19.25"/>
  </cols>
  <sheetData>
    <row r="1">
      <c r="A1" s="3" t="s">
        <v>0</v>
      </c>
      <c r="B1" s="3" t="s">
        <v>14</v>
      </c>
      <c r="C1" s="3" t="s">
        <v>1145</v>
      </c>
      <c r="D1" s="3" t="s">
        <v>1146</v>
      </c>
      <c r="E1" s="3" t="s">
        <v>1147</v>
      </c>
      <c r="F1" s="3" t="s">
        <v>1149</v>
      </c>
      <c r="G1" s="3" t="s">
        <v>1151</v>
      </c>
      <c r="H1" s="3" t="s">
        <v>1152</v>
      </c>
      <c r="I1" s="3" t="s">
        <v>1153</v>
      </c>
      <c r="J1" s="3" t="s">
        <v>1154</v>
      </c>
      <c r="K1" s="3" t="s">
        <v>1155</v>
      </c>
      <c r="L1" s="3" t="s">
        <v>1156</v>
      </c>
      <c r="M1" s="3" t="s">
        <v>1157</v>
      </c>
      <c r="N1" s="3" t="s">
        <v>1158</v>
      </c>
      <c r="O1" s="3" t="s">
        <v>93</v>
      </c>
      <c r="P1" s="3" t="s">
        <v>1159</v>
      </c>
      <c r="Q1" s="3" t="s">
        <v>1160</v>
      </c>
      <c r="R1" s="3" t="s">
        <v>1161</v>
      </c>
      <c r="S1" s="3" t="s">
        <v>1162</v>
      </c>
      <c r="T1" s="3" t="s">
        <v>1163</v>
      </c>
      <c r="U1" s="3" t="s">
        <v>1164</v>
      </c>
      <c r="V1" s="3" t="s">
        <v>104</v>
      </c>
    </row>
    <row r="2">
      <c r="A2" s="17">
        <v>29.0</v>
      </c>
      <c r="B2" s="17" t="s">
        <v>467</v>
      </c>
      <c r="C2" s="17">
        <v>213.0</v>
      </c>
      <c r="D2" s="17">
        <v>2.0</v>
      </c>
      <c r="E2" s="17">
        <v>0.0</v>
      </c>
      <c r="F2" s="17">
        <v>0.0</v>
      </c>
      <c r="G2" s="17">
        <v>0.0</v>
      </c>
      <c r="H2" s="17">
        <v>2.0</v>
      </c>
      <c r="I2" s="17">
        <v>0.0</v>
      </c>
      <c r="J2" s="17">
        <v>0.0</v>
      </c>
      <c r="K2" s="17">
        <v>2.0</v>
      </c>
      <c r="L2" s="17">
        <v>0.0</v>
      </c>
      <c r="M2" s="17">
        <v>106.5</v>
      </c>
      <c r="N2" s="17">
        <v>22.3</v>
      </c>
      <c r="O2" s="17">
        <v>4.0</v>
      </c>
      <c r="P2" s="17">
        <v>15.0</v>
      </c>
      <c r="Q2" s="17" t="s">
        <v>1167</v>
      </c>
      <c r="R2" s="17">
        <v>0.0</v>
      </c>
      <c r="S2" s="17">
        <v>0.0</v>
      </c>
      <c r="T2" s="17" t="s">
        <v>556</v>
      </c>
      <c r="U2" s="17" t="s">
        <v>1168</v>
      </c>
      <c r="V2" s="42"/>
    </row>
    <row r="3">
      <c r="A3" s="17">
        <v>4.0</v>
      </c>
      <c r="B3" s="17" t="s">
        <v>28</v>
      </c>
      <c r="C3" s="17">
        <v>1489.0</v>
      </c>
      <c r="D3" s="17">
        <v>11.0</v>
      </c>
      <c r="E3" s="17">
        <v>2.0</v>
      </c>
      <c r="F3" s="17">
        <v>2.0</v>
      </c>
      <c r="G3" s="17">
        <v>6.0</v>
      </c>
      <c r="H3" s="17">
        <v>0.0</v>
      </c>
      <c r="I3" s="17">
        <v>0.0</v>
      </c>
      <c r="J3" s="17">
        <v>1.0</v>
      </c>
      <c r="K3" s="17">
        <v>10.0</v>
      </c>
      <c r="L3" s="17">
        <v>1.0</v>
      </c>
      <c r="M3" s="17">
        <v>135.4</v>
      </c>
      <c r="N3" s="17">
        <v>30.5</v>
      </c>
      <c r="O3" s="17">
        <v>36.8</v>
      </c>
      <c r="P3" s="17">
        <v>33.0</v>
      </c>
      <c r="Q3" s="17" t="s">
        <v>1167</v>
      </c>
      <c r="R3" s="17">
        <v>0.0</v>
      </c>
      <c r="S3" s="17">
        <v>0.0</v>
      </c>
      <c r="T3" s="17" t="s">
        <v>556</v>
      </c>
      <c r="U3" s="17" t="s">
        <v>1168</v>
      </c>
      <c r="V3" s="42"/>
    </row>
    <row r="4">
      <c r="A4" s="17">
        <v>38.0</v>
      </c>
      <c r="B4" s="17" t="s">
        <v>288</v>
      </c>
      <c r="C4" s="17">
        <v>331.0</v>
      </c>
      <c r="D4" s="17">
        <v>4.0</v>
      </c>
      <c r="E4" s="17">
        <v>0.0</v>
      </c>
      <c r="F4" s="17">
        <v>1.0</v>
      </c>
      <c r="G4" s="17">
        <v>0.0</v>
      </c>
      <c r="H4" s="17">
        <v>1.0</v>
      </c>
      <c r="I4" s="17">
        <v>0.0</v>
      </c>
      <c r="J4" s="17">
        <v>2.0</v>
      </c>
      <c r="K4" s="17">
        <v>2.0</v>
      </c>
      <c r="L4" s="17">
        <v>2.0</v>
      </c>
      <c r="M4" s="17">
        <v>82.8</v>
      </c>
      <c r="N4" s="17">
        <v>15.6</v>
      </c>
      <c r="O4" s="17">
        <v>7.0</v>
      </c>
      <c r="P4" s="17">
        <v>12.1</v>
      </c>
      <c r="Q4" s="17" t="s">
        <v>1167</v>
      </c>
      <c r="R4" s="17">
        <v>0.0</v>
      </c>
      <c r="S4" s="17">
        <v>0.0</v>
      </c>
      <c r="T4" s="17" t="s">
        <v>556</v>
      </c>
      <c r="U4" s="17" t="s">
        <v>1168</v>
      </c>
      <c r="V4" s="42"/>
    </row>
    <row r="5">
      <c r="A5" s="17">
        <v>25.0</v>
      </c>
      <c r="B5" s="17" t="s">
        <v>48</v>
      </c>
      <c r="C5" s="17">
        <v>225.0</v>
      </c>
      <c r="D5" s="17">
        <v>2.0</v>
      </c>
      <c r="E5" s="17">
        <v>1.0</v>
      </c>
      <c r="F5" s="17">
        <v>0.0</v>
      </c>
      <c r="G5" s="17">
        <v>1.0</v>
      </c>
      <c r="H5" s="17">
        <v>0.0</v>
      </c>
      <c r="I5" s="17">
        <v>0.0</v>
      </c>
      <c r="J5" s="17">
        <v>0.0</v>
      </c>
      <c r="K5" s="17">
        <v>2.0</v>
      </c>
      <c r="L5" s="17">
        <v>0.0</v>
      </c>
      <c r="M5" s="17">
        <v>112.5</v>
      </c>
      <c r="N5" s="17">
        <v>24.0</v>
      </c>
      <c r="O5" s="17">
        <v>4.3</v>
      </c>
      <c r="P5" s="17">
        <v>16.1</v>
      </c>
      <c r="Q5" s="17" t="s">
        <v>1167</v>
      </c>
      <c r="R5" s="17">
        <v>0.0</v>
      </c>
      <c r="S5" s="17">
        <v>0.0</v>
      </c>
      <c r="T5" s="17" t="s">
        <v>556</v>
      </c>
      <c r="U5" s="17" t="s">
        <v>1168</v>
      </c>
      <c r="V5" s="42"/>
    </row>
    <row r="6">
      <c r="A6" s="17">
        <v>13.0</v>
      </c>
      <c r="B6" s="17" t="s">
        <v>293</v>
      </c>
      <c r="C6" s="17">
        <v>319.0</v>
      </c>
      <c r="D6" s="17">
        <v>2.0</v>
      </c>
      <c r="E6" s="17">
        <v>0.0</v>
      </c>
      <c r="F6" s="17">
        <v>1.0</v>
      </c>
      <c r="G6" s="17">
        <v>0.0</v>
      </c>
      <c r="H6" s="17">
        <v>1.0</v>
      </c>
      <c r="I6" s="17">
        <v>0.0</v>
      </c>
      <c r="J6" s="17">
        <v>0.0</v>
      </c>
      <c r="K6" s="17">
        <v>2.0</v>
      </c>
      <c r="L6" s="17">
        <v>0.0</v>
      </c>
      <c r="M6" s="17">
        <v>159.5</v>
      </c>
      <c r="N6" s="17">
        <v>37.4</v>
      </c>
      <c r="O6" s="17">
        <v>6.7</v>
      </c>
      <c r="P6" s="17">
        <v>25.1</v>
      </c>
      <c r="Q6" s="17" t="s">
        <v>1167</v>
      </c>
      <c r="R6" s="17">
        <v>0.0</v>
      </c>
      <c r="S6" s="17">
        <v>0.0</v>
      </c>
      <c r="T6" s="17" t="s">
        <v>556</v>
      </c>
      <c r="U6" s="17" t="s">
        <v>1168</v>
      </c>
      <c r="V6" s="42"/>
    </row>
    <row r="7">
      <c r="A7" s="17">
        <v>6.0</v>
      </c>
      <c r="B7" s="17" t="s">
        <v>59</v>
      </c>
      <c r="C7" s="17">
        <v>1456.0</v>
      </c>
      <c r="D7" s="17">
        <v>12.0</v>
      </c>
      <c r="E7" s="17">
        <v>2.0</v>
      </c>
      <c r="F7" s="17">
        <v>3.0</v>
      </c>
      <c r="G7" s="17">
        <v>1.0</v>
      </c>
      <c r="H7" s="17">
        <v>4.0</v>
      </c>
      <c r="I7" s="17">
        <v>1.0</v>
      </c>
      <c r="J7" s="17">
        <v>1.0</v>
      </c>
      <c r="K7" s="17">
        <v>10.0</v>
      </c>
      <c r="L7" s="17">
        <v>2.0</v>
      </c>
      <c r="M7" s="17">
        <v>121.3</v>
      </c>
      <c r="N7" s="17">
        <v>26.5</v>
      </c>
      <c r="O7" s="17">
        <v>35.9</v>
      </c>
      <c r="P7" s="17">
        <v>30.3</v>
      </c>
      <c r="Q7" s="17" t="s">
        <v>1167</v>
      </c>
      <c r="R7" s="17">
        <v>0.0</v>
      </c>
      <c r="S7" s="17">
        <v>0.0</v>
      </c>
      <c r="T7" s="17" t="s">
        <v>556</v>
      </c>
      <c r="U7" s="17" t="s">
        <v>1168</v>
      </c>
      <c r="V7" s="42"/>
    </row>
    <row r="8">
      <c r="A8" s="17">
        <v>50.0</v>
      </c>
      <c r="B8" s="17" t="s">
        <v>189</v>
      </c>
      <c r="C8" s="17">
        <v>125.0</v>
      </c>
      <c r="D8" s="17">
        <v>2.0</v>
      </c>
      <c r="E8" s="17">
        <v>0.0</v>
      </c>
      <c r="F8" s="17">
        <v>0.0</v>
      </c>
      <c r="G8" s="17">
        <v>0.0</v>
      </c>
      <c r="H8" s="17">
        <v>1.0</v>
      </c>
      <c r="I8" s="17">
        <v>0.0</v>
      </c>
      <c r="J8" s="17">
        <v>1.0</v>
      </c>
      <c r="K8" s="17">
        <v>1.0</v>
      </c>
      <c r="L8" s="17">
        <v>1.0</v>
      </c>
      <c r="M8" s="17">
        <v>62.5</v>
      </c>
      <c r="N8" s="17">
        <v>9.8</v>
      </c>
      <c r="O8" s="17">
        <v>1.7</v>
      </c>
      <c r="P8" s="17">
        <v>6.6</v>
      </c>
      <c r="Q8" s="17" t="s">
        <v>1167</v>
      </c>
      <c r="R8" s="17">
        <v>0.0</v>
      </c>
      <c r="S8" s="17">
        <v>0.0</v>
      </c>
      <c r="T8" s="17" t="s">
        <v>556</v>
      </c>
      <c r="U8" s="17" t="s">
        <v>1168</v>
      </c>
      <c r="V8" s="42"/>
    </row>
    <row r="9">
      <c r="A9" s="17">
        <v>52.0</v>
      </c>
      <c r="B9" s="17" t="s">
        <v>906</v>
      </c>
      <c r="C9" s="17">
        <v>191.0</v>
      </c>
      <c r="D9" s="17">
        <v>4.0</v>
      </c>
      <c r="E9" s="17">
        <v>0.0</v>
      </c>
      <c r="F9" s="17">
        <v>0.0</v>
      </c>
      <c r="G9" s="17">
        <v>0.0</v>
      </c>
      <c r="H9" s="17">
        <v>0.0</v>
      </c>
      <c r="I9" s="17">
        <v>2.0</v>
      </c>
      <c r="J9" s="17">
        <v>2.0</v>
      </c>
      <c r="K9" s="17">
        <v>0.0</v>
      </c>
      <c r="L9" s="17">
        <v>4.0</v>
      </c>
      <c r="M9" s="17">
        <v>47.8</v>
      </c>
      <c r="N9" s="17">
        <v>5.6</v>
      </c>
      <c r="O9" s="17">
        <v>3.4</v>
      </c>
      <c r="P9" s="17">
        <v>4.7</v>
      </c>
      <c r="Q9" s="17" t="s">
        <v>1167</v>
      </c>
      <c r="R9" s="17">
        <v>0.0</v>
      </c>
      <c r="S9" s="17">
        <v>0.0</v>
      </c>
      <c r="T9" s="17" t="s">
        <v>556</v>
      </c>
      <c r="U9" s="17" t="s">
        <v>1168</v>
      </c>
      <c r="V9" s="42"/>
    </row>
    <row r="10">
      <c r="A10" s="17">
        <v>51.0</v>
      </c>
      <c r="B10" s="17" t="s">
        <v>705</v>
      </c>
      <c r="C10" s="17">
        <v>59.0</v>
      </c>
      <c r="D10" s="17">
        <v>1.0</v>
      </c>
      <c r="E10" s="17">
        <v>0.0</v>
      </c>
      <c r="F10" s="17">
        <v>0.0</v>
      </c>
      <c r="G10" s="17">
        <v>0.0</v>
      </c>
      <c r="H10" s="17">
        <v>1.0</v>
      </c>
      <c r="I10" s="17">
        <v>0.0</v>
      </c>
      <c r="J10" s="17">
        <v>0.0</v>
      </c>
      <c r="K10" s="17">
        <v>1.0</v>
      </c>
      <c r="L10" s="17">
        <v>0.0</v>
      </c>
      <c r="M10" s="17">
        <v>59.0</v>
      </c>
      <c r="N10" s="17">
        <v>8.8</v>
      </c>
      <c r="O10" s="17">
        <v>0.0</v>
      </c>
      <c r="P10" s="17">
        <v>5.3</v>
      </c>
      <c r="Q10" s="17" t="s">
        <v>1167</v>
      </c>
      <c r="R10" s="17">
        <v>0.0</v>
      </c>
      <c r="S10" s="17">
        <v>0.0</v>
      </c>
      <c r="T10" s="17" t="s">
        <v>556</v>
      </c>
      <c r="U10" s="17" t="s">
        <v>1168</v>
      </c>
      <c r="V10" s="42"/>
    </row>
    <row r="11">
      <c r="A11" s="17">
        <v>9.0</v>
      </c>
      <c r="B11" s="17" t="s">
        <v>74</v>
      </c>
      <c r="C11" s="17">
        <v>725.0</v>
      </c>
      <c r="D11" s="17">
        <v>5.0</v>
      </c>
      <c r="E11" s="17">
        <v>1.0</v>
      </c>
      <c r="F11" s="17">
        <v>1.0</v>
      </c>
      <c r="G11" s="17">
        <v>2.0</v>
      </c>
      <c r="H11" s="17">
        <v>0.0</v>
      </c>
      <c r="I11" s="17">
        <v>1.0</v>
      </c>
      <c r="J11" s="17">
        <v>0.0</v>
      </c>
      <c r="K11" s="17">
        <v>4.0</v>
      </c>
      <c r="L11" s="17">
        <v>1.0</v>
      </c>
      <c r="M11" s="17">
        <v>145.0</v>
      </c>
      <c r="N11" s="17">
        <v>33.2</v>
      </c>
      <c r="O11" s="17">
        <v>17.1</v>
      </c>
      <c r="P11" s="17">
        <v>26.8</v>
      </c>
      <c r="Q11" s="17" t="s">
        <v>1167</v>
      </c>
      <c r="R11" s="17">
        <v>0.0</v>
      </c>
      <c r="S11" s="17">
        <v>0.0</v>
      </c>
      <c r="T11" s="17" t="s">
        <v>556</v>
      </c>
      <c r="U11" s="17" t="s">
        <v>1168</v>
      </c>
      <c r="V11" s="42"/>
    </row>
    <row r="12">
      <c r="A12" s="17">
        <v>33.0</v>
      </c>
      <c r="B12" s="17" t="s">
        <v>710</v>
      </c>
      <c r="C12" s="17">
        <v>106.0</v>
      </c>
      <c r="D12" s="17">
        <v>1.0</v>
      </c>
      <c r="E12" s="17">
        <v>0.0</v>
      </c>
      <c r="F12" s="17">
        <v>0.0</v>
      </c>
      <c r="G12" s="17">
        <v>0.0</v>
      </c>
      <c r="H12" s="17">
        <v>1.0</v>
      </c>
      <c r="I12" s="17">
        <v>0.0</v>
      </c>
      <c r="J12" s="17">
        <v>0.0</v>
      </c>
      <c r="K12" s="17">
        <v>1.0</v>
      </c>
      <c r="L12" s="17">
        <v>0.0</v>
      </c>
      <c r="M12" s="17">
        <v>106.0</v>
      </c>
      <c r="N12" s="17">
        <v>22.2</v>
      </c>
      <c r="O12" s="17">
        <v>1.2</v>
      </c>
      <c r="P12" s="17">
        <v>13.8</v>
      </c>
      <c r="Q12" s="17" t="s">
        <v>1167</v>
      </c>
      <c r="R12" s="17">
        <v>0.0</v>
      </c>
      <c r="S12" s="17">
        <v>0.0</v>
      </c>
      <c r="T12" s="17" t="s">
        <v>556</v>
      </c>
      <c r="U12" s="17" t="s">
        <v>1168</v>
      </c>
      <c r="V12" s="42"/>
    </row>
    <row r="13">
      <c r="A13" s="17">
        <v>5.0</v>
      </c>
      <c r="B13" s="17" t="s">
        <v>717</v>
      </c>
      <c r="C13" s="17">
        <v>207.0</v>
      </c>
      <c r="D13" s="17">
        <v>1.0</v>
      </c>
      <c r="E13" s="17">
        <v>0.0</v>
      </c>
      <c r="F13" s="17">
        <v>0.0</v>
      </c>
      <c r="G13" s="17">
        <v>0.0</v>
      </c>
      <c r="H13" s="17">
        <v>1.0</v>
      </c>
      <c r="I13" s="17">
        <v>0.0</v>
      </c>
      <c r="J13" s="17">
        <v>0.0</v>
      </c>
      <c r="K13" s="17">
        <v>1.0</v>
      </c>
      <c r="L13" s="17">
        <v>0.0</v>
      </c>
      <c r="M13" s="17">
        <v>207.0</v>
      </c>
      <c r="N13" s="17">
        <v>50.9</v>
      </c>
      <c r="O13" s="17">
        <v>3.8</v>
      </c>
      <c r="P13" s="17">
        <v>32.0</v>
      </c>
      <c r="Q13" s="17" t="s">
        <v>1167</v>
      </c>
      <c r="R13" s="17">
        <v>0.0</v>
      </c>
      <c r="S13" s="17">
        <v>0.0</v>
      </c>
      <c r="T13" s="17" t="s">
        <v>556</v>
      </c>
      <c r="U13" s="17" t="s">
        <v>1168</v>
      </c>
      <c r="V13" s="42"/>
    </row>
    <row r="14">
      <c r="A14" s="17">
        <v>20.0</v>
      </c>
      <c r="B14" s="17" t="s">
        <v>82</v>
      </c>
      <c r="C14" s="17">
        <v>571.0</v>
      </c>
      <c r="D14" s="17">
        <v>5.0</v>
      </c>
      <c r="E14" s="17">
        <v>1.0</v>
      </c>
      <c r="F14" s="17">
        <v>3.0</v>
      </c>
      <c r="G14" s="17">
        <v>0.0</v>
      </c>
      <c r="H14" s="17">
        <v>1.0</v>
      </c>
      <c r="I14" s="17">
        <v>0.0</v>
      </c>
      <c r="J14" s="17">
        <v>0.0</v>
      </c>
      <c r="K14" s="17">
        <v>5.0</v>
      </c>
      <c r="L14" s="17">
        <v>0.0</v>
      </c>
      <c r="M14" s="17">
        <v>114.2</v>
      </c>
      <c r="N14" s="17">
        <v>24.5</v>
      </c>
      <c r="O14" s="17">
        <v>13.2</v>
      </c>
      <c r="P14" s="17">
        <v>20.0</v>
      </c>
      <c r="Q14" s="17" t="s">
        <v>1167</v>
      </c>
      <c r="R14" s="17">
        <v>0.0</v>
      </c>
      <c r="S14" s="17">
        <v>0.0</v>
      </c>
      <c r="T14" s="17" t="s">
        <v>556</v>
      </c>
      <c r="U14" s="17" t="s">
        <v>1168</v>
      </c>
      <c r="V14" s="42"/>
    </row>
    <row r="15">
      <c r="A15" s="17">
        <v>3.0</v>
      </c>
      <c r="B15" s="17" t="s">
        <v>273</v>
      </c>
      <c r="C15" s="17">
        <v>353.0</v>
      </c>
      <c r="D15" s="17">
        <v>1.0</v>
      </c>
      <c r="E15" s="17">
        <v>0.0</v>
      </c>
      <c r="F15" s="17">
        <v>1.0</v>
      </c>
      <c r="G15" s="17">
        <v>0.0</v>
      </c>
      <c r="H15" s="17">
        <v>0.0</v>
      </c>
      <c r="I15" s="17">
        <v>0.0</v>
      </c>
      <c r="J15" s="17">
        <v>0.0</v>
      </c>
      <c r="K15" s="17">
        <v>1.0</v>
      </c>
      <c r="L15" s="17">
        <v>0.0</v>
      </c>
      <c r="M15" s="17">
        <v>353.0</v>
      </c>
      <c r="N15" s="17">
        <v>92.3</v>
      </c>
      <c r="O15" s="17">
        <v>7.6</v>
      </c>
      <c r="P15" s="17">
        <v>58.4</v>
      </c>
      <c r="Q15" s="17" t="s">
        <v>1188</v>
      </c>
      <c r="R15" s="17">
        <v>0.0</v>
      </c>
      <c r="S15" s="17">
        <v>0.0</v>
      </c>
      <c r="T15" s="17" t="s">
        <v>556</v>
      </c>
      <c r="U15" s="17" t="s">
        <v>1168</v>
      </c>
      <c r="V15" s="42"/>
    </row>
    <row r="16">
      <c r="A16" s="17">
        <v>11.0</v>
      </c>
      <c r="B16" s="17" t="s">
        <v>921</v>
      </c>
      <c r="C16" s="17">
        <v>325.0</v>
      </c>
      <c r="D16" s="17">
        <v>2.0</v>
      </c>
      <c r="E16" s="17">
        <v>0.0</v>
      </c>
      <c r="F16" s="17">
        <v>0.0</v>
      </c>
      <c r="G16" s="17">
        <v>0.0</v>
      </c>
      <c r="H16" s="17">
        <v>0.0</v>
      </c>
      <c r="I16" s="17">
        <v>2.0</v>
      </c>
      <c r="J16" s="17">
        <v>0.0</v>
      </c>
      <c r="K16" s="17">
        <v>0.0</v>
      </c>
      <c r="L16" s="17">
        <v>2.0</v>
      </c>
      <c r="M16" s="17">
        <v>162.5</v>
      </c>
      <c r="N16" s="17">
        <v>38.2</v>
      </c>
      <c r="O16" s="17">
        <v>6.8</v>
      </c>
      <c r="P16" s="17">
        <v>25.7</v>
      </c>
      <c r="Q16" s="17" t="s">
        <v>1167</v>
      </c>
      <c r="R16" s="17">
        <v>0.0</v>
      </c>
      <c r="S16" s="17">
        <v>0.0</v>
      </c>
      <c r="T16" s="17" t="s">
        <v>556</v>
      </c>
      <c r="U16" s="17" t="s">
        <v>1168</v>
      </c>
      <c r="V16" s="42"/>
    </row>
    <row r="17">
      <c r="A17" s="17">
        <v>32.0</v>
      </c>
      <c r="B17" s="17" t="s">
        <v>90</v>
      </c>
      <c r="C17" s="17">
        <v>290.0</v>
      </c>
      <c r="D17" s="17">
        <v>3.0</v>
      </c>
      <c r="E17" s="17">
        <v>1.0</v>
      </c>
      <c r="F17" s="17">
        <v>1.0</v>
      </c>
      <c r="G17" s="17">
        <v>0.0</v>
      </c>
      <c r="H17" s="17">
        <v>0.0</v>
      </c>
      <c r="I17" s="17">
        <v>1.0</v>
      </c>
      <c r="J17" s="17">
        <v>0.0</v>
      </c>
      <c r="K17" s="17">
        <v>2.0</v>
      </c>
      <c r="L17" s="17">
        <v>1.0</v>
      </c>
      <c r="M17" s="17">
        <v>96.7</v>
      </c>
      <c r="N17" s="17">
        <v>19.5</v>
      </c>
      <c r="O17" s="17">
        <v>5.9</v>
      </c>
      <c r="P17" s="17">
        <v>14.1</v>
      </c>
      <c r="Q17" s="17" t="s">
        <v>1167</v>
      </c>
      <c r="R17" s="17">
        <v>0.0</v>
      </c>
      <c r="S17" s="17">
        <v>0.0</v>
      </c>
      <c r="T17" s="17" t="s">
        <v>556</v>
      </c>
      <c r="U17" s="17" t="s">
        <v>1168</v>
      </c>
      <c r="V17" s="42"/>
    </row>
    <row r="18">
      <c r="A18" s="17">
        <v>12.0</v>
      </c>
      <c r="B18" s="17" t="s">
        <v>101</v>
      </c>
      <c r="C18" s="17">
        <v>980.0</v>
      </c>
      <c r="D18" s="17">
        <v>8.0</v>
      </c>
      <c r="E18" s="17">
        <v>1.0</v>
      </c>
      <c r="F18" s="17">
        <v>3.0</v>
      </c>
      <c r="G18" s="17">
        <v>3.0</v>
      </c>
      <c r="H18" s="17">
        <v>1.0</v>
      </c>
      <c r="I18" s="17">
        <v>0.0</v>
      </c>
      <c r="J18" s="17">
        <v>0.0</v>
      </c>
      <c r="K18" s="17">
        <v>8.0</v>
      </c>
      <c r="L18" s="17">
        <v>0.0</v>
      </c>
      <c r="M18" s="17">
        <v>122.5</v>
      </c>
      <c r="N18" s="17">
        <v>26.8</v>
      </c>
      <c r="O18" s="17">
        <v>23.7</v>
      </c>
      <c r="P18" s="17">
        <v>25.6</v>
      </c>
      <c r="Q18" s="17" t="s">
        <v>1167</v>
      </c>
      <c r="R18" s="17">
        <v>0.0</v>
      </c>
      <c r="S18" s="17">
        <v>0.0</v>
      </c>
      <c r="T18" s="17" t="s">
        <v>556</v>
      </c>
      <c r="U18" s="17" t="s">
        <v>1168</v>
      </c>
      <c r="V18" s="42"/>
    </row>
    <row r="19">
      <c r="A19" s="17">
        <v>24.0</v>
      </c>
      <c r="B19" s="17" t="s">
        <v>111</v>
      </c>
      <c r="C19" s="17">
        <v>407.0</v>
      </c>
      <c r="D19" s="17">
        <v>4.0</v>
      </c>
      <c r="E19" s="17">
        <v>2.0</v>
      </c>
      <c r="F19" s="17">
        <v>1.0</v>
      </c>
      <c r="G19" s="17">
        <v>0.0</v>
      </c>
      <c r="H19" s="17">
        <v>1.0</v>
      </c>
      <c r="I19" s="17">
        <v>0.0</v>
      </c>
      <c r="J19" s="17">
        <v>0.0</v>
      </c>
      <c r="K19" s="17">
        <v>4.0</v>
      </c>
      <c r="L19" s="17">
        <v>0.0</v>
      </c>
      <c r="M19" s="17">
        <v>101.8</v>
      </c>
      <c r="N19" s="17">
        <v>21.0</v>
      </c>
      <c r="O19" s="17">
        <v>9.0</v>
      </c>
      <c r="P19" s="17">
        <v>16.2</v>
      </c>
      <c r="Q19" s="17" t="s">
        <v>1167</v>
      </c>
      <c r="R19" s="17">
        <v>0.0</v>
      </c>
      <c r="S19" s="17">
        <v>0.0</v>
      </c>
      <c r="T19" s="17" t="s">
        <v>556</v>
      </c>
      <c r="U19" s="17" t="s">
        <v>1168</v>
      </c>
      <c r="V19" s="42"/>
    </row>
    <row r="20">
      <c r="A20" s="17">
        <v>35.0</v>
      </c>
      <c r="B20" s="17" t="s">
        <v>123</v>
      </c>
      <c r="C20" s="17">
        <v>479.0</v>
      </c>
      <c r="D20" s="17">
        <v>6.0</v>
      </c>
      <c r="E20" s="17">
        <v>1.0</v>
      </c>
      <c r="F20" s="17">
        <v>2.0</v>
      </c>
      <c r="G20" s="17">
        <v>3.0</v>
      </c>
      <c r="H20" s="17">
        <v>0.0</v>
      </c>
      <c r="I20" s="17">
        <v>0.0</v>
      </c>
      <c r="J20" s="17">
        <v>0.0</v>
      </c>
      <c r="K20" s="17">
        <v>6.0</v>
      </c>
      <c r="L20" s="17">
        <v>0.0</v>
      </c>
      <c r="M20" s="17">
        <v>79.8</v>
      </c>
      <c r="N20" s="17">
        <v>14.7</v>
      </c>
      <c r="O20" s="17">
        <v>10.8</v>
      </c>
      <c r="P20" s="17">
        <v>13.2</v>
      </c>
      <c r="Q20" s="17" t="s">
        <v>1167</v>
      </c>
      <c r="R20" s="17">
        <v>0.0</v>
      </c>
      <c r="S20" s="17">
        <v>0.0</v>
      </c>
      <c r="T20" s="17" t="s">
        <v>556</v>
      </c>
      <c r="U20" s="17" t="s">
        <v>1168</v>
      </c>
      <c r="V20" s="42"/>
    </row>
    <row r="21">
      <c r="A21" s="17">
        <v>1.0</v>
      </c>
      <c r="B21" s="17" t="s">
        <v>128</v>
      </c>
      <c r="C21" s="17">
        <v>3946.0</v>
      </c>
      <c r="D21" s="17">
        <v>21.0</v>
      </c>
      <c r="E21" s="17">
        <v>4.0</v>
      </c>
      <c r="F21" s="17">
        <v>7.0</v>
      </c>
      <c r="G21" s="17">
        <v>1.0</v>
      </c>
      <c r="H21" s="17">
        <v>5.0</v>
      </c>
      <c r="I21" s="17">
        <v>4.0</v>
      </c>
      <c r="J21" s="17">
        <v>0.0</v>
      </c>
      <c r="K21" s="17">
        <v>17.0</v>
      </c>
      <c r="L21" s="17">
        <v>4.0</v>
      </c>
      <c r="M21" s="17">
        <v>187.9</v>
      </c>
      <c r="N21" s="17">
        <v>45.4</v>
      </c>
      <c r="O21" s="17">
        <v>100.0</v>
      </c>
      <c r="P21" s="17">
        <v>67.3</v>
      </c>
      <c r="Q21" s="17" t="s">
        <v>1195</v>
      </c>
      <c r="R21" s="17">
        <v>0.0</v>
      </c>
      <c r="S21" s="17">
        <v>0.0</v>
      </c>
      <c r="T21" s="17" t="s">
        <v>556</v>
      </c>
      <c r="U21" s="17" t="s">
        <v>1168</v>
      </c>
      <c r="V21" s="42"/>
    </row>
    <row r="22">
      <c r="A22" s="17">
        <v>15.0</v>
      </c>
      <c r="B22" s="17" t="s">
        <v>147</v>
      </c>
      <c r="C22" s="17">
        <v>298.0</v>
      </c>
      <c r="D22" s="17">
        <v>2.0</v>
      </c>
      <c r="E22" s="17">
        <v>1.0</v>
      </c>
      <c r="F22" s="17">
        <v>0.0</v>
      </c>
      <c r="G22" s="17">
        <v>0.0</v>
      </c>
      <c r="H22" s="17">
        <v>1.0</v>
      </c>
      <c r="I22" s="17">
        <v>0.0</v>
      </c>
      <c r="J22" s="17">
        <v>0.0</v>
      </c>
      <c r="K22" s="17">
        <v>2.0</v>
      </c>
      <c r="L22" s="17">
        <v>0.0</v>
      </c>
      <c r="M22" s="17">
        <v>149.0</v>
      </c>
      <c r="N22" s="17">
        <v>34.4</v>
      </c>
      <c r="O22" s="17">
        <v>6.1</v>
      </c>
      <c r="P22" s="17">
        <v>23.1</v>
      </c>
      <c r="Q22" s="17" t="s">
        <v>1167</v>
      </c>
      <c r="R22" s="17">
        <v>0.0</v>
      </c>
      <c r="S22" s="17">
        <v>0.0</v>
      </c>
      <c r="T22" s="17" t="s">
        <v>556</v>
      </c>
      <c r="U22" s="17" t="s">
        <v>1168</v>
      </c>
      <c r="V22" s="42"/>
    </row>
    <row r="23">
      <c r="A23" s="17">
        <v>46.0</v>
      </c>
      <c r="B23" s="17" t="s">
        <v>585</v>
      </c>
      <c r="C23" s="17">
        <v>273.0</v>
      </c>
      <c r="D23" s="17">
        <v>4.0</v>
      </c>
      <c r="E23" s="17">
        <v>0.0</v>
      </c>
      <c r="F23" s="17">
        <v>0.0</v>
      </c>
      <c r="G23" s="17">
        <v>1.0</v>
      </c>
      <c r="H23" s="17">
        <v>2.0</v>
      </c>
      <c r="I23" s="17">
        <v>1.0</v>
      </c>
      <c r="J23" s="17">
        <v>0.0</v>
      </c>
      <c r="K23" s="17">
        <v>3.0</v>
      </c>
      <c r="L23" s="17">
        <v>1.0</v>
      </c>
      <c r="M23" s="17">
        <v>68.3</v>
      </c>
      <c r="N23" s="17">
        <v>11.4</v>
      </c>
      <c r="O23" s="17">
        <v>5.5</v>
      </c>
      <c r="P23" s="17">
        <v>9.1</v>
      </c>
      <c r="Q23" s="17" t="s">
        <v>1167</v>
      </c>
      <c r="R23" s="17">
        <v>0.0</v>
      </c>
      <c r="S23" s="17">
        <v>0.0</v>
      </c>
      <c r="T23" s="17" t="s">
        <v>556</v>
      </c>
      <c r="U23" s="17" t="s">
        <v>1168</v>
      </c>
      <c r="V23" s="42"/>
    </row>
    <row r="24">
      <c r="A24" s="17">
        <v>17.0</v>
      </c>
      <c r="B24" s="17" t="s">
        <v>153</v>
      </c>
      <c r="C24" s="17">
        <v>520.0</v>
      </c>
      <c r="D24" s="17">
        <v>4.0</v>
      </c>
      <c r="E24" s="17">
        <v>1.0</v>
      </c>
      <c r="F24" s="17">
        <v>1.0</v>
      </c>
      <c r="G24" s="17">
        <v>0.0</v>
      </c>
      <c r="H24" s="17">
        <v>0.0</v>
      </c>
      <c r="I24" s="17">
        <v>2.0</v>
      </c>
      <c r="J24" s="17">
        <v>0.0</v>
      </c>
      <c r="K24" s="17">
        <v>2.0</v>
      </c>
      <c r="L24" s="17">
        <v>2.0</v>
      </c>
      <c r="M24" s="17">
        <v>130.0</v>
      </c>
      <c r="N24" s="17">
        <v>29.0</v>
      </c>
      <c r="O24" s="17">
        <v>11.9</v>
      </c>
      <c r="P24" s="17">
        <v>22.1</v>
      </c>
      <c r="Q24" s="17" t="s">
        <v>1167</v>
      </c>
      <c r="R24" s="17">
        <v>0.0</v>
      </c>
      <c r="S24" s="17">
        <v>0.0</v>
      </c>
      <c r="T24" s="17" t="s">
        <v>556</v>
      </c>
      <c r="U24" s="17" t="s">
        <v>1168</v>
      </c>
      <c r="V24" s="42"/>
    </row>
    <row r="25">
      <c r="A25" s="17">
        <v>14.0</v>
      </c>
      <c r="B25" s="17" t="s">
        <v>159</v>
      </c>
      <c r="C25" s="17">
        <v>750.0</v>
      </c>
      <c r="D25" s="17">
        <v>6.0</v>
      </c>
      <c r="E25" s="17">
        <v>1.0</v>
      </c>
      <c r="F25" s="17">
        <v>1.0</v>
      </c>
      <c r="G25" s="17">
        <v>4.0</v>
      </c>
      <c r="H25" s="17">
        <v>0.0</v>
      </c>
      <c r="I25" s="17">
        <v>0.0</v>
      </c>
      <c r="J25" s="17">
        <v>0.0</v>
      </c>
      <c r="K25" s="17">
        <v>6.0</v>
      </c>
      <c r="L25" s="17">
        <v>0.0</v>
      </c>
      <c r="M25" s="17">
        <v>125.0</v>
      </c>
      <c r="N25" s="17">
        <v>27.6</v>
      </c>
      <c r="O25" s="17">
        <v>17.8</v>
      </c>
      <c r="P25" s="17">
        <v>23.6</v>
      </c>
      <c r="Q25" s="17" t="s">
        <v>1167</v>
      </c>
      <c r="R25" s="17">
        <v>0.0</v>
      </c>
      <c r="S25" s="17">
        <v>0.0</v>
      </c>
      <c r="T25" s="17" t="s">
        <v>556</v>
      </c>
      <c r="U25" s="17" t="s">
        <v>1168</v>
      </c>
      <c r="V25" s="42"/>
    </row>
    <row r="26">
      <c r="A26" s="17">
        <v>8.0</v>
      </c>
      <c r="B26" s="17" t="s">
        <v>164</v>
      </c>
      <c r="C26" s="17">
        <v>338.0</v>
      </c>
      <c r="D26" s="17">
        <v>2.0</v>
      </c>
      <c r="E26" s="17">
        <v>1.0</v>
      </c>
      <c r="F26" s="17">
        <v>1.0</v>
      </c>
      <c r="G26" s="17">
        <v>0.0</v>
      </c>
      <c r="H26" s="17">
        <v>0.0</v>
      </c>
      <c r="I26" s="17">
        <v>0.0</v>
      </c>
      <c r="J26" s="17">
        <v>0.0</v>
      </c>
      <c r="K26" s="17">
        <v>2.0</v>
      </c>
      <c r="L26" s="17">
        <v>0.0</v>
      </c>
      <c r="M26" s="17">
        <v>169.0</v>
      </c>
      <c r="N26" s="17">
        <v>40.1</v>
      </c>
      <c r="O26" s="17">
        <v>7.2</v>
      </c>
      <c r="P26" s="17">
        <v>26.9</v>
      </c>
      <c r="Q26" s="17" t="s">
        <v>1167</v>
      </c>
      <c r="R26" s="17">
        <v>0.0</v>
      </c>
      <c r="S26" s="17">
        <v>0.0</v>
      </c>
      <c r="T26" s="17" t="s">
        <v>556</v>
      </c>
      <c r="U26" s="17" t="s">
        <v>1168</v>
      </c>
      <c r="V26" s="42"/>
    </row>
    <row r="27">
      <c r="A27" s="17">
        <v>27.0</v>
      </c>
      <c r="B27" s="17" t="s">
        <v>168</v>
      </c>
      <c r="C27" s="17">
        <v>316.0</v>
      </c>
      <c r="D27" s="17">
        <v>3.0</v>
      </c>
      <c r="E27" s="17">
        <v>1.0</v>
      </c>
      <c r="F27" s="17">
        <v>0.0</v>
      </c>
      <c r="G27" s="17">
        <v>0.0</v>
      </c>
      <c r="H27" s="17">
        <v>1.0</v>
      </c>
      <c r="I27" s="17">
        <v>0.0</v>
      </c>
      <c r="J27" s="17">
        <v>1.0</v>
      </c>
      <c r="K27" s="17">
        <v>2.0</v>
      </c>
      <c r="L27" s="17">
        <v>1.0</v>
      </c>
      <c r="M27" s="17">
        <v>105.3</v>
      </c>
      <c r="N27" s="17">
        <v>22.0</v>
      </c>
      <c r="O27" s="17">
        <v>6.6</v>
      </c>
      <c r="P27" s="17">
        <v>15.8</v>
      </c>
      <c r="Q27" s="17" t="s">
        <v>1167</v>
      </c>
      <c r="R27" s="17">
        <v>0.0</v>
      </c>
      <c r="S27" s="17">
        <v>0.0</v>
      </c>
      <c r="T27" s="17" t="s">
        <v>556</v>
      </c>
      <c r="U27" s="17" t="s">
        <v>1168</v>
      </c>
      <c r="V27" s="42"/>
    </row>
    <row r="28">
      <c r="A28" s="17">
        <v>47.0</v>
      </c>
      <c r="B28" s="17" t="s">
        <v>596</v>
      </c>
      <c r="C28" s="17">
        <v>316.0</v>
      </c>
      <c r="D28" s="17">
        <v>5.0</v>
      </c>
      <c r="E28" s="17">
        <v>0.0</v>
      </c>
      <c r="F28" s="17">
        <v>0.0</v>
      </c>
      <c r="G28" s="17">
        <v>1.0</v>
      </c>
      <c r="H28" s="17">
        <v>1.0</v>
      </c>
      <c r="I28" s="17">
        <v>2.0</v>
      </c>
      <c r="J28" s="17">
        <v>1.0</v>
      </c>
      <c r="K28" s="17">
        <v>2.0</v>
      </c>
      <c r="L28" s="17">
        <v>3.0</v>
      </c>
      <c r="M28" s="17">
        <v>63.2</v>
      </c>
      <c r="N28" s="17">
        <v>10.0</v>
      </c>
      <c r="O28" s="17">
        <v>6.6</v>
      </c>
      <c r="P28" s="17">
        <v>8.6</v>
      </c>
      <c r="Q28" s="17" t="s">
        <v>1167</v>
      </c>
      <c r="R28" s="17">
        <v>0.0</v>
      </c>
      <c r="S28" s="17">
        <v>0.0</v>
      </c>
      <c r="T28" s="17" t="s">
        <v>556</v>
      </c>
      <c r="U28" s="17" t="s">
        <v>1168</v>
      </c>
      <c r="V28" s="42"/>
    </row>
    <row r="29">
      <c r="A29" s="17">
        <v>10.0</v>
      </c>
      <c r="B29" s="17" t="s">
        <v>175</v>
      </c>
      <c r="C29" s="17">
        <v>995.0</v>
      </c>
      <c r="D29" s="17">
        <v>8.0</v>
      </c>
      <c r="E29" s="17">
        <v>1.0</v>
      </c>
      <c r="F29" s="17">
        <v>1.0</v>
      </c>
      <c r="G29" s="17">
        <v>6.0</v>
      </c>
      <c r="H29" s="17">
        <v>0.0</v>
      </c>
      <c r="I29" s="17">
        <v>0.0</v>
      </c>
      <c r="J29" s="17">
        <v>0.0</v>
      </c>
      <c r="K29" s="17">
        <v>8.0</v>
      </c>
      <c r="L29" s="17">
        <v>0.0</v>
      </c>
      <c r="M29" s="17">
        <v>124.4</v>
      </c>
      <c r="N29" s="17">
        <v>27.4</v>
      </c>
      <c r="O29" s="17">
        <v>24.1</v>
      </c>
      <c r="P29" s="17">
        <v>26.1</v>
      </c>
      <c r="Q29" s="17" t="s">
        <v>1167</v>
      </c>
      <c r="R29" s="17">
        <v>0.0</v>
      </c>
      <c r="S29" s="17">
        <v>0.0</v>
      </c>
      <c r="T29" s="17" t="s">
        <v>556</v>
      </c>
      <c r="U29" s="17" t="s">
        <v>1168</v>
      </c>
      <c r="V29" s="42"/>
    </row>
    <row r="30">
      <c r="A30" s="17">
        <v>19.0</v>
      </c>
      <c r="B30" s="17" t="s">
        <v>181</v>
      </c>
      <c r="C30" s="17">
        <v>392.0</v>
      </c>
      <c r="D30" s="17">
        <v>3.0</v>
      </c>
      <c r="E30" s="17">
        <v>1.0</v>
      </c>
      <c r="F30" s="17">
        <v>0.0</v>
      </c>
      <c r="G30" s="17">
        <v>2.0</v>
      </c>
      <c r="H30" s="17">
        <v>0.0</v>
      </c>
      <c r="I30" s="17">
        <v>0.0</v>
      </c>
      <c r="J30" s="17">
        <v>0.0</v>
      </c>
      <c r="K30" s="17">
        <v>3.0</v>
      </c>
      <c r="L30" s="17">
        <v>0.0</v>
      </c>
      <c r="M30" s="17">
        <v>130.7</v>
      </c>
      <c r="N30" s="17">
        <v>29.2</v>
      </c>
      <c r="O30" s="17">
        <v>8.6</v>
      </c>
      <c r="P30" s="17">
        <v>20.9</v>
      </c>
      <c r="Q30" s="17" t="s">
        <v>1167</v>
      </c>
      <c r="R30" s="17">
        <v>0.0</v>
      </c>
      <c r="S30" s="17">
        <v>0.0</v>
      </c>
      <c r="T30" s="17" t="s">
        <v>556</v>
      </c>
      <c r="U30" s="17" t="s">
        <v>1168</v>
      </c>
      <c r="V30" s="42"/>
    </row>
    <row r="31">
      <c r="A31" s="17">
        <v>2.0</v>
      </c>
      <c r="B31" s="17" t="s">
        <v>978</v>
      </c>
      <c r="C31" s="17">
        <v>380.0</v>
      </c>
      <c r="D31" s="17">
        <v>1.0</v>
      </c>
      <c r="E31" s="17">
        <v>0.0</v>
      </c>
      <c r="F31" s="17">
        <v>0.0</v>
      </c>
      <c r="G31" s="17">
        <v>0.0</v>
      </c>
      <c r="H31" s="17">
        <v>0.0</v>
      </c>
      <c r="I31" s="17">
        <v>1.0</v>
      </c>
      <c r="J31" s="17">
        <v>0.0</v>
      </c>
      <c r="K31" s="17">
        <v>0.0</v>
      </c>
      <c r="L31" s="17">
        <v>1.0</v>
      </c>
      <c r="M31" s="17">
        <v>380.0</v>
      </c>
      <c r="N31" s="17">
        <v>100.0</v>
      </c>
      <c r="O31" s="17">
        <v>8.3</v>
      </c>
      <c r="P31" s="17">
        <v>63.3</v>
      </c>
      <c r="Q31" s="17" t="s">
        <v>1195</v>
      </c>
      <c r="R31" s="17">
        <v>0.0</v>
      </c>
      <c r="S31" s="17">
        <v>0.0</v>
      </c>
      <c r="T31" s="17" t="s">
        <v>556</v>
      </c>
      <c r="U31" s="17" t="s">
        <v>1168</v>
      </c>
      <c r="V31" s="42"/>
    </row>
    <row r="32">
      <c r="A32" s="17">
        <v>41.0</v>
      </c>
      <c r="B32" s="17" t="s">
        <v>169</v>
      </c>
      <c r="C32" s="17">
        <v>507.0</v>
      </c>
      <c r="D32" s="17">
        <v>8.0</v>
      </c>
      <c r="E32" s="17">
        <v>2.0</v>
      </c>
      <c r="F32" s="17">
        <v>3.0</v>
      </c>
      <c r="G32" s="17">
        <v>3.0</v>
      </c>
      <c r="H32" s="17">
        <v>0.0</v>
      </c>
      <c r="I32" s="17">
        <v>0.0</v>
      </c>
      <c r="J32" s="17">
        <v>0.0</v>
      </c>
      <c r="K32" s="17">
        <v>8.0</v>
      </c>
      <c r="L32" s="17">
        <v>0.0</v>
      </c>
      <c r="M32" s="17">
        <v>63.4</v>
      </c>
      <c r="N32" s="17">
        <v>10.0</v>
      </c>
      <c r="O32" s="17">
        <v>11.5</v>
      </c>
      <c r="P32" s="17">
        <v>10.6</v>
      </c>
      <c r="Q32" s="17" t="s">
        <v>1167</v>
      </c>
      <c r="R32" s="17">
        <v>0.0</v>
      </c>
      <c r="S32" s="17">
        <v>0.0</v>
      </c>
      <c r="T32" s="17" t="s">
        <v>556</v>
      </c>
      <c r="U32" s="17" t="s">
        <v>1168</v>
      </c>
      <c r="V32" s="42"/>
    </row>
    <row r="33">
      <c r="A33" s="17">
        <v>42.0</v>
      </c>
      <c r="B33" s="17" t="s">
        <v>982</v>
      </c>
      <c r="C33" s="17">
        <v>165.0</v>
      </c>
      <c r="D33" s="17">
        <v>2.0</v>
      </c>
      <c r="E33" s="17">
        <v>0.0</v>
      </c>
      <c r="F33" s="17">
        <v>0.0</v>
      </c>
      <c r="G33" s="17">
        <v>0.0</v>
      </c>
      <c r="H33" s="17">
        <v>0.0</v>
      </c>
      <c r="I33" s="17">
        <v>2.0</v>
      </c>
      <c r="J33" s="17">
        <v>0.0</v>
      </c>
      <c r="K33" s="17">
        <v>0.0</v>
      </c>
      <c r="L33" s="17">
        <v>2.0</v>
      </c>
      <c r="M33" s="17">
        <v>82.5</v>
      </c>
      <c r="N33" s="17">
        <v>15.5</v>
      </c>
      <c r="O33" s="17">
        <v>2.7</v>
      </c>
      <c r="P33" s="17">
        <v>10.4</v>
      </c>
      <c r="Q33" s="17" t="s">
        <v>1167</v>
      </c>
      <c r="R33" s="17">
        <v>0.0</v>
      </c>
      <c r="S33" s="17">
        <v>0.0</v>
      </c>
      <c r="T33" s="17" t="s">
        <v>556</v>
      </c>
      <c r="U33" s="17" t="s">
        <v>1168</v>
      </c>
      <c r="V33" s="42"/>
    </row>
    <row r="34">
      <c r="A34" s="17">
        <v>7.0</v>
      </c>
      <c r="B34" s="17" t="s">
        <v>433</v>
      </c>
      <c r="C34" s="17">
        <v>185.0</v>
      </c>
      <c r="D34" s="17">
        <v>1.0</v>
      </c>
      <c r="E34" s="17">
        <v>0.0</v>
      </c>
      <c r="F34" s="17">
        <v>1.0</v>
      </c>
      <c r="G34" s="17">
        <v>0.0</v>
      </c>
      <c r="H34" s="17">
        <v>0.0</v>
      </c>
      <c r="I34" s="17">
        <v>0.0</v>
      </c>
      <c r="J34" s="17">
        <v>0.0</v>
      </c>
      <c r="K34" s="17">
        <v>1.0</v>
      </c>
      <c r="L34" s="17">
        <v>0.0</v>
      </c>
      <c r="M34" s="17">
        <v>185.0</v>
      </c>
      <c r="N34" s="17">
        <v>44.6</v>
      </c>
      <c r="O34" s="17">
        <v>3.2</v>
      </c>
      <c r="P34" s="17">
        <v>28.1</v>
      </c>
      <c r="Q34" s="17" t="s">
        <v>1167</v>
      </c>
      <c r="R34" s="17">
        <v>0.0</v>
      </c>
      <c r="S34" s="17">
        <v>0.0</v>
      </c>
      <c r="T34" s="17" t="s">
        <v>556</v>
      </c>
      <c r="U34" s="17" t="s">
        <v>1168</v>
      </c>
      <c r="V34" s="42"/>
    </row>
    <row r="35">
      <c r="A35" s="17">
        <v>40.0</v>
      </c>
      <c r="B35" s="17" t="s">
        <v>198</v>
      </c>
      <c r="C35" s="17">
        <v>381.0</v>
      </c>
      <c r="D35" s="17">
        <v>5.0</v>
      </c>
      <c r="E35" s="17">
        <v>1.0</v>
      </c>
      <c r="F35" s="17">
        <v>1.0</v>
      </c>
      <c r="G35" s="17">
        <v>0.0</v>
      </c>
      <c r="H35" s="17">
        <v>2.0</v>
      </c>
      <c r="I35" s="17">
        <v>1.0</v>
      </c>
      <c r="J35" s="17">
        <v>0.0</v>
      </c>
      <c r="K35" s="17">
        <v>4.0</v>
      </c>
      <c r="L35" s="17">
        <v>1.0</v>
      </c>
      <c r="M35" s="17">
        <v>76.2</v>
      </c>
      <c r="N35" s="17">
        <v>13.7</v>
      </c>
      <c r="O35" s="17">
        <v>8.3</v>
      </c>
      <c r="P35" s="17">
        <v>11.5</v>
      </c>
      <c r="Q35" s="17" t="s">
        <v>1167</v>
      </c>
      <c r="R35" s="17">
        <v>0.0</v>
      </c>
      <c r="S35" s="17">
        <v>0.0</v>
      </c>
      <c r="T35" s="17" t="s">
        <v>556</v>
      </c>
      <c r="U35" s="17" t="s">
        <v>1168</v>
      </c>
      <c r="V35" s="42"/>
    </row>
    <row r="36">
      <c r="A36" s="17">
        <v>28.0</v>
      </c>
      <c r="B36" s="17" t="s">
        <v>206</v>
      </c>
      <c r="C36" s="17">
        <v>464.0</v>
      </c>
      <c r="D36" s="17">
        <v>5.0</v>
      </c>
      <c r="E36" s="17">
        <v>1.0</v>
      </c>
      <c r="F36" s="17">
        <v>2.0</v>
      </c>
      <c r="G36" s="17">
        <v>0.0</v>
      </c>
      <c r="H36" s="17">
        <v>1.0</v>
      </c>
      <c r="I36" s="17">
        <v>1.0</v>
      </c>
      <c r="J36" s="17">
        <v>0.0</v>
      </c>
      <c r="K36" s="17">
        <v>4.0</v>
      </c>
      <c r="L36" s="17">
        <v>1.0</v>
      </c>
      <c r="M36" s="17">
        <v>92.8</v>
      </c>
      <c r="N36" s="17">
        <v>18.4</v>
      </c>
      <c r="O36" s="17">
        <v>10.4</v>
      </c>
      <c r="P36" s="17">
        <v>15.2</v>
      </c>
      <c r="Q36" s="17" t="s">
        <v>1167</v>
      </c>
      <c r="R36" s="17">
        <v>0.0</v>
      </c>
      <c r="S36" s="17">
        <v>0.0</v>
      </c>
      <c r="T36" s="17" t="s">
        <v>556</v>
      </c>
      <c r="U36" s="17" t="s">
        <v>1168</v>
      </c>
      <c r="V36" s="42"/>
    </row>
    <row r="37">
      <c r="A37" s="17">
        <v>36.0</v>
      </c>
      <c r="B37" s="17" t="s">
        <v>795</v>
      </c>
      <c r="C37" s="17">
        <v>101.0</v>
      </c>
      <c r="D37" s="17">
        <v>1.0</v>
      </c>
      <c r="E37" s="17">
        <v>0.0</v>
      </c>
      <c r="F37" s="17">
        <v>0.0</v>
      </c>
      <c r="G37" s="17">
        <v>0.0</v>
      </c>
      <c r="H37" s="17">
        <v>1.0</v>
      </c>
      <c r="I37" s="17">
        <v>0.0</v>
      </c>
      <c r="J37" s="17">
        <v>0.0</v>
      </c>
      <c r="K37" s="17">
        <v>1.0</v>
      </c>
      <c r="L37" s="17">
        <v>0.0</v>
      </c>
      <c r="M37" s="17">
        <v>101.0</v>
      </c>
      <c r="N37" s="17">
        <v>20.7</v>
      </c>
      <c r="O37" s="17">
        <v>1.1</v>
      </c>
      <c r="P37" s="17">
        <v>12.9</v>
      </c>
      <c r="Q37" s="17" t="s">
        <v>1167</v>
      </c>
      <c r="R37" s="17">
        <v>0.0</v>
      </c>
      <c r="S37" s="17">
        <v>0.0</v>
      </c>
      <c r="T37" s="17" t="s">
        <v>556</v>
      </c>
      <c r="U37" s="17" t="s">
        <v>1168</v>
      </c>
      <c r="V37" s="42"/>
    </row>
    <row r="38">
      <c r="A38" s="17">
        <v>43.0</v>
      </c>
      <c r="B38" s="17" t="s">
        <v>529</v>
      </c>
      <c r="C38" s="17">
        <v>87.0</v>
      </c>
      <c r="D38" s="17">
        <v>1.0</v>
      </c>
      <c r="E38" s="17">
        <v>0.0</v>
      </c>
      <c r="F38" s="17">
        <v>0.0</v>
      </c>
      <c r="G38" s="17">
        <v>0.0</v>
      </c>
      <c r="H38" s="17">
        <v>1.0</v>
      </c>
      <c r="I38" s="17">
        <v>0.0</v>
      </c>
      <c r="J38" s="17">
        <v>0.0</v>
      </c>
      <c r="K38" s="17">
        <v>1.0</v>
      </c>
      <c r="L38" s="17">
        <v>0.0</v>
      </c>
      <c r="M38" s="17">
        <v>87.0</v>
      </c>
      <c r="N38" s="17">
        <v>16.8</v>
      </c>
      <c r="O38" s="17">
        <v>0.7</v>
      </c>
      <c r="P38" s="17">
        <v>10.3</v>
      </c>
      <c r="Q38" s="17" t="s">
        <v>1167</v>
      </c>
      <c r="R38" s="17">
        <v>0.0</v>
      </c>
      <c r="S38" s="17">
        <v>0.0</v>
      </c>
      <c r="T38" s="17" t="s">
        <v>556</v>
      </c>
      <c r="U38" s="17" t="s">
        <v>1168</v>
      </c>
      <c r="V38" s="42"/>
    </row>
    <row r="39">
      <c r="A39" s="17">
        <v>55.0</v>
      </c>
      <c r="B39" s="17" t="s">
        <v>1002</v>
      </c>
      <c r="C39" s="17">
        <v>84.0</v>
      </c>
      <c r="D39" s="17">
        <v>3.0</v>
      </c>
      <c r="E39" s="17">
        <v>0.0</v>
      </c>
      <c r="F39" s="17">
        <v>0.0</v>
      </c>
      <c r="G39" s="17">
        <v>0.0</v>
      </c>
      <c r="H39" s="17">
        <v>0.0</v>
      </c>
      <c r="I39" s="17">
        <v>3.0</v>
      </c>
      <c r="J39" s="17">
        <v>0.0</v>
      </c>
      <c r="K39" s="17">
        <v>0.0</v>
      </c>
      <c r="L39" s="17">
        <v>3.0</v>
      </c>
      <c r="M39" s="17">
        <v>28.0</v>
      </c>
      <c r="N39" s="17">
        <v>0.0</v>
      </c>
      <c r="O39" s="17">
        <v>0.6</v>
      </c>
      <c r="P39" s="17">
        <v>0.3</v>
      </c>
      <c r="Q39" s="17" t="s">
        <v>1167</v>
      </c>
      <c r="R39" s="17">
        <v>0.0</v>
      </c>
      <c r="S39" s="17">
        <v>0.0</v>
      </c>
      <c r="T39" s="17" t="s">
        <v>556</v>
      </c>
      <c r="U39" s="17" t="s">
        <v>1168</v>
      </c>
      <c r="V39" s="42"/>
    </row>
    <row r="40">
      <c r="A40" s="17">
        <v>23.0</v>
      </c>
      <c r="B40" s="17" t="s">
        <v>105</v>
      </c>
      <c r="C40" s="17">
        <v>337.0</v>
      </c>
      <c r="D40" s="17">
        <v>3.0</v>
      </c>
      <c r="E40" s="17">
        <v>1.0</v>
      </c>
      <c r="F40" s="17">
        <v>0.0</v>
      </c>
      <c r="G40" s="17">
        <v>1.0</v>
      </c>
      <c r="H40" s="17">
        <v>1.0</v>
      </c>
      <c r="I40" s="17">
        <v>0.0</v>
      </c>
      <c r="J40" s="17">
        <v>0.0</v>
      </c>
      <c r="K40" s="17">
        <v>3.0</v>
      </c>
      <c r="L40" s="17">
        <v>0.0</v>
      </c>
      <c r="M40" s="17">
        <v>112.3</v>
      </c>
      <c r="N40" s="17">
        <v>24.0</v>
      </c>
      <c r="O40" s="17">
        <v>7.2</v>
      </c>
      <c r="P40" s="17">
        <v>17.2</v>
      </c>
      <c r="Q40" s="17" t="s">
        <v>1167</v>
      </c>
      <c r="R40" s="17">
        <v>0.0</v>
      </c>
      <c r="S40" s="17">
        <v>0.0</v>
      </c>
      <c r="T40" s="17" t="s">
        <v>556</v>
      </c>
      <c r="U40" s="17" t="s">
        <v>1168</v>
      </c>
      <c r="V40" s="42"/>
    </row>
    <row r="41">
      <c r="A41" s="17">
        <v>31.0</v>
      </c>
      <c r="B41" s="17" t="s">
        <v>218</v>
      </c>
      <c r="C41" s="17">
        <v>448.0</v>
      </c>
      <c r="D41" s="17">
        <v>5.0</v>
      </c>
      <c r="E41" s="17">
        <v>1.0</v>
      </c>
      <c r="F41" s="17">
        <v>1.0</v>
      </c>
      <c r="G41" s="17">
        <v>1.0</v>
      </c>
      <c r="H41" s="17">
        <v>1.0</v>
      </c>
      <c r="I41" s="17">
        <v>1.0</v>
      </c>
      <c r="J41" s="17">
        <v>0.0</v>
      </c>
      <c r="K41" s="17">
        <v>4.0</v>
      </c>
      <c r="L41" s="17">
        <v>1.0</v>
      </c>
      <c r="M41" s="17">
        <v>89.6</v>
      </c>
      <c r="N41" s="17">
        <v>17.5</v>
      </c>
      <c r="O41" s="17">
        <v>10.0</v>
      </c>
      <c r="P41" s="17">
        <v>14.5</v>
      </c>
      <c r="Q41" s="17" t="s">
        <v>1167</v>
      </c>
      <c r="R41" s="17">
        <v>0.0</v>
      </c>
      <c r="S41" s="17">
        <v>0.0</v>
      </c>
      <c r="T41" s="17" t="s">
        <v>556</v>
      </c>
      <c r="U41" s="17" t="s">
        <v>1168</v>
      </c>
      <c r="V41" s="42"/>
    </row>
    <row r="42">
      <c r="A42" s="17">
        <v>18.0</v>
      </c>
      <c r="B42" s="17" t="s">
        <v>225</v>
      </c>
      <c r="C42" s="17">
        <v>937.0</v>
      </c>
      <c r="D42" s="17">
        <v>9.0</v>
      </c>
      <c r="E42" s="17">
        <v>2.0</v>
      </c>
      <c r="F42" s="17">
        <v>5.0</v>
      </c>
      <c r="G42" s="17">
        <v>0.0</v>
      </c>
      <c r="H42" s="17">
        <v>1.0</v>
      </c>
      <c r="I42" s="17">
        <v>1.0</v>
      </c>
      <c r="J42" s="17">
        <v>0.0</v>
      </c>
      <c r="K42" s="17">
        <v>8.0</v>
      </c>
      <c r="L42" s="17">
        <v>1.0</v>
      </c>
      <c r="M42" s="17">
        <v>104.1</v>
      </c>
      <c r="N42" s="17">
        <v>21.6</v>
      </c>
      <c r="O42" s="17">
        <v>22.6</v>
      </c>
      <c r="P42" s="17">
        <v>22.0</v>
      </c>
      <c r="Q42" s="17" t="s">
        <v>1167</v>
      </c>
      <c r="R42" s="17">
        <v>0.0</v>
      </c>
      <c r="S42" s="17">
        <v>0.0</v>
      </c>
      <c r="T42" s="17" t="s">
        <v>556</v>
      </c>
      <c r="U42" s="17" t="s">
        <v>1168</v>
      </c>
      <c r="V42" s="42"/>
    </row>
    <row r="43">
      <c r="A43" s="17">
        <v>26.0</v>
      </c>
      <c r="B43" s="17" t="s">
        <v>236</v>
      </c>
      <c r="C43" s="17">
        <v>405.0</v>
      </c>
      <c r="D43" s="17">
        <v>4.0</v>
      </c>
      <c r="E43" s="17">
        <v>1.0</v>
      </c>
      <c r="F43" s="17">
        <v>1.0</v>
      </c>
      <c r="G43" s="17">
        <v>0.0</v>
      </c>
      <c r="H43" s="17">
        <v>2.0</v>
      </c>
      <c r="I43" s="17">
        <v>0.0</v>
      </c>
      <c r="J43" s="17">
        <v>0.0</v>
      </c>
      <c r="K43" s="17">
        <v>4.0</v>
      </c>
      <c r="L43" s="17">
        <v>0.0</v>
      </c>
      <c r="M43" s="17">
        <v>101.3</v>
      </c>
      <c r="N43" s="17">
        <v>20.8</v>
      </c>
      <c r="O43" s="17">
        <v>8.9</v>
      </c>
      <c r="P43" s="17">
        <v>16.0</v>
      </c>
      <c r="Q43" s="17" t="s">
        <v>1167</v>
      </c>
      <c r="R43" s="17">
        <v>0.0</v>
      </c>
      <c r="S43" s="17">
        <v>0.0</v>
      </c>
      <c r="T43" s="17" t="s">
        <v>556</v>
      </c>
      <c r="U43" s="17" t="s">
        <v>1168</v>
      </c>
      <c r="V43" s="42"/>
    </row>
    <row r="44">
      <c r="A44" s="17">
        <v>21.0</v>
      </c>
      <c r="B44" s="17" t="s">
        <v>826</v>
      </c>
      <c r="C44" s="17">
        <v>138.0</v>
      </c>
      <c r="D44" s="17">
        <v>1.0</v>
      </c>
      <c r="E44" s="17">
        <v>0.0</v>
      </c>
      <c r="F44" s="17">
        <v>0.0</v>
      </c>
      <c r="G44" s="17">
        <v>0.0</v>
      </c>
      <c r="H44" s="17">
        <v>1.0</v>
      </c>
      <c r="I44" s="17">
        <v>0.0</v>
      </c>
      <c r="J44" s="17">
        <v>0.0</v>
      </c>
      <c r="K44" s="17">
        <v>1.0</v>
      </c>
      <c r="L44" s="17">
        <v>0.0</v>
      </c>
      <c r="M44" s="17">
        <v>138.0</v>
      </c>
      <c r="N44" s="17">
        <v>31.3</v>
      </c>
      <c r="O44" s="17">
        <v>2.0</v>
      </c>
      <c r="P44" s="17">
        <v>19.6</v>
      </c>
      <c r="Q44" s="17" t="s">
        <v>1167</v>
      </c>
      <c r="R44" s="17">
        <v>0.0</v>
      </c>
      <c r="S44" s="17">
        <v>0.0</v>
      </c>
      <c r="T44" s="17" t="s">
        <v>556</v>
      </c>
      <c r="U44" s="17" t="s">
        <v>1168</v>
      </c>
      <c r="V44" s="42"/>
    </row>
    <row r="45">
      <c r="A45" s="17">
        <v>37.0</v>
      </c>
      <c r="B45" s="17" t="s">
        <v>241</v>
      </c>
      <c r="C45" s="17">
        <v>189.0</v>
      </c>
      <c r="D45" s="17">
        <v>2.0</v>
      </c>
      <c r="E45" s="17">
        <v>1.0</v>
      </c>
      <c r="F45" s="17">
        <v>0.0</v>
      </c>
      <c r="G45" s="17">
        <v>0.0</v>
      </c>
      <c r="H45" s="17">
        <v>0.0</v>
      </c>
      <c r="I45" s="17">
        <v>1.0</v>
      </c>
      <c r="J45" s="17">
        <v>0.0</v>
      </c>
      <c r="K45" s="17">
        <v>1.0</v>
      </c>
      <c r="L45" s="17">
        <v>1.0</v>
      </c>
      <c r="M45" s="17">
        <v>94.5</v>
      </c>
      <c r="N45" s="17">
        <v>18.9</v>
      </c>
      <c r="O45" s="17">
        <v>3.3</v>
      </c>
      <c r="P45" s="17">
        <v>12.7</v>
      </c>
      <c r="Q45" s="17" t="s">
        <v>1167</v>
      </c>
      <c r="R45" s="17">
        <v>0.0</v>
      </c>
      <c r="S45" s="17">
        <v>0.0</v>
      </c>
      <c r="T45" s="17" t="s">
        <v>556</v>
      </c>
      <c r="U45" s="17" t="s">
        <v>1168</v>
      </c>
      <c r="V45" s="42"/>
    </row>
    <row r="46">
      <c r="A46" s="17">
        <v>49.0</v>
      </c>
      <c r="B46" s="17" t="s">
        <v>486</v>
      </c>
      <c r="C46" s="17">
        <v>133.0</v>
      </c>
      <c r="D46" s="17">
        <v>2.0</v>
      </c>
      <c r="E46" s="17">
        <v>0.0</v>
      </c>
      <c r="F46" s="17">
        <v>1.0</v>
      </c>
      <c r="G46" s="17">
        <v>0.0</v>
      </c>
      <c r="H46" s="17">
        <v>1.0</v>
      </c>
      <c r="I46" s="17">
        <v>0.0</v>
      </c>
      <c r="J46" s="17">
        <v>0.0</v>
      </c>
      <c r="K46" s="17">
        <v>2.0</v>
      </c>
      <c r="L46" s="17">
        <v>0.0</v>
      </c>
      <c r="M46" s="17">
        <v>66.5</v>
      </c>
      <c r="N46" s="17">
        <v>10.9</v>
      </c>
      <c r="O46" s="17">
        <v>1.9</v>
      </c>
      <c r="P46" s="17">
        <v>7.3</v>
      </c>
      <c r="Q46" s="17" t="s">
        <v>1167</v>
      </c>
      <c r="R46" s="17">
        <v>0.0</v>
      </c>
      <c r="S46" s="17">
        <v>0.0</v>
      </c>
      <c r="T46" s="17" t="s">
        <v>556</v>
      </c>
      <c r="U46" s="17" t="s">
        <v>1168</v>
      </c>
      <c r="V46" s="42"/>
    </row>
    <row r="47">
      <c r="A47" s="17">
        <v>44.0</v>
      </c>
      <c r="B47" s="17" t="s">
        <v>247</v>
      </c>
      <c r="C47" s="17">
        <v>160.0</v>
      </c>
      <c r="D47" s="17">
        <v>2.0</v>
      </c>
      <c r="E47" s="17">
        <v>1.0</v>
      </c>
      <c r="F47" s="17">
        <v>0.0</v>
      </c>
      <c r="G47" s="17">
        <v>0.0</v>
      </c>
      <c r="H47" s="17">
        <v>1.0</v>
      </c>
      <c r="I47" s="17">
        <v>0.0</v>
      </c>
      <c r="J47" s="17">
        <v>0.0</v>
      </c>
      <c r="K47" s="17">
        <v>2.0</v>
      </c>
      <c r="L47" s="17">
        <v>0.0</v>
      </c>
      <c r="M47" s="17">
        <v>80.0</v>
      </c>
      <c r="N47" s="17">
        <v>14.8</v>
      </c>
      <c r="O47" s="17">
        <v>2.6</v>
      </c>
      <c r="P47" s="17">
        <v>9.9</v>
      </c>
      <c r="Q47" s="17" t="s">
        <v>1167</v>
      </c>
      <c r="R47" s="17">
        <v>0.0</v>
      </c>
      <c r="S47" s="17">
        <v>0.0</v>
      </c>
      <c r="T47" s="17" t="s">
        <v>556</v>
      </c>
      <c r="U47" s="17" t="s">
        <v>1168</v>
      </c>
      <c r="V47" s="42"/>
    </row>
    <row r="48">
      <c r="A48" s="17">
        <v>54.0</v>
      </c>
      <c r="B48" s="17" t="s">
        <v>839</v>
      </c>
      <c r="C48" s="17">
        <v>69.0</v>
      </c>
      <c r="D48" s="17">
        <v>2.0</v>
      </c>
      <c r="E48" s="17">
        <v>0.0</v>
      </c>
      <c r="F48" s="17">
        <v>0.0</v>
      </c>
      <c r="G48" s="17">
        <v>0.0</v>
      </c>
      <c r="H48" s="17">
        <v>2.0</v>
      </c>
      <c r="I48" s="17">
        <v>0.0</v>
      </c>
      <c r="J48" s="17">
        <v>0.0</v>
      </c>
      <c r="K48" s="17">
        <v>2.0</v>
      </c>
      <c r="L48" s="17">
        <v>0.0</v>
      </c>
      <c r="M48" s="17">
        <v>34.5</v>
      </c>
      <c r="N48" s="17">
        <v>1.8</v>
      </c>
      <c r="O48" s="17">
        <v>0.3</v>
      </c>
      <c r="P48" s="17">
        <v>1.2</v>
      </c>
      <c r="Q48" s="17" t="s">
        <v>1167</v>
      </c>
      <c r="R48" s="17">
        <v>0.0</v>
      </c>
      <c r="S48" s="17">
        <v>0.0</v>
      </c>
      <c r="T48" s="17" t="s">
        <v>556</v>
      </c>
      <c r="U48" s="17" t="s">
        <v>1168</v>
      </c>
      <c r="V48" s="42"/>
    </row>
    <row r="49">
      <c r="A49" s="17">
        <v>53.0</v>
      </c>
      <c r="B49" s="17" t="s">
        <v>851</v>
      </c>
      <c r="C49" s="17">
        <v>96.0</v>
      </c>
      <c r="D49" s="17">
        <v>2.0</v>
      </c>
      <c r="E49" s="17">
        <v>0.0</v>
      </c>
      <c r="F49" s="17">
        <v>0.0</v>
      </c>
      <c r="G49" s="17">
        <v>0.0</v>
      </c>
      <c r="H49" s="17">
        <v>2.0</v>
      </c>
      <c r="I49" s="17">
        <v>0.0</v>
      </c>
      <c r="J49" s="17">
        <v>0.0</v>
      </c>
      <c r="K49" s="17">
        <v>2.0</v>
      </c>
      <c r="L49" s="17">
        <v>0.0</v>
      </c>
      <c r="M49" s="17">
        <v>48.0</v>
      </c>
      <c r="N49" s="17">
        <v>5.7</v>
      </c>
      <c r="O49" s="17">
        <v>1.0</v>
      </c>
      <c r="P49" s="17">
        <v>3.8</v>
      </c>
      <c r="Q49" s="17" t="s">
        <v>1167</v>
      </c>
      <c r="R49" s="17">
        <v>0.0</v>
      </c>
      <c r="S49" s="17">
        <v>0.0</v>
      </c>
      <c r="T49" s="17" t="s">
        <v>556</v>
      </c>
      <c r="U49" s="17" t="s">
        <v>1168</v>
      </c>
      <c r="V49" s="42"/>
    </row>
    <row r="50">
      <c r="A50" s="17">
        <v>30.0</v>
      </c>
      <c r="B50" s="17" t="s">
        <v>252</v>
      </c>
      <c r="C50" s="17">
        <v>377.0</v>
      </c>
      <c r="D50" s="17">
        <v>4.0</v>
      </c>
      <c r="E50" s="17">
        <v>1.0</v>
      </c>
      <c r="F50" s="17">
        <v>1.0</v>
      </c>
      <c r="G50" s="17">
        <v>0.0</v>
      </c>
      <c r="H50" s="17">
        <v>1.0</v>
      </c>
      <c r="I50" s="17">
        <v>1.0</v>
      </c>
      <c r="J50" s="17">
        <v>0.0</v>
      </c>
      <c r="K50" s="17">
        <v>3.0</v>
      </c>
      <c r="L50" s="17">
        <v>1.0</v>
      </c>
      <c r="M50" s="17">
        <v>94.3</v>
      </c>
      <c r="N50" s="17">
        <v>18.8</v>
      </c>
      <c r="O50" s="17">
        <v>8.2</v>
      </c>
      <c r="P50" s="17">
        <v>14.6</v>
      </c>
      <c r="Q50" s="17" t="s">
        <v>1167</v>
      </c>
      <c r="R50" s="17">
        <v>0.0</v>
      </c>
      <c r="S50" s="17">
        <v>0.0</v>
      </c>
      <c r="T50" s="17" t="s">
        <v>556</v>
      </c>
      <c r="U50" s="17" t="s">
        <v>1168</v>
      </c>
      <c r="V50" s="42"/>
    </row>
    <row r="51">
      <c r="A51" s="17">
        <v>34.0</v>
      </c>
      <c r="B51" s="17" t="s">
        <v>256</v>
      </c>
      <c r="C51" s="17">
        <v>430.0</v>
      </c>
      <c r="D51" s="17">
        <v>5.0</v>
      </c>
      <c r="E51" s="17">
        <v>1.0</v>
      </c>
      <c r="F51" s="17">
        <v>0.0</v>
      </c>
      <c r="G51" s="17">
        <v>0.0</v>
      </c>
      <c r="H51" s="17">
        <v>2.0</v>
      </c>
      <c r="I51" s="17">
        <v>0.0</v>
      </c>
      <c r="J51" s="17">
        <v>2.0</v>
      </c>
      <c r="K51" s="17">
        <v>3.0</v>
      </c>
      <c r="L51" s="17">
        <v>2.0</v>
      </c>
      <c r="M51" s="17">
        <v>86.0</v>
      </c>
      <c r="N51" s="17">
        <v>16.5</v>
      </c>
      <c r="O51" s="17">
        <v>9.5</v>
      </c>
      <c r="P51" s="17">
        <v>13.7</v>
      </c>
      <c r="Q51" s="17" t="s">
        <v>1167</v>
      </c>
      <c r="R51" s="17">
        <v>0.0</v>
      </c>
      <c r="S51" s="17">
        <v>0.0</v>
      </c>
      <c r="T51" s="17" t="s">
        <v>556</v>
      </c>
      <c r="U51" s="17" t="s">
        <v>1168</v>
      </c>
      <c r="V51" s="42"/>
    </row>
    <row r="52">
      <c r="A52" s="17">
        <v>48.0</v>
      </c>
      <c r="B52" s="17" t="s">
        <v>1034</v>
      </c>
      <c r="C52" s="17">
        <v>134.0</v>
      </c>
      <c r="D52" s="17">
        <v>2.0</v>
      </c>
      <c r="E52" s="17">
        <v>0.0</v>
      </c>
      <c r="F52" s="17">
        <v>0.0</v>
      </c>
      <c r="G52" s="17">
        <v>0.0</v>
      </c>
      <c r="H52" s="17">
        <v>0.0</v>
      </c>
      <c r="I52" s="17">
        <v>2.0</v>
      </c>
      <c r="J52" s="17">
        <v>0.0</v>
      </c>
      <c r="K52" s="17">
        <v>0.0</v>
      </c>
      <c r="L52" s="17">
        <v>2.0</v>
      </c>
      <c r="M52" s="17">
        <v>67.0</v>
      </c>
      <c r="N52" s="17">
        <v>11.1</v>
      </c>
      <c r="O52" s="17">
        <v>1.9</v>
      </c>
      <c r="P52" s="17">
        <v>7.4</v>
      </c>
      <c r="Q52" s="17" t="s">
        <v>1167</v>
      </c>
      <c r="R52" s="17">
        <v>0.0</v>
      </c>
      <c r="S52" s="17">
        <v>0.0</v>
      </c>
      <c r="T52" s="17" t="s">
        <v>556</v>
      </c>
      <c r="U52" s="17" t="s">
        <v>1168</v>
      </c>
      <c r="V52" s="42"/>
    </row>
    <row r="53">
      <c r="A53" s="17">
        <v>22.0</v>
      </c>
      <c r="B53" s="17" t="s">
        <v>263</v>
      </c>
      <c r="C53" s="17">
        <v>252.0</v>
      </c>
      <c r="D53" s="17">
        <v>2.0</v>
      </c>
      <c r="E53" s="17">
        <v>1.0</v>
      </c>
      <c r="F53" s="17">
        <v>0.0</v>
      </c>
      <c r="G53" s="17">
        <v>1.0</v>
      </c>
      <c r="H53" s="17">
        <v>0.0</v>
      </c>
      <c r="I53" s="17">
        <v>0.0</v>
      </c>
      <c r="J53" s="17">
        <v>0.0</v>
      </c>
      <c r="K53" s="17">
        <v>2.0</v>
      </c>
      <c r="L53" s="17">
        <v>0.0</v>
      </c>
      <c r="M53" s="17">
        <v>126.0</v>
      </c>
      <c r="N53" s="17">
        <v>27.8</v>
      </c>
      <c r="O53" s="17">
        <v>5.0</v>
      </c>
      <c r="P53" s="17">
        <v>18.7</v>
      </c>
      <c r="Q53" s="17" t="s">
        <v>1167</v>
      </c>
      <c r="R53" s="17">
        <v>0.0</v>
      </c>
      <c r="S53" s="17">
        <v>0.0</v>
      </c>
      <c r="T53" s="17" t="s">
        <v>556</v>
      </c>
      <c r="U53" s="17" t="s">
        <v>1168</v>
      </c>
      <c r="V53" s="42"/>
    </row>
    <row r="54">
      <c r="A54" s="17">
        <v>39.0</v>
      </c>
      <c r="B54" s="17" t="s">
        <v>1043</v>
      </c>
      <c r="C54" s="17">
        <v>96.0</v>
      </c>
      <c r="D54" s="17">
        <v>1.0</v>
      </c>
      <c r="E54" s="17">
        <v>0.0</v>
      </c>
      <c r="F54" s="17">
        <v>0.0</v>
      </c>
      <c r="G54" s="17">
        <v>0.0</v>
      </c>
      <c r="H54" s="17">
        <v>0.0</v>
      </c>
      <c r="I54" s="17">
        <v>1.0</v>
      </c>
      <c r="J54" s="17">
        <v>0.0</v>
      </c>
      <c r="K54" s="17">
        <v>0.0</v>
      </c>
      <c r="L54" s="17">
        <v>1.0</v>
      </c>
      <c r="M54" s="17">
        <v>96.0</v>
      </c>
      <c r="N54" s="17">
        <v>19.3</v>
      </c>
      <c r="O54" s="17">
        <v>1.0</v>
      </c>
      <c r="P54" s="17">
        <v>12.0</v>
      </c>
      <c r="Q54" s="17" t="s">
        <v>1167</v>
      </c>
      <c r="R54" s="17">
        <v>0.0</v>
      </c>
      <c r="S54" s="17">
        <v>0.0</v>
      </c>
      <c r="T54" s="17" t="s">
        <v>556</v>
      </c>
      <c r="U54" s="17" t="s">
        <v>1168</v>
      </c>
      <c r="V54" s="42"/>
    </row>
    <row r="55">
      <c r="A55" s="17">
        <v>16.0</v>
      </c>
      <c r="B55" s="17" t="s">
        <v>268</v>
      </c>
      <c r="C55" s="17">
        <v>957.0</v>
      </c>
      <c r="D55" s="17">
        <v>9.0</v>
      </c>
      <c r="E55" s="17">
        <v>2.0</v>
      </c>
      <c r="F55" s="17">
        <v>2.0</v>
      </c>
      <c r="G55" s="17">
        <v>0.0</v>
      </c>
      <c r="H55" s="17">
        <v>1.0</v>
      </c>
      <c r="I55" s="17">
        <v>4.0</v>
      </c>
      <c r="J55" s="17">
        <v>0.0</v>
      </c>
      <c r="K55" s="17">
        <v>5.0</v>
      </c>
      <c r="L55" s="17">
        <v>4.0</v>
      </c>
      <c r="M55" s="17">
        <v>106.3</v>
      </c>
      <c r="N55" s="17">
        <v>22.3</v>
      </c>
      <c r="O55" s="17">
        <v>23.1</v>
      </c>
      <c r="P55" s="17">
        <v>22.6</v>
      </c>
      <c r="Q55" s="17" t="s">
        <v>1167</v>
      </c>
      <c r="R55" s="17">
        <v>0.0</v>
      </c>
      <c r="S55" s="17">
        <v>0.0</v>
      </c>
      <c r="T55" s="17" t="s">
        <v>556</v>
      </c>
      <c r="U55" s="17" t="s">
        <v>1168</v>
      </c>
      <c r="V55" s="42"/>
    </row>
    <row r="56">
      <c r="A56" s="17">
        <v>44.0</v>
      </c>
      <c r="B56" s="17" t="s">
        <v>895</v>
      </c>
      <c r="C56" s="17">
        <v>227.0</v>
      </c>
      <c r="D56" s="17">
        <v>3.0</v>
      </c>
      <c r="E56" s="17">
        <v>0.0</v>
      </c>
      <c r="F56" s="17">
        <v>0.0</v>
      </c>
      <c r="G56" s="17">
        <v>0.0</v>
      </c>
      <c r="H56" s="17">
        <v>1.0</v>
      </c>
      <c r="I56" s="17">
        <v>2.0</v>
      </c>
      <c r="J56" s="17">
        <v>0.0</v>
      </c>
      <c r="K56" s="17">
        <v>1.0</v>
      </c>
      <c r="L56" s="17">
        <v>2.0</v>
      </c>
      <c r="M56" s="17">
        <v>75.7</v>
      </c>
      <c r="N56" s="17">
        <v>13.5</v>
      </c>
      <c r="O56" s="17">
        <v>4.3</v>
      </c>
      <c r="P56" s="17">
        <v>9.9</v>
      </c>
      <c r="Q56" s="17" t="s">
        <v>1167</v>
      </c>
      <c r="R56" s="17">
        <v>0.0</v>
      </c>
      <c r="S56" s="17">
        <v>0.0</v>
      </c>
      <c r="T56" s="17" t="s">
        <v>556</v>
      </c>
      <c r="U56" s="17" t="s">
        <v>1168</v>
      </c>
      <c r="V56" s="42"/>
    </row>
    <row r="57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</row>
    <row r="59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</row>
    <row r="60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</row>
    <row r="6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</row>
    <row r="6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</row>
    <row r="6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</row>
    <row r="64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</row>
    <row r="6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</row>
    <row r="66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</row>
    <row r="67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</row>
    <row r="68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</row>
    <row r="69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</row>
    <row r="70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</row>
    <row r="7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</row>
    <row r="7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</row>
    <row r="7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</row>
    <row r="74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</row>
    <row r="7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</row>
    <row r="76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</row>
    <row r="77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</row>
    <row r="78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</row>
    <row r="79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</row>
    <row r="80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</row>
    <row r="8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</row>
    <row r="8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</row>
    <row r="83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</row>
    <row r="11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</row>
    <row r="114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</row>
    <row r="14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</row>
    <row r="146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</row>
    <row r="147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</row>
    <row r="149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</row>
    <row r="150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</row>
    <row r="15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</row>
    <row r="15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</row>
    <row r="153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</row>
    <row r="154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</row>
    <row r="15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</row>
    <row r="156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</row>
    <row r="157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</row>
    <row r="158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</row>
    <row r="159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</row>
    <row r="160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</row>
    <row r="16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</row>
    <row r="16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</row>
    <row r="163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</row>
    <row r="164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</row>
    <row r="16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</row>
    <row r="166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</row>
    <row r="187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</row>
    <row r="188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</row>
    <row r="189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</row>
    <row r="196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</row>
    <row r="197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</row>
    <row r="198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</row>
    <row r="199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</row>
    <row r="20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</row>
    <row r="203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</row>
    <row r="204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</row>
    <row r="20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</row>
    <row r="206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</row>
    <row r="207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</row>
    <row r="208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</row>
    <row r="209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</row>
    <row r="210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</row>
    <row r="21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</row>
    <row r="21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</row>
    <row r="213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</row>
    <row r="214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</row>
    <row r="21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</row>
    <row r="216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</row>
    <row r="217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</row>
    <row r="218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</row>
    <row r="219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</row>
    <row r="220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</row>
    <row r="22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</row>
    <row r="22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</row>
    <row r="223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</row>
    <row r="224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</row>
    <row r="2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</row>
    <row r="226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</row>
    <row r="227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</row>
    <row r="228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</row>
    <row r="229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</row>
    <row r="230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</row>
    <row r="23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</row>
    <row r="23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</row>
    <row r="233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</row>
    <row r="234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</row>
    <row r="23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</row>
    <row r="236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</row>
    <row r="237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</row>
    <row r="238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</row>
    <row r="239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</row>
    <row r="240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</row>
    <row r="24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</row>
    <row r="24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</row>
    <row r="243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</row>
    <row r="244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</row>
    <row r="24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</row>
    <row r="246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</row>
    <row r="247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</row>
    <row r="248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</row>
    <row r="249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</row>
    <row r="250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</row>
    <row r="25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</row>
    <row r="25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</row>
    <row r="253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</row>
    <row r="254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</row>
    <row r="25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</row>
    <row r="256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</row>
    <row r="257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</row>
    <row r="258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</row>
    <row r="259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</row>
    <row r="260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</row>
    <row r="26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</row>
    <row r="26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</row>
    <row r="263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</row>
    <row r="264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</row>
    <row r="26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</row>
    <row r="266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</row>
    <row r="267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</row>
    <row r="268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</row>
    <row r="269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</row>
    <row r="270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</row>
    <row r="27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</row>
    <row r="27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</row>
    <row r="273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</row>
    <row r="274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</row>
    <row r="27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</row>
    <row r="276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</row>
    <row r="277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</row>
    <row r="278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</row>
    <row r="279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</row>
    <row r="280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</row>
    <row r="28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</row>
    <row r="28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</row>
    <row r="283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</row>
    <row r="284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</row>
    <row r="28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</row>
    <row r="286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</row>
    <row r="287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</row>
    <row r="288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</row>
    <row r="289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</row>
    <row r="290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</row>
    <row r="29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</row>
    <row r="29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</row>
    <row r="293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</row>
    <row r="294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</row>
    <row r="29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</row>
    <row r="296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</row>
    <row r="297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</row>
    <row r="298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</row>
    <row r="299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</row>
    <row r="300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</row>
    <row r="30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</row>
    <row r="30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</row>
    <row r="303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</row>
    <row r="304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</row>
    <row r="30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</row>
    <row r="306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</row>
    <row r="307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</row>
    <row r="308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</row>
    <row r="309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</row>
    <row r="310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</row>
    <row r="31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</row>
    <row r="31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</row>
    <row r="313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</row>
    <row r="314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</row>
    <row r="31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</row>
    <row r="316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</row>
    <row r="317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</row>
    <row r="318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</row>
    <row r="319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</row>
    <row r="320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</row>
    <row r="32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</row>
    <row r="32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</row>
    <row r="323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</row>
    <row r="324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</row>
    <row r="3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</row>
    <row r="326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</row>
    <row r="327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</row>
    <row r="328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</row>
    <row r="329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</row>
    <row r="330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</row>
    <row r="33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</row>
    <row r="33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</row>
    <row r="333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</row>
    <row r="334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</row>
    <row r="33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</row>
    <row r="336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</row>
    <row r="337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</row>
    <row r="338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</row>
    <row r="339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</row>
    <row r="340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</row>
    <row r="34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</row>
    <row r="34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</row>
    <row r="343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</row>
    <row r="344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</row>
    <row r="34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</row>
    <row r="346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</row>
    <row r="347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</row>
    <row r="348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</row>
    <row r="349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</row>
    <row r="350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</row>
    <row r="35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</row>
    <row r="35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</row>
    <row r="353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</row>
    <row r="354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</row>
    <row r="35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</row>
    <row r="356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</row>
    <row r="357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</row>
    <row r="358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</row>
    <row r="359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</row>
    <row r="360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</row>
    <row r="36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</row>
    <row r="36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</row>
    <row r="363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</row>
    <row r="364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</row>
    <row r="36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</row>
    <row r="366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</row>
    <row r="367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</row>
    <row r="368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</row>
    <row r="369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</row>
    <row r="370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</row>
    <row r="37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</row>
    <row r="37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</row>
    <row r="37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</row>
    <row r="374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</row>
    <row r="37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</row>
    <row r="376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</row>
    <row r="377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</row>
    <row r="378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</row>
    <row r="379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</row>
    <row r="380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</row>
    <row r="38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</row>
    <row r="38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</row>
    <row r="383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</row>
    <row r="384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</row>
    <row r="38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</row>
    <row r="386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</row>
    <row r="387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</row>
    <row r="388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</row>
    <row r="389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</row>
    <row r="390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</row>
    <row r="39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</row>
    <row r="39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</row>
    <row r="393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</row>
    <row r="394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</row>
    <row r="39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</row>
    <row r="396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</row>
    <row r="397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</row>
    <row r="398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</row>
    <row r="399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</row>
    <row r="400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</row>
    <row r="40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</row>
    <row r="40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</row>
    <row r="403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</row>
    <row r="404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</row>
    <row r="40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</row>
    <row r="406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</row>
    <row r="407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</row>
    <row r="408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</row>
    <row r="409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</row>
    <row r="410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</row>
    <row r="41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</row>
    <row r="41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</row>
    <row r="413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</row>
    <row r="414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</row>
    <row r="41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</row>
    <row r="416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</row>
    <row r="417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</row>
    <row r="418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</row>
    <row r="419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</row>
    <row r="420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</row>
    <row r="42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</row>
    <row r="42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</row>
    <row r="423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</row>
    <row r="424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</row>
    <row r="4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</row>
    <row r="426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</row>
    <row r="427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</row>
    <row r="428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</row>
    <row r="429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</row>
    <row r="430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</row>
    <row r="43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</row>
    <row r="43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</row>
    <row r="433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</row>
    <row r="434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</row>
    <row r="43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</row>
    <row r="436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</row>
    <row r="437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</row>
    <row r="438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</row>
    <row r="439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</row>
    <row r="440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</row>
    <row r="44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</row>
    <row r="44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</row>
    <row r="44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</row>
    <row r="444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</row>
    <row r="44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</row>
    <row r="446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</row>
    <row r="447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</row>
    <row r="448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</row>
    <row r="449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</row>
    <row r="450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</row>
    <row r="45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</row>
    <row r="45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</row>
    <row r="453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</row>
    <row r="454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</row>
    <row r="45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</row>
    <row r="456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</row>
    <row r="457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</row>
    <row r="458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</row>
    <row r="459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</row>
    <row r="460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</row>
    <row r="46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</row>
    <row r="46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</row>
    <row r="463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</row>
    <row r="464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</row>
    <row r="46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</row>
    <row r="466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</row>
    <row r="467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</row>
    <row r="468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</row>
    <row r="469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</row>
    <row r="470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</row>
    <row r="47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</row>
    <row r="47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</row>
    <row r="473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</row>
    <row r="474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</row>
    <row r="47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</row>
    <row r="476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</row>
    <row r="477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</row>
    <row r="478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</row>
    <row r="479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</row>
    <row r="480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</row>
    <row r="48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</row>
    <row r="48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</row>
    <row r="483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</row>
    <row r="484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</row>
    <row r="48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</row>
    <row r="486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</row>
    <row r="487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</row>
    <row r="488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</row>
    <row r="489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</row>
    <row r="490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</row>
    <row r="49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</row>
    <row r="49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</row>
    <row r="493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</row>
    <row r="494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</row>
    <row r="49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</row>
    <row r="496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</row>
    <row r="497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</row>
    <row r="498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</row>
    <row r="499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</row>
    <row r="500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</row>
  </sheetData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8.63"/>
    <col customWidth="1" min="3" max="3" width="13.25"/>
    <col customWidth="1" min="4" max="11" width="8.63"/>
    <col customWidth="1" min="12" max="12" width="17.13"/>
    <col customWidth="1" min="13" max="26" width="8.63"/>
  </cols>
  <sheetData>
    <row r="1">
      <c r="A1" s="2" t="s">
        <v>6</v>
      </c>
      <c r="B1" s="2" t="s">
        <v>1712</v>
      </c>
      <c r="C1" s="2" t="s">
        <v>1713</v>
      </c>
      <c r="D1" s="2" t="s">
        <v>11</v>
      </c>
      <c r="E1" s="2" t="s">
        <v>12</v>
      </c>
      <c r="F1" s="2" t="s">
        <v>15</v>
      </c>
      <c r="G1" s="2" t="s">
        <v>14</v>
      </c>
      <c r="H1" s="2" t="s">
        <v>18</v>
      </c>
      <c r="I1" s="2" t="s">
        <v>16</v>
      </c>
      <c r="J1" s="2" t="s">
        <v>17</v>
      </c>
      <c r="K1" s="2" t="s">
        <v>83</v>
      </c>
      <c r="L1" s="2" t="s">
        <v>1715</v>
      </c>
      <c r="M1" s="2" t="s">
        <v>1716</v>
      </c>
      <c r="N1" s="2" t="s">
        <v>20</v>
      </c>
      <c r="O1" s="2" t="s">
        <v>1717</v>
      </c>
      <c r="P1" s="2" t="s">
        <v>104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60.75"/>
    <col customWidth="1" min="3" max="3" width="61.13"/>
    <col customWidth="1" min="4" max="4" width="81.88"/>
    <col customWidth="1" min="5" max="5" width="51.63"/>
    <col customWidth="1" min="6" max="26" width="8.63"/>
  </cols>
  <sheetData>
    <row r="1">
      <c r="A1" s="48" t="s">
        <v>1744</v>
      </c>
      <c r="B1" s="49" t="s">
        <v>1745</v>
      </c>
      <c r="C1" s="49" t="s">
        <v>1746</v>
      </c>
      <c r="D1" s="49" t="s">
        <v>1748</v>
      </c>
      <c r="E1" s="50" t="s">
        <v>1749</v>
      </c>
    </row>
    <row r="2">
      <c r="A2" s="51" t="s">
        <v>1750</v>
      </c>
      <c r="B2" s="52">
        <v>0.3</v>
      </c>
      <c r="C2" s="5" t="s">
        <v>1751</v>
      </c>
      <c r="D2" s="5" t="s">
        <v>1752</v>
      </c>
      <c r="E2" s="53" t="s">
        <v>1753</v>
      </c>
    </row>
    <row r="3">
      <c r="A3" s="51" t="s">
        <v>1754</v>
      </c>
      <c r="B3" s="52">
        <v>0.4</v>
      </c>
      <c r="C3" s="5" t="s">
        <v>1755</v>
      </c>
      <c r="D3" s="5" t="s">
        <v>1756</v>
      </c>
      <c r="E3" s="53" t="s">
        <v>1757</v>
      </c>
    </row>
    <row r="4">
      <c r="A4" s="51" t="s">
        <v>1758</v>
      </c>
      <c r="B4" s="52">
        <v>0.2</v>
      </c>
      <c r="C4" s="5" t="s">
        <v>1760</v>
      </c>
      <c r="D4" s="5" t="s">
        <v>1761</v>
      </c>
      <c r="E4" s="53" t="s">
        <v>1762</v>
      </c>
    </row>
    <row r="5">
      <c r="A5" s="54" t="s">
        <v>1763</v>
      </c>
      <c r="B5" s="55">
        <v>0.1</v>
      </c>
      <c r="C5" s="56" t="s">
        <v>1764</v>
      </c>
      <c r="D5" s="56" t="s">
        <v>1765</v>
      </c>
      <c r="E5" s="57" t="s">
        <v>1766</v>
      </c>
    </row>
    <row r="6">
      <c r="A6" s="7"/>
      <c r="B6" s="7"/>
      <c r="C6" s="7"/>
      <c r="D6" s="7"/>
      <c r="E6" s="7"/>
    </row>
    <row r="7">
      <c r="A7" s="7"/>
      <c r="B7" s="7"/>
      <c r="C7" s="7"/>
      <c r="D7" s="7"/>
      <c r="E7" s="7"/>
    </row>
    <row r="8">
      <c r="A8" s="58" t="s">
        <v>1768</v>
      </c>
      <c r="B8" s="58" t="s">
        <v>1769</v>
      </c>
      <c r="C8" s="7"/>
      <c r="D8" s="7"/>
      <c r="E8" s="7"/>
    </row>
    <row r="9">
      <c r="A9" s="58" t="s">
        <v>1770</v>
      </c>
      <c r="B9" s="58" t="s">
        <v>1771</v>
      </c>
      <c r="C9" s="7"/>
      <c r="D9" s="7"/>
      <c r="E9" s="7"/>
    </row>
    <row r="10">
      <c r="A10" s="58" t="s">
        <v>1772</v>
      </c>
      <c r="B10" s="58" t="s">
        <v>1774</v>
      </c>
      <c r="C10" s="7"/>
      <c r="D10" s="7"/>
      <c r="E10" s="7"/>
    </row>
    <row r="11">
      <c r="A11" s="58" t="s">
        <v>1775</v>
      </c>
      <c r="B11" s="58" t="s">
        <v>1776</v>
      </c>
      <c r="C11" s="7"/>
      <c r="D11" s="7"/>
      <c r="E11" s="7"/>
    </row>
    <row r="12">
      <c r="A12" s="58" t="s">
        <v>1777</v>
      </c>
      <c r="B12" s="58" t="s">
        <v>1778</v>
      </c>
      <c r="C12" s="7"/>
      <c r="D12" s="7"/>
      <c r="E12" s="7"/>
    </row>
    <row r="13">
      <c r="A13" s="7"/>
      <c r="B13" s="7"/>
      <c r="C13" s="7"/>
      <c r="D13" s="7"/>
      <c r="E13" s="7"/>
    </row>
    <row r="14">
      <c r="A14" s="7"/>
      <c r="B14" s="7"/>
      <c r="C14" s="7"/>
      <c r="D14" s="7"/>
      <c r="E14" s="7"/>
    </row>
    <row r="15">
      <c r="A15" s="59" t="s">
        <v>1780</v>
      </c>
      <c r="B15" s="60"/>
      <c r="C15" s="60"/>
      <c r="D15" s="60"/>
      <c r="E15" s="61"/>
    </row>
    <row r="16">
      <c r="A16" s="62" t="s">
        <v>1783</v>
      </c>
      <c r="B16" s="63" t="s">
        <v>1745</v>
      </c>
      <c r="C16" s="63" t="s">
        <v>1785</v>
      </c>
      <c r="D16" s="63" t="s">
        <v>1786</v>
      </c>
      <c r="E16" s="64" t="s">
        <v>1787</v>
      </c>
    </row>
    <row r="17">
      <c r="A17" s="65" t="s">
        <v>1788</v>
      </c>
      <c r="B17" s="66">
        <v>0.6</v>
      </c>
      <c r="C17" s="17" t="s">
        <v>1789</v>
      </c>
      <c r="D17" s="17" t="s">
        <v>1790</v>
      </c>
      <c r="E17" s="67" t="s">
        <v>1791</v>
      </c>
    </row>
    <row r="18">
      <c r="A18" s="65" t="s">
        <v>1750</v>
      </c>
      <c r="B18" s="66">
        <v>0.4</v>
      </c>
      <c r="C18" s="17" t="s">
        <v>1794</v>
      </c>
      <c r="D18" s="17" t="s">
        <v>1795</v>
      </c>
      <c r="E18" s="67" t="s">
        <v>1796</v>
      </c>
    </row>
    <row r="19">
      <c r="A19" s="68" t="s">
        <v>1797</v>
      </c>
      <c r="B19" s="69" t="s">
        <v>1798</v>
      </c>
      <c r="C19" s="69" t="s">
        <v>1799</v>
      </c>
      <c r="D19" s="69" t="s">
        <v>1800</v>
      </c>
      <c r="E19" s="70" t="s">
        <v>1802</v>
      </c>
    </row>
    <row r="20" ht="15.75" customHeight="1">
      <c r="A20" s="7"/>
      <c r="B20" s="7"/>
      <c r="C20" s="7"/>
      <c r="D20" s="7"/>
      <c r="E20" s="7"/>
    </row>
    <row r="21" ht="15.75" customHeight="1">
      <c r="A21" s="7"/>
      <c r="B21" s="7"/>
      <c r="C21" s="7"/>
      <c r="D21" s="7"/>
      <c r="E21" s="7"/>
    </row>
    <row r="22" ht="15.75" customHeight="1">
      <c r="A22" s="7"/>
      <c r="B22" s="7"/>
      <c r="C22" s="7"/>
      <c r="D22" s="7"/>
      <c r="E22" s="7"/>
    </row>
    <row r="23" ht="15.75" customHeight="1">
      <c r="A23" s="7"/>
      <c r="B23" s="7"/>
      <c r="C23" s="7"/>
      <c r="D23" s="7"/>
      <c r="E23" s="7"/>
    </row>
    <row r="24" ht="15.75" customHeight="1">
      <c r="A24" s="7"/>
      <c r="B24" s="7"/>
      <c r="C24" s="7"/>
      <c r="D24" s="7"/>
      <c r="E24" s="7"/>
    </row>
    <row r="25" ht="15.75" customHeight="1">
      <c r="A25" s="7"/>
      <c r="B25" s="7"/>
      <c r="C25" s="7"/>
      <c r="D25" s="7"/>
      <c r="E25" s="7"/>
    </row>
    <row r="26" ht="15.75" customHeight="1">
      <c r="A26" s="7"/>
      <c r="B26" s="7"/>
      <c r="C26" s="7"/>
      <c r="D26" s="7"/>
      <c r="E26" s="7"/>
    </row>
    <row r="27" ht="15.75" customHeight="1">
      <c r="A27" s="7"/>
      <c r="B27" s="7"/>
      <c r="C27" s="7"/>
      <c r="D27" s="7"/>
      <c r="E27" s="7"/>
    </row>
    <row r="28" ht="15.75" customHeight="1">
      <c r="A28" s="7"/>
      <c r="B28" s="7"/>
      <c r="C28" s="7"/>
      <c r="D28" s="7"/>
      <c r="E28" s="7"/>
    </row>
    <row r="29" ht="15.75" customHeight="1">
      <c r="A29" s="7"/>
      <c r="B29" s="7"/>
      <c r="C29" s="7"/>
      <c r="D29" s="7"/>
      <c r="E29" s="7"/>
    </row>
    <row r="30" ht="15.75" customHeight="1">
      <c r="A30" s="7"/>
      <c r="B30" s="7"/>
      <c r="C30" s="7"/>
      <c r="D30" s="7"/>
      <c r="E30" s="7"/>
    </row>
    <row r="31" ht="15.75" customHeight="1">
      <c r="A31" s="7"/>
      <c r="B31" s="7"/>
      <c r="C31" s="7"/>
      <c r="D31" s="7"/>
      <c r="E31" s="7"/>
    </row>
    <row r="32" ht="15.75" customHeight="1">
      <c r="A32" s="7"/>
      <c r="B32" s="7"/>
      <c r="C32" s="7"/>
      <c r="D32" s="7"/>
      <c r="E32" s="7"/>
    </row>
    <row r="33" ht="15.75" customHeight="1">
      <c r="A33" s="7"/>
      <c r="B33" s="7"/>
      <c r="C33" s="7"/>
      <c r="D33" s="7"/>
      <c r="E33" s="7"/>
    </row>
    <row r="34" ht="15.75" customHeight="1">
      <c r="A34" s="7"/>
      <c r="B34" s="7"/>
      <c r="C34" s="7"/>
      <c r="D34" s="7"/>
      <c r="E34" s="7"/>
    </row>
    <row r="35" ht="15.75" customHeight="1">
      <c r="A35" s="7"/>
      <c r="B35" s="7"/>
      <c r="C35" s="7"/>
      <c r="D35" s="7"/>
      <c r="E35" s="7"/>
    </row>
    <row r="36" ht="15.75" customHeight="1">
      <c r="A36" s="7"/>
      <c r="B36" s="7"/>
      <c r="C36" s="7"/>
      <c r="D36" s="7"/>
      <c r="E36" s="7"/>
    </row>
    <row r="37" ht="15.75" customHeight="1">
      <c r="A37" s="7"/>
      <c r="B37" s="7"/>
      <c r="C37" s="7"/>
      <c r="D37" s="7"/>
      <c r="E37" s="7"/>
    </row>
    <row r="38" ht="15.75" customHeight="1">
      <c r="A38" s="7"/>
      <c r="B38" s="7"/>
      <c r="C38" s="7"/>
      <c r="D38" s="7"/>
      <c r="E38" s="7"/>
    </row>
    <row r="39" ht="15.75" customHeight="1">
      <c r="A39" s="7"/>
      <c r="B39" s="7"/>
      <c r="C39" s="7"/>
      <c r="D39" s="7"/>
      <c r="E39" s="7"/>
    </row>
    <row r="40" ht="15.75" customHeight="1">
      <c r="A40" s="7"/>
      <c r="B40" s="7"/>
      <c r="C40" s="7"/>
      <c r="D40" s="7"/>
      <c r="E40" s="7"/>
    </row>
    <row r="41" ht="15.75" customHeight="1">
      <c r="A41" s="7"/>
      <c r="B41" s="7"/>
      <c r="C41" s="7"/>
      <c r="D41" s="7"/>
      <c r="E41" s="7"/>
    </row>
    <row r="42" ht="15.75" customHeight="1">
      <c r="A42" s="7"/>
      <c r="B42" s="7"/>
      <c r="C42" s="7"/>
      <c r="D42" s="7"/>
      <c r="E42" s="7"/>
    </row>
    <row r="43" ht="15.75" customHeight="1">
      <c r="A43" s="7"/>
      <c r="B43" s="7"/>
      <c r="C43" s="7"/>
      <c r="D43" s="7"/>
      <c r="E43" s="7"/>
    </row>
    <row r="44" ht="15.75" customHeight="1">
      <c r="A44" s="7"/>
      <c r="B44" s="7"/>
      <c r="C44" s="7"/>
      <c r="D44" s="7"/>
      <c r="E44" s="7"/>
    </row>
    <row r="45" ht="15.75" customHeight="1">
      <c r="A45" s="7"/>
      <c r="B45" s="7"/>
      <c r="C45" s="7"/>
      <c r="D45" s="7"/>
      <c r="E45" s="7"/>
    </row>
    <row r="46" ht="15.75" customHeight="1">
      <c r="A46" s="7"/>
      <c r="B46" s="7"/>
      <c r="C46" s="7"/>
      <c r="D46" s="7"/>
      <c r="E46" s="7"/>
    </row>
    <row r="47" ht="15.75" customHeight="1">
      <c r="A47" s="7"/>
      <c r="B47" s="7"/>
      <c r="C47" s="7"/>
      <c r="D47" s="7"/>
      <c r="E47" s="7"/>
    </row>
    <row r="48" ht="15.75" customHeight="1">
      <c r="A48" s="7"/>
      <c r="B48" s="7"/>
      <c r="C48" s="7"/>
      <c r="D48" s="7"/>
      <c r="E48" s="7"/>
    </row>
    <row r="49" ht="15.75" customHeight="1">
      <c r="A49" s="7"/>
      <c r="B49" s="7"/>
      <c r="C49" s="7"/>
      <c r="D49" s="7"/>
      <c r="E49" s="7"/>
    </row>
    <row r="50" ht="15.75" customHeight="1">
      <c r="A50" s="7"/>
      <c r="B50" s="7"/>
      <c r="C50" s="7"/>
      <c r="D50" s="7"/>
      <c r="E50" s="7"/>
    </row>
    <row r="51" ht="15.75" customHeight="1">
      <c r="A51" s="7"/>
      <c r="B51" s="7"/>
      <c r="C51" s="7"/>
      <c r="D51" s="7"/>
      <c r="E51" s="7"/>
    </row>
    <row r="52" ht="15.75" customHeight="1">
      <c r="A52" s="7"/>
      <c r="B52" s="7"/>
      <c r="C52" s="7"/>
      <c r="D52" s="7"/>
      <c r="E52" s="7"/>
    </row>
    <row r="53" ht="15.75" customHeight="1">
      <c r="A53" s="7"/>
      <c r="B53" s="7"/>
      <c r="C53" s="7"/>
      <c r="D53" s="7"/>
      <c r="E53" s="7"/>
    </row>
    <row r="54" ht="15.75" customHeight="1">
      <c r="A54" s="7"/>
      <c r="B54" s="7"/>
      <c r="C54" s="7"/>
      <c r="D54" s="7"/>
      <c r="E54" s="7"/>
    </row>
    <row r="55" ht="15.75" customHeight="1">
      <c r="A55" s="7"/>
      <c r="B55" s="7"/>
      <c r="C55" s="7"/>
      <c r="D55" s="7"/>
      <c r="E55" s="7"/>
    </row>
    <row r="56" ht="15.75" customHeight="1">
      <c r="A56" s="7"/>
      <c r="B56" s="7"/>
      <c r="C56" s="7"/>
      <c r="D56" s="7"/>
      <c r="E56" s="7"/>
    </row>
    <row r="57" ht="15.75" customHeight="1">
      <c r="A57" s="7"/>
      <c r="B57" s="7"/>
      <c r="C57" s="7"/>
      <c r="D57" s="7"/>
      <c r="E57" s="7"/>
    </row>
    <row r="58" ht="15.75" customHeight="1">
      <c r="A58" s="7"/>
      <c r="B58" s="7"/>
      <c r="C58" s="7"/>
      <c r="D58" s="7"/>
      <c r="E58" s="7"/>
    </row>
    <row r="59" ht="15.75" customHeight="1">
      <c r="A59" s="7"/>
      <c r="B59" s="7"/>
      <c r="C59" s="7"/>
      <c r="D59" s="7"/>
      <c r="E59" s="7"/>
    </row>
    <row r="60" ht="15.75" customHeight="1">
      <c r="A60" s="7"/>
      <c r="B60" s="7"/>
      <c r="C60" s="7"/>
      <c r="D60" s="7"/>
      <c r="E60" s="7"/>
    </row>
    <row r="61" ht="15.75" customHeight="1">
      <c r="A61" s="7"/>
      <c r="B61" s="7"/>
      <c r="C61" s="7"/>
      <c r="D61" s="7"/>
      <c r="E61" s="7"/>
    </row>
    <row r="62" ht="15.75" customHeight="1">
      <c r="A62" s="7"/>
      <c r="B62" s="7"/>
      <c r="C62" s="7"/>
      <c r="D62" s="7"/>
      <c r="E62" s="7"/>
    </row>
    <row r="63" ht="15.75" customHeight="1">
      <c r="A63" s="7"/>
      <c r="B63" s="7"/>
      <c r="C63" s="7"/>
      <c r="D63" s="7"/>
      <c r="E63" s="7"/>
    </row>
    <row r="64" ht="15.75" customHeight="1">
      <c r="A64" s="7"/>
      <c r="B64" s="7"/>
      <c r="C64" s="7"/>
      <c r="D64" s="7"/>
      <c r="E64" s="7"/>
    </row>
    <row r="65" ht="15.75" customHeight="1">
      <c r="A65" s="7"/>
      <c r="B65" s="7"/>
      <c r="C65" s="7"/>
      <c r="D65" s="7"/>
      <c r="E65" s="7"/>
    </row>
    <row r="66" ht="15.75" customHeight="1">
      <c r="A66" s="7"/>
      <c r="B66" s="7"/>
      <c r="C66" s="7"/>
      <c r="D66" s="7"/>
      <c r="E66" s="7"/>
    </row>
    <row r="67" ht="15.75" customHeight="1">
      <c r="A67" s="7"/>
      <c r="B67" s="7"/>
      <c r="C67" s="7"/>
      <c r="D67" s="7"/>
      <c r="E67" s="7"/>
    </row>
    <row r="68" ht="15.75" customHeight="1">
      <c r="A68" s="7"/>
      <c r="B68" s="7"/>
      <c r="C68" s="7"/>
      <c r="D68" s="7"/>
      <c r="E68" s="7"/>
    </row>
    <row r="69" ht="15.75" customHeight="1">
      <c r="A69" s="7"/>
      <c r="B69" s="7"/>
      <c r="C69" s="7"/>
      <c r="D69" s="7"/>
      <c r="E69" s="7"/>
    </row>
    <row r="70" ht="15.75" customHeight="1">
      <c r="A70" s="7"/>
      <c r="B70" s="7"/>
      <c r="C70" s="7"/>
      <c r="D70" s="7"/>
      <c r="E70" s="7"/>
    </row>
    <row r="71" ht="15.75" customHeight="1">
      <c r="A71" s="7"/>
      <c r="B71" s="7"/>
      <c r="C71" s="7"/>
      <c r="D71" s="7"/>
      <c r="E71" s="7"/>
    </row>
    <row r="72" ht="15.75" customHeight="1">
      <c r="A72" s="7"/>
      <c r="B72" s="7"/>
      <c r="C72" s="7"/>
      <c r="D72" s="7"/>
      <c r="E72" s="7"/>
    </row>
    <row r="73" ht="15.75" customHeight="1">
      <c r="A73" s="7"/>
      <c r="B73" s="7"/>
      <c r="C73" s="7"/>
      <c r="D73" s="7"/>
      <c r="E73" s="7"/>
    </row>
    <row r="74" ht="15.75" customHeight="1">
      <c r="A74" s="7"/>
      <c r="B74" s="7"/>
      <c r="C74" s="7"/>
      <c r="D74" s="7"/>
      <c r="E74" s="7"/>
    </row>
    <row r="75" ht="15.75" customHeight="1">
      <c r="A75" s="7"/>
      <c r="B75" s="7"/>
      <c r="C75" s="7"/>
      <c r="D75" s="7"/>
      <c r="E75" s="7"/>
    </row>
    <row r="76" ht="15.75" customHeight="1">
      <c r="A76" s="7"/>
      <c r="B76" s="7"/>
      <c r="C76" s="7"/>
      <c r="D76" s="7"/>
      <c r="E76" s="7"/>
    </row>
    <row r="77" ht="15.75" customHeight="1">
      <c r="A77" s="7"/>
      <c r="B77" s="7"/>
      <c r="C77" s="7"/>
      <c r="D77" s="7"/>
      <c r="E77" s="7"/>
    </row>
    <row r="78" ht="15.75" customHeight="1">
      <c r="A78" s="7"/>
      <c r="B78" s="7"/>
      <c r="C78" s="7"/>
      <c r="D78" s="7"/>
      <c r="E78" s="7"/>
    </row>
    <row r="79" ht="15.75" customHeight="1">
      <c r="A79" s="7"/>
      <c r="B79" s="7"/>
      <c r="C79" s="7"/>
      <c r="D79" s="7"/>
      <c r="E79" s="7"/>
    </row>
    <row r="80" ht="15.75" customHeight="1">
      <c r="A80" s="7"/>
      <c r="B80" s="7"/>
      <c r="C80" s="7"/>
      <c r="D80" s="7"/>
      <c r="E80" s="7"/>
    </row>
    <row r="81" ht="15.75" customHeight="1">
      <c r="A81" s="7"/>
      <c r="B81" s="7"/>
      <c r="C81" s="7"/>
      <c r="D81" s="7"/>
      <c r="E81" s="7"/>
    </row>
    <row r="82" ht="15.75" customHeight="1">
      <c r="A82" s="7"/>
      <c r="B82" s="7"/>
      <c r="C82" s="7"/>
      <c r="D82" s="7"/>
      <c r="E82" s="7"/>
    </row>
    <row r="83" ht="15.75" customHeight="1">
      <c r="A83" s="7"/>
      <c r="B83" s="7"/>
      <c r="C83" s="7"/>
      <c r="D83" s="7"/>
      <c r="E83" s="7"/>
    </row>
    <row r="84" ht="15.75" customHeight="1">
      <c r="A84" s="7"/>
      <c r="B84" s="7"/>
      <c r="C84" s="7"/>
      <c r="D84" s="7"/>
      <c r="E84" s="7"/>
    </row>
    <row r="85" ht="15.75" customHeight="1">
      <c r="A85" s="7"/>
      <c r="B85" s="7"/>
      <c r="C85" s="7"/>
      <c r="D85" s="7"/>
      <c r="E85" s="7"/>
    </row>
    <row r="86" ht="15.75" customHeight="1">
      <c r="A86" s="7"/>
      <c r="B86" s="7"/>
      <c r="C86" s="7"/>
      <c r="D86" s="7"/>
      <c r="E86" s="7"/>
    </row>
    <row r="87" ht="15.75" customHeight="1">
      <c r="A87" s="7"/>
      <c r="B87" s="7"/>
      <c r="C87" s="7"/>
      <c r="D87" s="7"/>
      <c r="E87" s="7"/>
    </row>
    <row r="88" ht="15.75" customHeight="1">
      <c r="A88" s="7"/>
      <c r="B88" s="7"/>
      <c r="C88" s="7"/>
      <c r="D88" s="7"/>
      <c r="E88" s="7"/>
    </row>
    <row r="89" ht="15.75" customHeight="1">
      <c r="A89" s="7"/>
      <c r="B89" s="7"/>
      <c r="C89" s="7"/>
      <c r="D89" s="7"/>
      <c r="E89" s="7"/>
    </row>
    <row r="90" ht="15.75" customHeight="1">
      <c r="A90" s="7"/>
      <c r="B90" s="7"/>
      <c r="C90" s="7"/>
      <c r="D90" s="7"/>
      <c r="E90" s="7"/>
    </row>
    <row r="91" ht="15.75" customHeight="1">
      <c r="A91" s="7"/>
      <c r="B91" s="7"/>
      <c r="C91" s="7"/>
      <c r="D91" s="7"/>
      <c r="E91" s="7"/>
    </row>
    <row r="92" ht="15.75" customHeight="1">
      <c r="A92" s="7"/>
      <c r="B92" s="7"/>
      <c r="C92" s="7"/>
      <c r="D92" s="7"/>
      <c r="E92" s="7"/>
    </row>
    <row r="93" ht="15.75" customHeight="1">
      <c r="A93" s="7"/>
      <c r="B93" s="7"/>
      <c r="C93" s="7"/>
      <c r="D93" s="7"/>
      <c r="E93" s="7"/>
    </row>
    <row r="94" ht="15.75" customHeight="1">
      <c r="A94" s="7"/>
      <c r="B94" s="7"/>
      <c r="C94" s="7"/>
      <c r="D94" s="7"/>
      <c r="E94" s="7"/>
    </row>
    <row r="95" ht="15.75" customHeight="1">
      <c r="A95" s="7"/>
      <c r="B95" s="7"/>
      <c r="C95" s="7"/>
      <c r="D95" s="7"/>
      <c r="E95" s="7"/>
    </row>
    <row r="96" ht="15.75" customHeight="1">
      <c r="A96" s="7"/>
      <c r="B96" s="7"/>
      <c r="C96" s="7"/>
      <c r="D96" s="7"/>
      <c r="E96" s="7"/>
    </row>
    <row r="97" ht="15.75" customHeight="1">
      <c r="A97" s="7"/>
      <c r="B97" s="7"/>
      <c r="C97" s="7"/>
      <c r="D97" s="7"/>
      <c r="E97" s="7"/>
    </row>
    <row r="98" ht="15.75" customHeight="1">
      <c r="A98" s="7"/>
      <c r="B98" s="7"/>
      <c r="C98" s="7"/>
      <c r="D98" s="7"/>
      <c r="E98" s="7"/>
    </row>
    <row r="99" ht="15.75" customHeight="1">
      <c r="A99" s="7"/>
      <c r="B99" s="7"/>
      <c r="C99" s="7"/>
      <c r="D99" s="7"/>
      <c r="E99" s="7"/>
    </row>
    <row r="100" ht="15.75" customHeight="1">
      <c r="A100" s="7"/>
      <c r="B100" s="7"/>
      <c r="C100" s="7"/>
      <c r="D100" s="7"/>
      <c r="E100" s="7"/>
    </row>
    <row r="101" ht="15.75" customHeight="1">
      <c r="A101" s="7"/>
      <c r="B101" s="7"/>
      <c r="C101" s="7"/>
      <c r="D101" s="7"/>
      <c r="E101" s="7"/>
    </row>
    <row r="102" ht="15.75" customHeight="1">
      <c r="A102" s="7"/>
      <c r="B102" s="7"/>
      <c r="C102" s="7"/>
      <c r="D102" s="7"/>
      <c r="E102" s="7"/>
    </row>
    <row r="103" ht="15.75" customHeight="1">
      <c r="A103" s="7"/>
      <c r="B103" s="7"/>
      <c r="C103" s="7"/>
      <c r="D103" s="7"/>
      <c r="E103" s="7"/>
    </row>
    <row r="104" ht="15.75" customHeight="1">
      <c r="A104" s="7"/>
      <c r="B104" s="7"/>
      <c r="C104" s="7"/>
      <c r="D104" s="7"/>
      <c r="E104" s="7"/>
    </row>
    <row r="105" ht="15.75" customHeight="1">
      <c r="A105" s="7"/>
      <c r="B105" s="7"/>
      <c r="C105" s="7"/>
      <c r="D105" s="7"/>
      <c r="E105" s="7"/>
    </row>
    <row r="106" ht="15.75" customHeight="1">
      <c r="A106" s="7"/>
      <c r="B106" s="7"/>
      <c r="C106" s="7"/>
      <c r="D106" s="7"/>
      <c r="E106" s="7"/>
    </row>
    <row r="107" ht="15.75" customHeight="1">
      <c r="A107" s="7"/>
      <c r="B107" s="7"/>
      <c r="C107" s="7"/>
      <c r="D107" s="7"/>
      <c r="E107" s="7"/>
    </row>
    <row r="108" ht="15.75" customHeight="1">
      <c r="A108" s="7"/>
      <c r="B108" s="7"/>
      <c r="C108" s="7"/>
      <c r="D108" s="7"/>
      <c r="E108" s="7"/>
    </row>
    <row r="109" ht="15.75" customHeight="1">
      <c r="A109" s="7"/>
      <c r="B109" s="7"/>
      <c r="C109" s="7"/>
      <c r="D109" s="7"/>
      <c r="E109" s="7"/>
    </row>
    <row r="110" ht="15.75" customHeight="1">
      <c r="A110" s="7"/>
      <c r="B110" s="7"/>
      <c r="C110" s="7"/>
      <c r="D110" s="7"/>
      <c r="E110" s="7"/>
    </row>
    <row r="111" ht="15.75" customHeight="1">
      <c r="A111" s="7"/>
      <c r="B111" s="7"/>
      <c r="C111" s="7"/>
      <c r="D111" s="7"/>
      <c r="E111" s="7"/>
    </row>
    <row r="112" ht="15.75" customHeight="1">
      <c r="A112" s="7"/>
      <c r="B112" s="7"/>
      <c r="C112" s="7"/>
      <c r="D112" s="7"/>
      <c r="E112" s="7"/>
    </row>
    <row r="113" ht="15.75" customHeight="1">
      <c r="A113" s="7"/>
      <c r="B113" s="7"/>
      <c r="C113" s="7"/>
      <c r="D113" s="7"/>
      <c r="E113" s="7"/>
    </row>
    <row r="114" ht="15.75" customHeight="1">
      <c r="A114" s="7"/>
      <c r="B114" s="7"/>
      <c r="C114" s="7"/>
      <c r="D114" s="7"/>
      <c r="E114" s="7"/>
    </row>
    <row r="115" ht="15.75" customHeight="1">
      <c r="A115" s="7"/>
      <c r="B115" s="7"/>
      <c r="C115" s="7"/>
      <c r="D115" s="7"/>
      <c r="E115" s="7"/>
    </row>
    <row r="116" ht="15.75" customHeight="1">
      <c r="A116" s="7"/>
      <c r="B116" s="7"/>
      <c r="C116" s="7"/>
      <c r="D116" s="7"/>
      <c r="E116" s="7"/>
    </row>
    <row r="117" ht="15.75" customHeight="1">
      <c r="A117" s="7"/>
      <c r="B117" s="7"/>
      <c r="C117" s="7"/>
      <c r="D117" s="7"/>
      <c r="E117" s="7"/>
    </row>
    <row r="118" ht="15.75" customHeight="1">
      <c r="A118" s="7"/>
      <c r="B118" s="7"/>
      <c r="C118" s="7"/>
      <c r="D118" s="7"/>
      <c r="E118" s="7"/>
    </row>
    <row r="119" ht="15.75" customHeight="1">
      <c r="A119" s="7"/>
      <c r="B119" s="7"/>
      <c r="C119" s="7"/>
      <c r="D119" s="7"/>
      <c r="E119" s="7"/>
    </row>
    <row r="120" ht="15.75" customHeight="1">
      <c r="A120" s="7"/>
      <c r="B120" s="7"/>
      <c r="C120" s="7"/>
      <c r="D120" s="7"/>
      <c r="E120" s="7"/>
    </row>
    <row r="121" ht="15.75" customHeight="1">
      <c r="A121" s="7"/>
      <c r="B121" s="7"/>
      <c r="C121" s="7"/>
      <c r="D121" s="7"/>
      <c r="E121" s="7"/>
    </row>
    <row r="122" ht="15.75" customHeight="1">
      <c r="A122" s="7"/>
      <c r="B122" s="7"/>
      <c r="C122" s="7"/>
      <c r="D122" s="7"/>
      <c r="E122" s="7"/>
    </row>
    <row r="123" ht="15.75" customHeight="1">
      <c r="A123" s="7"/>
      <c r="B123" s="7"/>
      <c r="C123" s="7"/>
      <c r="D123" s="7"/>
      <c r="E123" s="7"/>
    </row>
    <row r="124" ht="15.75" customHeight="1">
      <c r="A124" s="7"/>
      <c r="B124" s="7"/>
      <c r="C124" s="7"/>
      <c r="D124" s="7"/>
      <c r="E124" s="7"/>
    </row>
    <row r="125" ht="15.75" customHeight="1">
      <c r="A125" s="7"/>
      <c r="B125" s="7"/>
      <c r="C125" s="7"/>
      <c r="D125" s="7"/>
      <c r="E125" s="7"/>
    </row>
    <row r="126" ht="15.75" customHeight="1">
      <c r="A126" s="7"/>
      <c r="B126" s="7"/>
      <c r="C126" s="7"/>
      <c r="D126" s="7"/>
      <c r="E126" s="7"/>
    </row>
    <row r="127" ht="15.75" customHeight="1">
      <c r="A127" s="7"/>
      <c r="B127" s="7"/>
      <c r="C127" s="7"/>
      <c r="D127" s="7"/>
      <c r="E127" s="7"/>
    </row>
    <row r="128" ht="15.75" customHeight="1">
      <c r="A128" s="7"/>
      <c r="B128" s="7"/>
      <c r="C128" s="7"/>
      <c r="D128" s="7"/>
      <c r="E128" s="7"/>
    </row>
    <row r="129" ht="15.75" customHeight="1">
      <c r="A129" s="7"/>
      <c r="B129" s="7"/>
      <c r="C129" s="7"/>
      <c r="D129" s="7"/>
      <c r="E129" s="7"/>
    </row>
    <row r="130" ht="15.75" customHeight="1">
      <c r="A130" s="7"/>
      <c r="B130" s="7"/>
      <c r="C130" s="7"/>
      <c r="D130" s="7"/>
      <c r="E130" s="7"/>
    </row>
    <row r="131" ht="15.75" customHeight="1">
      <c r="A131" s="7"/>
      <c r="B131" s="7"/>
      <c r="C131" s="7"/>
      <c r="D131" s="7"/>
      <c r="E131" s="7"/>
    </row>
    <row r="132" ht="15.75" customHeight="1">
      <c r="A132" s="7"/>
      <c r="B132" s="7"/>
      <c r="C132" s="7"/>
      <c r="D132" s="7"/>
      <c r="E132" s="7"/>
    </row>
    <row r="133" ht="15.75" customHeight="1">
      <c r="A133" s="7"/>
      <c r="B133" s="7"/>
      <c r="C133" s="7"/>
      <c r="D133" s="7"/>
      <c r="E133" s="7"/>
    </row>
    <row r="134" ht="15.75" customHeight="1">
      <c r="A134" s="7"/>
      <c r="B134" s="7"/>
      <c r="C134" s="7"/>
      <c r="D134" s="7"/>
      <c r="E134" s="7"/>
    </row>
    <row r="135" ht="15.75" customHeight="1">
      <c r="A135" s="7"/>
      <c r="B135" s="7"/>
      <c r="C135" s="7"/>
      <c r="D135" s="7"/>
      <c r="E135" s="7"/>
    </row>
    <row r="136" ht="15.75" customHeight="1">
      <c r="A136" s="7"/>
      <c r="B136" s="7"/>
      <c r="C136" s="7"/>
      <c r="D136" s="7"/>
      <c r="E136" s="7"/>
    </row>
    <row r="137" ht="15.75" customHeight="1">
      <c r="A137" s="7"/>
      <c r="B137" s="7"/>
      <c r="C137" s="7"/>
      <c r="D137" s="7"/>
      <c r="E137" s="7"/>
    </row>
    <row r="138" ht="15.75" customHeight="1">
      <c r="A138" s="7"/>
      <c r="B138" s="7"/>
      <c r="C138" s="7"/>
      <c r="D138" s="7"/>
      <c r="E138" s="7"/>
    </row>
    <row r="139" ht="15.75" customHeight="1">
      <c r="A139" s="7"/>
      <c r="B139" s="7"/>
      <c r="C139" s="7"/>
      <c r="D139" s="7"/>
      <c r="E139" s="7"/>
    </row>
    <row r="140" ht="15.75" customHeight="1">
      <c r="A140" s="7"/>
      <c r="B140" s="7"/>
      <c r="C140" s="7"/>
      <c r="D140" s="7"/>
      <c r="E140" s="7"/>
    </row>
    <row r="141" ht="15.75" customHeight="1">
      <c r="A141" s="7"/>
      <c r="B141" s="7"/>
      <c r="C141" s="7"/>
      <c r="D141" s="7"/>
      <c r="E141" s="7"/>
    </row>
    <row r="142" ht="15.75" customHeight="1">
      <c r="A142" s="7"/>
      <c r="B142" s="7"/>
      <c r="C142" s="7"/>
      <c r="D142" s="7"/>
      <c r="E142" s="7"/>
    </row>
    <row r="143" ht="15.75" customHeight="1">
      <c r="A143" s="7"/>
      <c r="B143" s="7"/>
      <c r="C143" s="7"/>
      <c r="D143" s="7"/>
      <c r="E143" s="7"/>
    </row>
    <row r="144" ht="15.75" customHeight="1">
      <c r="A144" s="7"/>
      <c r="B144" s="7"/>
      <c r="C144" s="7"/>
      <c r="D144" s="7"/>
      <c r="E144" s="7"/>
    </row>
    <row r="145" ht="15.75" customHeight="1">
      <c r="A145" s="7"/>
      <c r="B145" s="7"/>
      <c r="C145" s="7"/>
      <c r="D145" s="7"/>
      <c r="E145" s="7"/>
    </row>
    <row r="146" ht="15.75" customHeight="1">
      <c r="A146" s="7"/>
      <c r="B146" s="7"/>
      <c r="C146" s="7"/>
      <c r="D146" s="7"/>
      <c r="E146" s="7"/>
    </row>
    <row r="147" ht="15.75" customHeight="1">
      <c r="A147" s="7"/>
      <c r="B147" s="7"/>
      <c r="C147" s="7"/>
      <c r="D147" s="7"/>
      <c r="E147" s="7"/>
    </row>
    <row r="148" ht="15.75" customHeight="1">
      <c r="A148" s="7"/>
      <c r="B148" s="7"/>
      <c r="C148" s="7"/>
      <c r="D148" s="7"/>
      <c r="E148" s="7"/>
    </row>
    <row r="149" ht="15.75" customHeight="1">
      <c r="A149" s="7"/>
      <c r="B149" s="7"/>
      <c r="C149" s="7"/>
      <c r="D149" s="7"/>
      <c r="E149" s="7"/>
    </row>
    <row r="150" ht="15.75" customHeight="1">
      <c r="A150" s="7"/>
      <c r="B150" s="7"/>
      <c r="C150" s="7"/>
      <c r="D150" s="7"/>
      <c r="E150" s="7"/>
    </row>
    <row r="151" ht="15.75" customHeight="1">
      <c r="A151" s="7"/>
      <c r="B151" s="7"/>
      <c r="C151" s="7"/>
      <c r="D151" s="7"/>
      <c r="E151" s="7"/>
    </row>
    <row r="152" ht="15.75" customHeight="1">
      <c r="A152" s="7"/>
      <c r="B152" s="7"/>
      <c r="C152" s="7"/>
      <c r="D152" s="7"/>
      <c r="E152" s="7"/>
    </row>
    <row r="153" ht="15.75" customHeight="1">
      <c r="A153" s="7"/>
      <c r="B153" s="7"/>
      <c r="C153" s="7"/>
      <c r="D153" s="7"/>
      <c r="E153" s="7"/>
    </row>
    <row r="154" ht="15.75" customHeight="1">
      <c r="A154" s="7"/>
      <c r="B154" s="7"/>
      <c r="C154" s="7"/>
      <c r="D154" s="7"/>
      <c r="E154" s="7"/>
    </row>
    <row r="155" ht="15.75" customHeight="1">
      <c r="A155" s="7"/>
      <c r="B155" s="7"/>
      <c r="C155" s="7"/>
      <c r="D155" s="7"/>
      <c r="E155" s="7"/>
    </row>
    <row r="156" ht="15.75" customHeight="1">
      <c r="A156" s="7"/>
      <c r="B156" s="7"/>
      <c r="C156" s="7"/>
      <c r="D156" s="7"/>
      <c r="E156" s="7"/>
    </row>
    <row r="157" ht="15.75" customHeight="1">
      <c r="A157" s="7"/>
      <c r="B157" s="7"/>
      <c r="C157" s="7"/>
      <c r="D157" s="7"/>
      <c r="E157" s="7"/>
    </row>
    <row r="158" ht="15.75" customHeight="1">
      <c r="A158" s="7"/>
      <c r="B158" s="7"/>
      <c r="C158" s="7"/>
      <c r="D158" s="7"/>
      <c r="E158" s="7"/>
    </row>
    <row r="159" ht="15.75" customHeight="1">
      <c r="A159" s="7"/>
      <c r="B159" s="7"/>
      <c r="C159" s="7"/>
      <c r="D159" s="7"/>
      <c r="E159" s="7"/>
    </row>
    <row r="160" ht="15.75" customHeight="1">
      <c r="A160" s="7"/>
      <c r="B160" s="7"/>
      <c r="C160" s="7"/>
      <c r="D160" s="7"/>
      <c r="E160" s="7"/>
    </row>
    <row r="161" ht="15.75" customHeight="1">
      <c r="A161" s="7"/>
      <c r="B161" s="7"/>
      <c r="C161" s="7"/>
      <c r="D161" s="7"/>
      <c r="E161" s="7"/>
    </row>
    <row r="162" ht="15.75" customHeight="1">
      <c r="A162" s="7"/>
      <c r="B162" s="7"/>
      <c r="C162" s="7"/>
      <c r="D162" s="7"/>
      <c r="E162" s="7"/>
    </row>
    <row r="163" ht="15.75" customHeight="1">
      <c r="A163" s="7"/>
      <c r="B163" s="7"/>
      <c r="C163" s="7"/>
      <c r="D163" s="7"/>
      <c r="E163" s="7"/>
    </row>
    <row r="164" ht="15.75" customHeight="1">
      <c r="A164" s="7"/>
      <c r="B164" s="7"/>
      <c r="C164" s="7"/>
      <c r="D164" s="7"/>
      <c r="E164" s="7"/>
    </row>
    <row r="165" ht="15.75" customHeight="1">
      <c r="A165" s="7"/>
      <c r="B165" s="7"/>
      <c r="C165" s="7"/>
      <c r="D165" s="7"/>
      <c r="E165" s="7"/>
    </row>
    <row r="166" ht="15.75" customHeight="1">
      <c r="A166" s="7"/>
      <c r="B166" s="7"/>
      <c r="C166" s="7"/>
      <c r="D166" s="7"/>
      <c r="E166" s="7"/>
    </row>
    <row r="167" ht="15.75" customHeight="1">
      <c r="A167" s="7"/>
      <c r="B167" s="7"/>
      <c r="C167" s="7"/>
      <c r="D167" s="7"/>
      <c r="E167" s="7"/>
    </row>
    <row r="168" ht="15.75" customHeight="1">
      <c r="A168" s="7"/>
      <c r="B168" s="7"/>
      <c r="C168" s="7"/>
      <c r="D168" s="7"/>
      <c r="E168" s="7"/>
    </row>
    <row r="169" ht="15.75" customHeight="1">
      <c r="A169" s="7"/>
      <c r="B169" s="7"/>
      <c r="C169" s="7"/>
      <c r="D169" s="7"/>
      <c r="E169" s="7"/>
    </row>
    <row r="170" ht="15.75" customHeight="1">
      <c r="A170" s="7"/>
      <c r="B170" s="7"/>
      <c r="C170" s="7"/>
      <c r="D170" s="7"/>
      <c r="E170" s="7"/>
    </row>
    <row r="171" ht="15.75" customHeight="1">
      <c r="A171" s="7"/>
      <c r="B171" s="7"/>
      <c r="C171" s="7"/>
      <c r="D171" s="7"/>
      <c r="E171" s="7"/>
    </row>
    <row r="172" ht="15.75" customHeight="1">
      <c r="A172" s="7"/>
      <c r="B172" s="7"/>
      <c r="C172" s="7"/>
      <c r="D172" s="7"/>
      <c r="E172" s="7"/>
    </row>
    <row r="173" ht="15.75" customHeight="1">
      <c r="A173" s="7"/>
      <c r="B173" s="7"/>
      <c r="C173" s="7"/>
      <c r="D173" s="7"/>
      <c r="E173" s="7"/>
    </row>
    <row r="174" ht="15.75" customHeight="1">
      <c r="A174" s="7"/>
      <c r="B174" s="7"/>
      <c r="C174" s="7"/>
      <c r="D174" s="7"/>
      <c r="E174" s="7"/>
    </row>
    <row r="175" ht="15.75" customHeight="1">
      <c r="A175" s="7"/>
      <c r="B175" s="7"/>
      <c r="C175" s="7"/>
      <c r="D175" s="7"/>
      <c r="E175" s="7"/>
    </row>
    <row r="176" ht="15.75" customHeight="1">
      <c r="A176" s="7"/>
      <c r="B176" s="7"/>
      <c r="C176" s="7"/>
      <c r="D176" s="7"/>
      <c r="E176" s="7"/>
    </row>
    <row r="177" ht="15.75" customHeight="1">
      <c r="A177" s="7"/>
      <c r="B177" s="7"/>
      <c r="C177" s="7"/>
      <c r="D177" s="7"/>
      <c r="E177" s="7"/>
    </row>
    <row r="178" ht="15.75" customHeight="1">
      <c r="A178" s="7"/>
      <c r="B178" s="7"/>
      <c r="C178" s="7"/>
      <c r="D178" s="7"/>
      <c r="E178" s="7"/>
    </row>
    <row r="179" ht="15.75" customHeight="1">
      <c r="A179" s="7"/>
      <c r="B179" s="7"/>
      <c r="C179" s="7"/>
      <c r="D179" s="7"/>
      <c r="E179" s="7"/>
    </row>
    <row r="180" ht="15.75" customHeight="1">
      <c r="A180" s="7"/>
      <c r="B180" s="7"/>
      <c r="C180" s="7"/>
      <c r="D180" s="7"/>
      <c r="E180" s="7"/>
    </row>
    <row r="181" ht="15.75" customHeight="1">
      <c r="A181" s="7"/>
      <c r="B181" s="7"/>
      <c r="C181" s="7"/>
      <c r="D181" s="7"/>
      <c r="E181" s="7"/>
    </row>
    <row r="182" ht="15.75" customHeight="1">
      <c r="A182" s="7"/>
      <c r="B182" s="7"/>
      <c r="C182" s="7"/>
      <c r="D182" s="7"/>
      <c r="E182" s="7"/>
    </row>
    <row r="183" ht="15.75" customHeight="1">
      <c r="A183" s="7"/>
      <c r="B183" s="7"/>
      <c r="C183" s="7"/>
      <c r="D183" s="7"/>
      <c r="E183" s="7"/>
    </row>
    <row r="184" ht="15.75" customHeight="1">
      <c r="A184" s="7"/>
      <c r="B184" s="7"/>
      <c r="C184" s="7"/>
      <c r="D184" s="7"/>
      <c r="E184" s="7"/>
    </row>
    <row r="185" ht="15.75" customHeight="1">
      <c r="A185" s="7"/>
      <c r="B185" s="7"/>
      <c r="C185" s="7"/>
      <c r="D185" s="7"/>
      <c r="E185" s="7"/>
    </row>
    <row r="186" ht="15.75" customHeight="1">
      <c r="A186" s="7"/>
      <c r="B186" s="7"/>
      <c r="C186" s="7"/>
      <c r="D186" s="7"/>
      <c r="E186" s="7"/>
    </row>
    <row r="187" ht="15.75" customHeight="1">
      <c r="A187" s="7"/>
      <c r="B187" s="7"/>
      <c r="C187" s="7"/>
      <c r="D187" s="7"/>
      <c r="E187" s="7"/>
    </row>
    <row r="188" ht="15.75" customHeight="1">
      <c r="A188" s="7"/>
      <c r="B188" s="7"/>
      <c r="C188" s="7"/>
      <c r="D188" s="7"/>
      <c r="E188" s="7"/>
    </row>
    <row r="189" ht="15.75" customHeight="1">
      <c r="A189" s="7"/>
      <c r="B189" s="7"/>
      <c r="C189" s="7"/>
      <c r="D189" s="7"/>
      <c r="E189" s="7"/>
    </row>
    <row r="190" ht="15.75" customHeight="1">
      <c r="A190" s="7"/>
      <c r="B190" s="7"/>
      <c r="C190" s="7"/>
      <c r="D190" s="7"/>
      <c r="E190" s="7"/>
    </row>
    <row r="191" ht="15.75" customHeight="1">
      <c r="A191" s="7"/>
      <c r="B191" s="7"/>
      <c r="C191" s="7"/>
      <c r="D191" s="7"/>
      <c r="E191" s="7"/>
    </row>
    <row r="192" ht="15.75" customHeight="1">
      <c r="A192" s="7"/>
      <c r="B192" s="7"/>
      <c r="C192" s="7"/>
      <c r="D192" s="7"/>
      <c r="E192" s="7"/>
    </row>
    <row r="193" ht="15.75" customHeight="1">
      <c r="A193" s="7"/>
      <c r="B193" s="7"/>
      <c r="C193" s="7"/>
      <c r="D193" s="7"/>
      <c r="E193" s="7"/>
    </row>
    <row r="194" ht="15.75" customHeight="1">
      <c r="A194" s="7"/>
      <c r="B194" s="7"/>
      <c r="C194" s="7"/>
      <c r="D194" s="7"/>
      <c r="E194" s="7"/>
    </row>
    <row r="195" ht="15.75" customHeight="1">
      <c r="A195" s="7"/>
      <c r="B195" s="7"/>
      <c r="C195" s="7"/>
      <c r="D195" s="7"/>
      <c r="E195" s="7"/>
    </row>
    <row r="196" ht="15.75" customHeight="1">
      <c r="A196" s="7"/>
      <c r="B196" s="7"/>
      <c r="C196" s="7"/>
      <c r="D196" s="7"/>
      <c r="E196" s="7"/>
    </row>
    <row r="197" ht="15.75" customHeight="1">
      <c r="A197" s="7"/>
      <c r="B197" s="7"/>
      <c r="C197" s="7"/>
      <c r="D197" s="7"/>
      <c r="E197" s="7"/>
    </row>
    <row r="198" ht="15.75" customHeight="1">
      <c r="A198" s="7"/>
      <c r="B198" s="7"/>
      <c r="C198" s="7"/>
      <c r="D198" s="7"/>
      <c r="E198" s="7"/>
    </row>
    <row r="199" ht="15.75" customHeight="1">
      <c r="A199" s="7"/>
      <c r="B199" s="7"/>
      <c r="C199" s="7"/>
      <c r="D199" s="7"/>
      <c r="E199" s="7"/>
    </row>
    <row r="200" ht="15.75" customHeight="1">
      <c r="A200" s="7"/>
      <c r="B200" s="7"/>
      <c r="C200" s="7"/>
      <c r="D200" s="7"/>
      <c r="E200" s="7"/>
    </row>
    <row r="201" ht="15.75" customHeight="1">
      <c r="A201" s="7"/>
      <c r="B201" s="7"/>
      <c r="C201" s="7"/>
      <c r="D201" s="7"/>
      <c r="E201" s="7"/>
    </row>
    <row r="202" ht="15.75" customHeight="1">
      <c r="A202" s="7"/>
      <c r="B202" s="7"/>
      <c r="C202" s="7"/>
      <c r="D202" s="7"/>
      <c r="E202" s="7"/>
    </row>
    <row r="203" ht="15.75" customHeight="1">
      <c r="A203" s="7"/>
      <c r="B203" s="7"/>
      <c r="C203" s="7"/>
      <c r="D203" s="7"/>
      <c r="E203" s="7"/>
    </row>
    <row r="204" ht="15.75" customHeight="1">
      <c r="A204" s="7"/>
      <c r="B204" s="7"/>
      <c r="C204" s="7"/>
      <c r="D204" s="7"/>
      <c r="E204" s="7"/>
    </row>
    <row r="205" ht="15.75" customHeight="1">
      <c r="A205" s="7"/>
      <c r="B205" s="7"/>
      <c r="C205" s="7"/>
      <c r="D205" s="7"/>
      <c r="E205" s="7"/>
    </row>
    <row r="206" ht="15.75" customHeight="1">
      <c r="A206" s="7"/>
      <c r="B206" s="7"/>
      <c r="C206" s="7"/>
      <c r="D206" s="7"/>
      <c r="E206" s="7"/>
    </row>
    <row r="207" ht="15.75" customHeight="1">
      <c r="A207" s="7"/>
      <c r="B207" s="7"/>
      <c r="C207" s="7"/>
      <c r="D207" s="7"/>
      <c r="E207" s="7"/>
    </row>
    <row r="208" ht="15.75" customHeight="1">
      <c r="A208" s="7"/>
      <c r="B208" s="7"/>
      <c r="C208" s="7"/>
      <c r="D208" s="7"/>
      <c r="E208" s="7"/>
    </row>
    <row r="209" ht="15.75" customHeight="1">
      <c r="A209" s="7"/>
      <c r="B209" s="7"/>
      <c r="C209" s="7"/>
      <c r="D209" s="7"/>
      <c r="E209" s="7"/>
    </row>
    <row r="210" ht="15.75" customHeight="1">
      <c r="A210" s="7"/>
      <c r="B210" s="7"/>
      <c r="C210" s="7"/>
      <c r="D210" s="7"/>
      <c r="E210" s="7"/>
    </row>
    <row r="211" ht="15.75" customHeight="1">
      <c r="A211" s="7"/>
      <c r="B211" s="7"/>
      <c r="C211" s="7"/>
      <c r="D211" s="7"/>
      <c r="E211" s="7"/>
    </row>
    <row r="212" ht="15.75" customHeight="1">
      <c r="A212" s="7"/>
      <c r="B212" s="7"/>
      <c r="C212" s="7"/>
      <c r="D212" s="7"/>
      <c r="E212" s="7"/>
    </row>
    <row r="213" ht="15.75" customHeight="1">
      <c r="A213" s="7"/>
      <c r="B213" s="7"/>
      <c r="C213" s="7"/>
      <c r="D213" s="7"/>
      <c r="E213" s="7"/>
    </row>
    <row r="214" ht="15.75" customHeight="1">
      <c r="A214" s="7"/>
      <c r="B214" s="7"/>
      <c r="C214" s="7"/>
      <c r="D214" s="7"/>
      <c r="E214" s="7"/>
    </row>
    <row r="215" ht="15.75" customHeight="1">
      <c r="A215" s="7"/>
      <c r="B215" s="7"/>
      <c r="C215" s="7"/>
      <c r="D215" s="7"/>
      <c r="E215" s="7"/>
    </row>
    <row r="216" ht="15.75" customHeight="1">
      <c r="A216" s="7"/>
      <c r="B216" s="7"/>
      <c r="C216" s="7"/>
      <c r="D216" s="7"/>
      <c r="E216" s="7"/>
    </row>
    <row r="217" ht="15.75" customHeight="1">
      <c r="A217" s="7"/>
      <c r="B217" s="7"/>
      <c r="C217" s="7"/>
      <c r="D217" s="7"/>
      <c r="E217" s="7"/>
    </row>
    <row r="218" ht="15.75" customHeight="1">
      <c r="A218" s="7"/>
      <c r="B218" s="7"/>
      <c r="C218" s="7"/>
      <c r="D218" s="7"/>
      <c r="E218" s="7"/>
    </row>
    <row r="219" ht="15.75" customHeight="1">
      <c r="A219" s="7"/>
      <c r="B219" s="7"/>
      <c r="C219" s="7"/>
      <c r="D219" s="7"/>
      <c r="E219" s="7"/>
    </row>
    <row r="220" ht="15.75" customHeight="1">
      <c r="A220" s="7"/>
      <c r="B220" s="7"/>
      <c r="C220" s="7"/>
      <c r="D220" s="7"/>
      <c r="E220" s="7"/>
    </row>
    <row r="221" ht="15.75" customHeight="1">
      <c r="A221" s="7"/>
      <c r="B221" s="7"/>
      <c r="C221" s="7"/>
      <c r="D221" s="7"/>
      <c r="E221" s="7"/>
    </row>
    <row r="222" ht="15.75" customHeight="1">
      <c r="A222" s="7"/>
      <c r="B222" s="7"/>
      <c r="C222" s="7"/>
      <c r="D222" s="7"/>
      <c r="E222" s="7"/>
    </row>
    <row r="223" ht="15.75" customHeight="1">
      <c r="A223" s="7"/>
      <c r="B223" s="7"/>
      <c r="C223" s="7"/>
      <c r="D223" s="7"/>
      <c r="E223" s="7"/>
    </row>
    <row r="224" ht="15.75" customHeight="1">
      <c r="A224" s="7"/>
      <c r="B224" s="7"/>
      <c r="C224" s="7"/>
      <c r="D224" s="7"/>
      <c r="E224" s="7"/>
    </row>
    <row r="225" ht="15.75" customHeight="1">
      <c r="A225" s="7"/>
      <c r="B225" s="7"/>
      <c r="C225" s="7"/>
      <c r="D225" s="7"/>
      <c r="E225" s="7"/>
    </row>
    <row r="226" ht="15.75" customHeight="1">
      <c r="A226" s="7"/>
      <c r="B226" s="7"/>
      <c r="C226" s="7"/>
      <c r="D226" s="7"/>
      <c r="E226" s="7"/>
    </row>
    <row r="227" ht="15.75" customHeight="1">
      <c r="A227" s="7"/>
      <c r="B227" s="7"/>
      <c r="C227" s="7"/>
      <c r="D227" s="7"/>
      <c r="E227" s="7"/>
    </row>
    <row r="228" ht="15.75" customHeight="1">
      <c r="A228" s="7"/>
      <c r="B228" s="7"/>
      <c r="C228" s="7"/>
      <c r="D228" s="7"/>
      <c r="E228" s="7"/>
    </row>
    <row r="229" ht="15.75" customHeight="1">
      <c r="A229" s="7"/>
      <c r="B229" s="7"/>
      <c r="C229" s="7"/>
      <c r="D229" s="7"/>
      <c r="E229" s="7"/>
    </row>
    <row r="230" ht="15.75" customHeight="1">
      <c r="A230" s="7"/>
      <c r="B230" s="7"/>
      <c r="C230" s="7"/>
      <c r="D230" s="7"/>
      <c r="E230" s="7"/>
    </row>
    <row r="231" ht="15.75" customHeight="1">
      <c r="A231" s="7"/>
      <c r="B231" s="7"/>
      <c r="C231" s="7"/>
      <c r="D231" s="7"/>
      <c r="E231" s="7"/>
    </row>
    <row r="232" ht="15.75" customHeight="1">
      <c r="A232" s="7"/>
      <c r="B232" s="7"/>
      <c r="C232" s="7"/>
      <c r="D232" s="7"/>
      <c r="E232" s="7"/>
    </row>
    <row r="233" ht="15.75" customHeight="1">
      <c r="A233" s="7"/>
      <c r="B233" s="7"/>
      <c r="C233" s="7"/>
      <c r="D233" s="7"/>
      <c r="E233" s="7"/>
    </row>
    <row r="234" ht="15.75" customHeight="1">
      <c r="A234" s="7"/>
      <c r="B234" s="7"/>
      <c r="C234" s="7"/>
      <c r="D234" s="7"/>
      <c r="E234" s="7"/>
    </row>
    <row r="235" ht="15.75" customHeight="1">
      <c r="A235" s="7"/>
      <c r="B235" s="7"/>
      <c r="C235" s="7"/>
      <c r="D235" s="7"/>
      <c r="E235" s="7"/>
    </row>
    <row r="236" ht="15.75" customHeight="1">
      <c r="A236" s="7"/>
      <c r="B236" s="7"/>
      <c r="C236" s="7"/>
      <c r="D236" s="7"/>
      <c r="E236" s="7"/>
    </row>
    <row r="237" ht="15.75" customHeight="1">
      <c r="A237" s="7"/>
      <c r="B237" s="7"/>
      <c r="C237" s="7"/>
      <c r="D237" s="7"/>
      <c r="E237" s="7"/>
    </row>
    <row r="238" ht="15.75" customHeight="1">
      <c r="A238" s="7"/>
      <c r="B238" s="7"/>
      <c r="C238" s="7"/>
      <c r="D238" s="7"/>
      <c r="E238" s="7"/>
    </row>
    <row r="239" ht="15.75" customHeight="1">
      <c r="A239" s="7"/>
      <c r="B239" s="7"/>
      <c r="C239" s="7"/>
      <c r="D239" s="7"/>
      <c r="E239" s="7"/>
    </row>
    <row r="240" ht="15.75" customHeight="1">
      <c r="A240" s="7"/>
      <c r="B240" s="7"/>
      <c r="C240" s="7"/>
      <c r="D240" s="7"/>
      <c r="E240" s="7"/>
    </row>
    <row r="241" ht="15.75" customHeight="1">
      <c r="A241" s="7"/>
      <c r="B241" s="7"/>
      <c r="C241" s="7"/>
      <c r="D241" s="7"/>
      <c r="E241" s="7"/>
    </row>
    <row r="242" ht="15.75" customHeight="1">
      <c r="A242" s="7"/>
      <c r="B242" s="7"/>
      <c r="C242" s="7"/>
      <c r="D242" s="7"/>
      <c r="E242" s="7"/>
    </row>
    <row r="243" ht="15.75" customHeight="1">
      <c r="A243" s="7"/>
      <c r="B243" s="7"/>
      <c r="C243" s="7"/>
      <c r="D243" s="7"/>
      <c r="E243" s="7"/>
    </row>
    <row r="244" ht="15.75" customHeight="1">
      <c r="A244" s="7"/>
      <c r="B244" s="7"/>
      <c r="C244" s="7"/>
      <c r="D244" s="7"/>
      <c r="E244" s="7"/>
    </row>
    <row r="245" ht="15.75" customHeight="1">
      <c r="A245" s="7"/>
      <c r="B245" s="7"/>
      <c r="C245" s="7"/>
      <c r="D245" s="7"/>
      <c r="E245" s="7"/>
    </row>
    <row r="246" ht="15.75" customHeight="1">
      <c r="A246" s="7"/>
      <c r="B246" s="7"/>
      <c r="C246" s="7"/>
      <c r="D246" s="7"/>
      <c r="E246" s="7"/>
    </row>
    <row r="247" ht="15.75" customHeight="1">
      <c r="A247" s="7"/>
      <c r="B247" s="7"/>
      <c r="C247" s="7"/>
      <c r="D247" s="7"/>
      <c r="E247" s="7"/>
    </row>
    <row r="248" ht="15.75" customHeight="1">
      <c r="A248" s="7"/>
      <c r="B248" s="7"/>
      <c r="C248" s="7"/>
      <c r="D248" s="7"/>
      <c r="E248" s="7"/>
    </row>
    <row r="249" ht="15.75" customHeight="1">
      <c r="A249" s="7"/>
      <c r="B249" s="7"/>
      <c r="C249" s="7"/>
      <c r="D249" s="7"/>
      <c r="E249" s="7"/>
    </row>
    <row r="250" ht="15.75" customHeight="1">
      <c r="A250" s="7"/>
      <c r="B250" s="7"/>
      <c r="C250" s="7"/>
      <c r="D250" s="7"/>
      <c r="E250" s="7"/>
    </row>
    <row r="251" ht="15.75" customHeight="1">
      <c r="A251" s="7"/>
      <c r="B251" s="7"/>
      <c r="C251" s="7"/>
      <c r="D251" s="7"/>
      <c r="E251" s="7"/>
    </row>
    <row r="252" ht="15.75" customHeight="1">
      <c r="A252" s="7"/>
      <c r="B252" s="7"/>
      <c r="C252" s="7"/>
      <c r="D252" s="7"/>
      <c r="E252" s="7"/>
    </row>
    <row r="253" ht="15.75" customHeight="1">
      <c r="A253" s="7"/>
      <c r="B253" s="7"/>
      <c r="C253" s="7"/>
      <c r="D253" s="7"/>
      <c r="E253" s="7"/>
    </row>
    <row r="254" ht="15.75" customHeight="1">
      <c r="A254" s="7"/>
      <c r="B254" s="7"/>
      <c r="C254" s="7"/>
      <c r="D254" s="7"/>
      <c r="E254" s="7"/>
    </row>
    <row r="255" ht="15.75" customHeight="1">
      <c r="A255" s="7"/>
      <c r="B255" s="7"/>
      <c r="C255" s="7"/>
      <c r="D255" s="7"/>
      <c r="E255" s="7"/>
    </row>
    <row r="256" ht="15.75" customHeight="1">
      <c r="A256" s="7"/>
      <c r="B256" s="7"/>
      <c r="C256" s="7"/>
      <c r="D256" s="7"/>
      <c r="E256" s="7"/>
    </row>
    <row r="257" ht="15.75" customHeight="1">
      <c r="A257" s="7"/>
      <c r="B257" s="7"/>
      <c r="C257" s="7"/>
      <c r="D257" s="7"/>
      <c r="E257" s="7"/>
    </row>
    <row r="258" ht="15.75" customHeight="1">
      <c r="A258" s="7"/>
      <c r="B258" s="7"/>
      <c r="C258" s="7"/>
      <c r="D258" s="7"/>
      <c r="E258" s="7"/>
    </row>
    <row r="259" ht="15.75" customHeight="1">
      <c r="A259" s="7"/>
      <c r="B259" s="7"/>
      <c r="C259" s="7"/>
      <c r="D259" s="7"/>
      <c r="E259" s="7"/>
    </row>
    <row r="260" ht="15.75" customHeight="1">
      <c r="A260" s="7"/>
      <c r="B260" s="7"/>
      <c r="C260" s="7"/>
      <c r="D260" s="7"/>
      <c r="E260" s="7"/>
    </row>
    <row r="261" ht="15.75" customHeight="1">
      <c r="A261" s="7"/>
      <c r="B261" s="7"/>
      <c r="C261" s="7"/>
      <c r="D261" s="7"/>
      <c r="E261" s="7"/>
    </row>
    <row r="262" ht="15.75" customHeight="1">
      <c r="A262" s="7"/>
      <c r="B262" s="7"/>
      <c r="C262" s="7"/>
      <c r="D262" s="7"/>
      <c r="E262" s="7"/>
    </row>
    <row r="263" ht="15.75" customHeight="1">
      <c r="A263" s="7"/>
      <c r="B263" s="7"/>
      <c r="C263" s="7"/>
      <c r="D263" s="7"/>
      <c r="E263" s="7"/>
    </row>
    <row r="264" ht="15.75" customHeight="1">
      <c r="A264" s="7"/>
      <c r="B264" s="7"/>
      <c r="C264" s="7"/>
      <c r="D264" s="7"/>
      <c r="E264" s="7"/>
    </row>
    <row r="265" ht="15.75" customHeight="1">
      <c r="A265" s="7"/>
      <c r="B265" s="7"/>
      <c r="C265" s="7"/>
      <c r="D265" s="7"/>
      <c r="E265" s="7"/>
    </row>
    <row r="266" ht="15.75" customHeight="1">
      <c r="A266" s="7"/>
      <c r="B266" s="7"/>
      <c r="C266" s="7"/>
      <c r="D266" s="7"/>
      <c r="E266" s="7"/>
    </row>
    <row r="267" ht="15.75" customHeight="1">
      <c r="A267" s="7"/>
      <c r="B267" s="7"/>
      <c r="C267" s="7"/>
      <c r="D267" s="7"/>
      <c r="E267" s="7"/>
    </row>
    <row r="268" ht="15.75" customHeight="1">
      <c r="A268" s="7"/>
      <c r="B268" s="7"/>
      <c r="C268" s="7"/>
      <c r="D268" s="7"/>
      <c r="E268" s="7"/>
    </row>
    <row r="269" ht="15.75" customHeight="1">
      <c r="A269" s="7"/>
      <c r="B269" s="7"/>
      <c r="C269" s="7"/>
      <c r="D269" s="7"/>
      <c r="E269" s="7"/>
    </row>
    <row r="270" ht="15.75" customHeight="1">
      <c r="A270" s="7"/>
      <c r="B270" s="7"/>
      <c r="C270" s="7"/>
      <c r="D270" s="7"/>
      <c r="E270" s="7"/>
    </row>
    <row r="271" ht="15.75" customHeight="1">
      <c r="A271" s="7"/>
      <c r="B271" s="7"/>
      <c r="C271" s="7"/>
      <c r="D271" s="7"/>
      <c r="E271" s="7"/>
    </row>
    <row r="272" ht="15.75" customHeight="1">
      <c r="A272" s="7"/>
      <c r="B272" s="7"/>
      <c r="C272" s="7"/>
      <c r="D272" s="7"/>
      <c r="E272" s="7"/>
    </row>
    <row r="273" ht="15.75" customHeight="1">
      <c r="A273" s="7"/>
      <c r="B273" s="7"/>
      <c r="C273" s="7"/>
      <c r="D273" s="7"/>
      <c r="E273" s="7"/>
    </row>
    <row r="274" ht="15.75" customHeight="1">
      <c r="A274" s="7"/>
      <c r="B274" s="7"/>
      <c r="C274" s="7"/>
      <c r="D274" s="7"/>
      <c r="E274" s="7"/>
    </row>
    <row r="275" ht="15.75" customHeight="1">
      <c r="A275" s="7"/>
      <c r="B275" s="7"/>
      <c r="C275" s="7"/>
      <c r="D275" s="7"/>
      <c r="E275" s="7"/>
    </row>
    <row r="276" ht="15.75" customHeight="1">
      <c r="A276" s="7"/>
      <c r="B276" s="7"/>
      <c r="C276" s="7"/>
      <c r="D276" s="7"/>
      <c r="E276" s="7"/>
    </row>
    <row r="277" ht="15.75" customHeight="1">
      <c r="A277" s="7"/>
      <c r="B277" s="7"/>
      <c r="C277" s="7"/>
      <c r="D277" s="7"/>
      <c r="E277" s="7"/>
    </row>
    <row r="278" ht="15.75" customHeight="1">
      <c r="A278" s="7"/>
      <c r="B278" s="7"/>
      <c r="C278" s="7"/>
      <c r="D278" s="7"/>
      <c r="E278" s="7"/>
    </row>
    <row r="279" ht="15.75" customHeight="1">
      <c r="A279" s="7"/>
      <c r="B279" s="7"/>
      <c r="C279" s="7"/>
      <c r="D279" s="7"/>
      <c r="E279" s="7"/>
    </row>
    <row r="280" ht="15.75" customHeight="1">
      <c r="A280" s="7"/>
      <c r="B280" s="7"/>
      <c r="C280" s="7"/>
      <c r="D280" s="7"/>
      <c r="E280" s="7"/>
    </row>
    <row r="281" ht="15.75" customHeight="1">
      <c r="A281" s="7"/>
      <c r="B281" s="7"/>
      <c r="C281" s="7"/>
      <c r="D281" s="7"/>
      <c r="E281" s="7"/>
    </row>
    <row r="282" ht="15.75" customHeight="1">
      <c r="A282" s="7"/>
      <c r="B282" s="7"/>
      <c r="C282" s="7"/>
      <c r="D282" s="7"/>
      <c r="E282" s="7"/>
    </row>
    <row r="283" ht="15.75" customHeight="1">
      <c r="A283" s="7"/>
      <c r="B283" s="7"/>
      <c r="C283" s="7"/>
      <c r="D283" s="7"/>
      <c r="E283" s="7"/>
    </row>
    <row r="284" ht="15.75" customHeight="1">
      <c r="A284" s="7"/>
      <c r="B284" s="7"/>
      <c r="C284" s="7"/>
      <c r="D284" s="7"/>
      <c r="E284" s="7"/>
    </row>
    <row r="285" ht="15.75" customHeight="1">
      <c r="A285" s="7"/>
      <c r="B285" s="7"/>
      <c r="C285" s="7"/>
      <c r="D285" s="7"/>
      <c r="E285" s="7"/>
    </row>
    <row r="286" ht="15.75" customHeight="1">
      <c r="A286" s="7"/>
      <c r="B286" s="7"/>
      <c r="C286" s="7"/>
      <c r="D286" s="7"/>
      <c r="E286" s="7"/>
    </row>
    <row r="287" ht="15.75" customHeight="1">
      <c r="A287" s="7"/>
      <c r="B287" s="7"/>
      <c r="C287" s="7"/>
      <c r="D287" s="7"/>
      <c r="E287" s="7"/>
    </row>
    <row r="288" ht="15.75" customHeight="1">
      <c r="A288" s="7"/>
      <c r="B288" s="7"/>
      <c r="C288" s="7"/>
      <c r="D288" s="7"/>
      <c r="E288" s="7"/>
    </row>
    <row r="289" ht="15.75" customHeight="1">
      <c r="A289" s="7"/>
      <c r="B289" s="7"/>
      <c r="C289" s="7"/>
      <c r="D289" s="7"/>
      <c r="E289" s="7"/>
    </row>
    <row r="290" ht="15.75" customHeight="1">
      <c r="A290" s="7"/>
      <c r="B290" s="7"/>
      <c r="C290" s="7"/>
      <c r="D290" s="7"/>
      <c r="E290" s="7"/>
    </row>
    <row r="291" ht="15.75" customHeight="1">
      <c r="A291" s="7"/>
      <c r="B291" s="7"/>
      <c r="C291" s="7"/>
      <c r="D291" s="7"/>
      <c r="E291" s="7"/>
    </row>
    <row r="292" ht="15.75" customHeight="1">
      <c r="A292" s="7"/>
      <c r="B292" s="7"/>
      <c r="C292" s="7"/>
      <c r="D292" s="7"/>
      <c r="E292" s="7"/>
    </row>
    <row r="293" ht="15.75" customHeight="1">
      <c r="A293" s="7"/>
      <c r="B293" s="7"/>
      <c r="C293" s="7"/>
      <c r="D293" s="7"/>
      <c r="E293" s="7"/>
    </row>
    <row r="294" ht="15.75" customHeight="1">
      <c r="A294" s="7"/>
      <c r="B294" s="7"/>
      <c r="C294" s="7"/>
      <c r="D294" s="7"/>
      <c r="E294" s="7"/>
    </row>
    <row r="295" ht="15.75" customHeight="1">
      <c r="A295" s="7"/>
      <c r="B295" s="7"/>
      <c r="C295" s="7"/>
      <c r="D295" s="7"/>
      <c r="E295" s="7"/>
    </row>
    <row r="296" ht="15.75" customHeight="1">
      <c r="A296" s="7"/>
      <c r="B296" s="7"/>
      <c r="C296" s="7"/>
      <c r="D296" s="7"/>
      <c r="E296" s="7"/>
    </row>
    <row r="297" ht="15.75" customHeight="1">
      <c r="A297" s="7"/>
      <c r="B297" s="7"/>
      <c r="C297" s="7"/>
      <c r="D297" s="7"/>
      <c r="E297" s="7"/>
    </row>
    <row r="298" ht="15.75" customHeight="1">
      <c r="A298" s="7"/>
      <c r="B298" s="7"/>
      <c r="C298" s="7"/>
      <c r="D298" s="7"/>
      <c r="E298" s="7"/>
    </row>
    <row r="299" ht="15.75" customHeight="1">
      <c r="A299" s="7"/>
      <c r="B299" s="7"/>
      <c r="C299" s="7"/>
      <c r="D299" s="7"/>
      <c r="E299" s="7"/>
    </row>
    <row r="300" ht="15.75" customHeight="1">
      <c r="A300" s="7"/>
      <c r="B300" s="7"/>
      <c r="C300" s="7"/>
      <c r="D300" s="7"/>
      <c r="E300" s="7"/>
    </row>
    <row r="301" ht="15.75" customHeight="1">
      <c r="A301" s="7"/>
      <c r="B301" s="7"/>
      <c r="C301" s="7"/>
      <c r="D301" s="7"/>
      <c r="E301" s="7"/>
    </row>
    <row r="302" ht="15.75" customHeight="1">
      <c r="A302" s="7"/>
      <c r="B302" s="7"/>
      <c r="C302" s="7"/>
      <c r="D302" s="7"/>
      <c r="E302" s="7"/>
    </row>
    <row r="303" ht="15.75" customHeight="1">
      <c r="A303" s="7"/>
      <c r="B303" s="7"/>
      <c r="C303" s="7"/>
      <c r="D303" s="7"/>
      <c r="E303" s="7"/>
    </row>
    <row r="304" ht="15.75" customHeight="1">
      <c r="A304" s="7"/>
      <c r="B304" s="7"/>
      <c r="C304" s="7"/>
      <c r="D304" s="7"/>
      <c r="E304" s="7"/>
    </row>
    <row r="305" ht="15.75" customHeight="1">
      <c r="A305" s="7"/>
      <c r="B305" s="7"/>
      <c r="C305" s="7"/>
      <c r="D305" s="7"/>
      <c r="E305" s="7"/>
    </row>
    <row r="306" ht="15.75" customHeight="1">
      <c r="A306" s="7"/>
      <c r="B306" s="7"/>
      <c r="C306" s="7"/>
      <c r="D306" s="7"/>
      <c r="E306" s="7"/>
    </row>
    <row r="307" ht="15.75" customHeight="1">
      <c r="A307" s="7"/>
      <c r="B307" s="7"/>
      <c r="C307" s="7"/>
      <c r="D307" s="7"/>
      <c r="E307" s="7"/>
    </row>
    <row r="308" ht="15.75" customHeight="1">
      <c r="A308" s="7"/>
      <c r="B308" s="7"/>
      <c r="C308" s="7"/>
      <c r="D308" s="7"/>
      <c r="E308" s="7"/>
    </row>
    <row r="309" ht="15.75" customHeight="1">
      <c r="A309" s="7"/>
      <c r="B309" s="7"/>
      <c r="C309" s="7"/>
      <c r="D309" s="7"/>
      <c r="E309" s="7"/>
    </row>
    <row r="310" ht="15.75" customHeight="1">
      <c r="A310" s="7"/>
      <c r="B310" s="7"/>
      <c r="C310" s="7"/>
      <c r="D310" s="7"/>
      <c r="E310" s="7"/>
    </row>
    <row r="311" ht="15.75" customHeight="1">
      <c r="A311" s="7"/>
      <c r="B311" s="7"/>
      <c r="C311" s="7"/>
      <c r="D311" s="7"/>
      <c r="E311" s="7"/>
    </row>
    <row r="312" ht="15.75" customHeight="1">
      <c r="A312" s="7"/>
      <c r="B312" s="7"/>
      <c r="C312" s="7"/>
      <c r="D312" s="7"/>
      <c r="E312" s="7"/>
    </row>
    <row r="313" ht="15.75" customHeight="1">
      <c r="A313" s="7"/>
      <c r="B313" s="7"/>
      <c r="C313" s="7"/>
      <c r="D313" s="7"/>
      <c r="E313" s="7"/>
    </row>
    <row r="314" ht="15.75" customHeight="1">
      <c r="A314" s="7"/>
      <c r="B314" s="7"/>
      <c r="C314" s="7"/>
      <c r="D314" s="7"/>
      <c r="E314" s="7"/>
    </row>
    <row r="315" ht="15.75" customHeight="1">
      <c r="A315" s="7"/>
      <c r="B315" s="7"/>
      <c r="C315" s="7"/>
      <c r="D315" s="7"/>
      <c r="E315" s="7"/>
    </row>
    <row r="316" ht="15.75" customHeight="1">
      <c r="A316" s="7"/>
      <c r="B316" s="7"/>
      <c r="C316" s="7"/>
      <c r="D316" s="7"/>
      <c r="E316" s="7"/>
    </row>
    <row r="317" ht="15.75" customHeight="1">
      <c r="A317" s="7"/>
      <c r="B317" s="7"/>
      <c r="C317" s="7"/>
      <c r="D317" s="7"/>
      <c r="E317" s="7"/>
    </row>
    <row r="318" ht="15.75" customHeight="1">
      <c r="A318" s="7"/>
      <c r="B318" s="7"/>
      <c r="C318" s="7"/>
      <c r="D318" s="7"/>
      <c r="E318" s="7"/>
    </row>
    <row r="319" ht="15.75" customHeight="1">
      <c r="A319" s="7"/>
      <c r="B319" s="7"/>
      <c r="C319" s="7"/>
      <c r="D319" s="7"/>
      <c r="E319" s="7"/>
    </row>
    <row r="320" ht="15.75" customHeight="1">
      <c r="A320" s="7"/>
      <c r="B320" s="7"/>
      <c r="C320" s="7"/>
      <c r="D320" s="7"/>
      <c r="E320" s="7"/>
    </row>
    <row r="321" ht="15.75" customHeight="1">
      <c r="A321" s="7"/>
      <c r="B321" s="7"/>
      <c r="C321" s="7"/>
      <c r="D321" s="7"/>
      <c r="E321" s="7"/>
    </row>
    <row r="322" ht="15.75" customHeight="1">
      <c r="A322" s="7"/>
      <c r="B322" s="7"/>
      <c r="C322" s="7"/>
      <c r="D322" s="7"/>
      <c r="E322" s="7"/>
    </row>
    <row r="323" ht="15.75" customHeight="1">
      <c r="A323" s="7"/>
      <c r="B323" s="7"/>
      <c r="C323" s="7"/>
      <c r="D323" s="7"/>
      <c r="E323" s="7"/>
    </row>
    <row r="324" ht="15.75" customHeight="1">
      <c r="A324" s="7"/>
      <c r="B324" s="7"/>
      <c r="C324" s="7"/>
      <c r="D324" s="7"/>
      <c r="E324" s="7"/>
    </row>
    <row r="325" ht="15.75" customHeight="1">
      <c r="A325" s="7"/>
      <c r="B325" s="7"/>
      <c r="C325" s="7"/>
      <c r="D325" s="7"/>
      <c r="E325" s="7"/>
    </row>
    <row r="326" ht="15.75" customHeight="1">
      <c r="A326" s="7"/>
      <c r="B326" s="7"/>
      <c r="C326" s="7"/>
      <c r="D326" s="7"/>
      <c r="E326" s="7"/>
    </row>
    <row r="327" ht="15.75" customHeight="1">
      <c r="A327" s="7"/>
      <c r="B327" s="7"/>
      <c r="C327" s="7"/>
      <c r="D327" s="7"/>
      <c r="E327" s="7"/>
    </row>
    <row r="328" ht="15.75" customHeight="1">
      <c r="A328" s="7"/>
      <c r="B328" s="7"/>
      <c r="C328" s="7"/>
      <c r="D328" s="7"/>
      <c r="E328" s="7"/>
    </row>
    <row r="329" ht="15.75" customHeight="1">
      <c r="A329" s="7"/>
      <c r="B329" s="7"/>
      <c r="C329" s="7"/>
      <c r="D329" s="7"/>
      <c r="E329" s="7"/>
    </row>
    <row r="330" ht="15.75" customHeight="1">
      <c r="A330" s="7"/>
      <c r="B330" s="7"/>
      <c r="C330" s="7"/>
      <c r="D330" s="7"/>
      <c r="E330" s="7"/>
    </row>
    <row r="331" ht="15.75" customHeight="1">
      <c r="A331" s="7"/>
      <c r="B331" s="7"/>
      <c r="C331" s="7"/>
      <c r="D331" s="7"/>
      <c r="E331" s="7"/>
    </row>
    <row r="332" ht="15.75" customHeight="1">
      <c r="A332" s="7"/>
      <c r="B332" s="7"/>
      <c r="C332" s="7"/>
      <c r="D332" s="7"/>
      <c r="E332" s="7"/>
    </row>
    <row r="333" ht="15.75" customHeight="1">
      <c r="A333" s="7"/>
      <c r="B333" s="7"/>
      <c r="C333" s="7"/>
      <c r="D333" s="7"/>
      <c r="E333" s="7"/>
    </row>
    <row r="334" ht="15.75" customHeight="1">
      <c r="A334" s="7"/>
      <c r="B334" s="7"/>
      <c r="C334" s="7"/>
      <c r="D334" s="7"/>
      <c r="E334" s="7"/>
    </row>
    <row r="335" ht="15.75" customHeight="1">
      <c r="A335" s="7"/>
      <c r="B335" s="7"/>
      <c r="C335" s="7"/>
      <c r="D335" s="7"/>
      <c r="E335" s="7"/>
    </row>
    <row r="336" ht="15.75" customHeight="1">
      <c r="A336" s="7"/>
      <c r="B336" s="7"/>
      <c r="C336" s="7"/>
      <c r="D336" s="7"/>
      <c r="E336" s="7"/>
    </row>
    <row r="337" ht="15.75" customHeight="1">
      <c r="A337" s="7"/>
      <c r="B337" s="7"/>
      <c r="C337" s="7"/>
      <c r="D337" s="7"/>
      <c r="E337" s="7"/>
    </row>
    <row r="338" ht="15.75" customHeight="1">
      <c r="A338" s="7"/>
      <c r="B338" s="7"/>
      <c r="C338" s="7"/>
      <c r="D338" s="7"/>
      <c r="E338" s="7"/>
    </row>
    <row r="339" ht="15.75" customHeight="1">
      <c r="A339" s="7"/>
      <c r="B339" s="7"/>
      <c r="C339" s="7"/>
      <c r="D339" s="7"/>
      <c r="E339" s="7"/>
    </row>
    <row r="340" ht="15.75" customHeight="1">
      <c r="A340" s="7"/>
      <c r="B340" s="7"/>
      <c r="C340" s="7"/>
      <c r="D340" s="7"/>
      <c r="E340" s="7"/>
    </row>
    <row r="341" ht="15.75" customHeight="1">
      <c r="A341" s="7"/>
      <c r="B341" s="7"/>
      <c r="C341" s="7"/>
      <c r="D341" s="7"/>
      <c r="E341" s="7"/>
    </row>
    <row r="342" ht="15.75" customHeight="1">
      <c r="A342" s="7"/>
      <c r="B342" s="7"/>
      <c r="C342" s="7"/>
      <c r="D342" s="7"/>
      <c r="E342" s="7"/>
    </row>
    <row r="343" ht="15.75" customHeight="1">
      <c r="A343" s="7"/>
      <c r="B343" s="7"/>
      <c r="C343" s="7"/>
      <c r="D343" s="7"/>
      <c r="E343" s="7"/>
    </row>
    <row r="344" ht="15.75" customHeight="1">
      <c r="A344" s="7"/>
      <c r="B344" s="7"/>
      <c r="C344" s="7"/>
      <c r="D344" s="7"/>
      <c r="E344" s="7"/>
    </row>
    <row r="345" ht="15.75" customHeight="1">
      <c r="A345" s="7"/>
      <c r="B345" s="7"/>
      <c r="C345" s="7"/>
      <c r="D345" s="7"/>
      <c r="E345" s="7"/>
    </row>
    <row r="346" ht="15.75" customHeight="1">
      <c r="A346" s="7"/>
      <c r="B346" s="7"/>
      <c r="C346" s="7"/>
      <c r="D346" s="7"/>
      <c r="E346" s="7"/>
    </row>
    <row r="347" ht="15.75" customHeight="1">
      <c r="A347" s="7"/>
      <c r="B347" s="7"/>
      <c r="C347" s="7"/>
      <c r="D347" s="7"/>
      <c r="E347" s="7"/>
    </row>
    <row r="348" ht="15.75" customHeight="1">
      <c r="A348" s="7"/>
      <c r="B348" s="7"/>
      <c r="C348" s="7"/>
      <c r="D348" s="7"/>
      <c r="E348" s="7"/>
    </row>
    <row r="349" ht="15.75" customHeight="1">
      <c r="A349" s="7"/>
      <c r="B349" s="7"/>
      <c r="C349" s="7"/>
      <c r="D349" s="7"/>
      <c r="E349" s="7"/>
    </row>
    <row r="350" ht="15.75" customHeight="1">
      <c r="A350" s="7"/>
      <c r="B350" s="7"/>
      <c r="C350" s="7"/>
      <c r="D350" s="7"/>
      <c r="E350" s="7"/>
    </row>
    <row r="351" ht="15.75" customHeight="1">
      <c r="A351" s="7"/>
      <c r="B351" s="7"/>
      <c r="C351" s="7"/>
      <c r="D351" s="7"/>
      <c r="E351" s="7"/>
    </row>
    <row r="352" ht="15.75" customHeight="1">
      <c r="A352" s="7"/>
      <c r="B352" s="7"/>
      <c r="C352" s="7"/>
      <c r="D352" s="7"/>
      <c r="E352" s="7"/>
    </row>
    <row r="353" ht="15.75" customHeight="1">
      <c r="A353" s="7"/>
      <c r="B353" s="7"/>
      <c r="C353" s="7"/>
      <c r="D353" s="7"/>
      <c r="E353" s="7"/>
    </row>
    <row r="354" ht="15.75" customHeight="1">
      <c r="A354" s="7"/>
      <c r="B354" s="7"/>
      <c r="C354" s="7"/>
      <c r="D354" s="7"/>
      <c r="E354" s="7"/>
    </row>
    <row r="355" ht="15.75" customHeight="1">
      <c r="A355" s="7"/>
      <c r="B355" s="7"/>
      <c r="C355" s="7"/>
      <c r="D355" s="7"/>
      <c r="E355" s="7"/>
    </row>
    <row r="356" ht="15.75" customHeight="1">
      <c r="A356" s="7"/>
      <c r="B356" s="7"/>
      <c r="C356" s="7"/>
      <c r="D356" s="7"/>
      <c r="E356" s="7"/>
    </row>
    <row r="357" ht="15.75" customHeight="1">
      <c r="A357" s="7"/>
      <c r="B357" s="7"/>
      <c r="C357" s="7"/>
      <c r="D357" s="7"/>
      <c r="E357" s="7"/>
    </row>
    <row r="358" ht="15.75" customHeight="1">
      <c r="A358" s="7"/>
      <c r="B358" s="7"/>
      <c r="C358" s="7"/>
      <c r="D358" s="7"/>
      <c r="E358" s="7"/>
    </row>
    <row r="359" ht="15.75" customHeight="1">
      <c r="A359" s="7"/>
      <c r="B359" s="7"/>
      <c r="C359" s="7"/>
      <c r="D359" s="7"/>
      <c r="E359" s="7"/>
    </row>
    <row r="360" ht="15.75" customHeight="1">
      <c r="A360" s="7"/>
      <c r="B360" s="7"/>
      <c r="C360" s="7"/>
      <c r="D360" s="7"/>
      <c r="E360" s="7"/>
    </row>
    <row r="361" ht="15.75" customHeight="1">
      <c r="A361" s="7"/>
      <c r="B361" s="7"/>
      <c r="C361" s="7"/>
      <c r="D361" s="7"/>
      <c r="E361" s="7"/>
    </row>
    <row r="362" ht="15.75" customHeight="1">
      <c r="A362" s="7"/>
      <c r="B362" s="7"/>
      <c r="C362" s="7"/>
      <c r="D362" s="7"/>
      <c r="E362" s="7"/>
    </row>
    <row r="363" ht="15.75" customHeight="1">
      <c r="A363" s="7"/>
      <c r="B363" s="7"/>
      <c r="C363" s="7"/>
      <c r="D363" s="7"/>
      <c r="E363" s="7"/>
    </row>
    <row r="364" ht="15.75" customHeight="1">
      <c r="A364" s="7"/>
      <c r="B364" s="7"/>
      <c r="C364" s="7"/>
      <c r="D364" s="7"/>
      <c r="E364" s="7"/>
    </row>
    <row r="365" ht="15.75" customHeight="1">
      <c r="A365" s="7"/>
      <c r="B365" s="7"/>
      <c r="C365" s="7"/>
      <c r="D365" s="7"/>
      <c r="E365" s="7"/>
    </row>
    <row r="366" ht="15.75" customHeight="1">
      <c r="A366" s="7"/>
      <c r="B366" s="7"/>
      <c r="C366" s="7"/>
      <c r="D366" s="7"/>
      <c r="E366" s="7"/>
    </row>
    <row r="367" ht="15.75" customHeight="1">
      <c r="A367" s="7"/>
      <c r="B367" s="7"/>
      <c r="C367" s="7"/>
      <c r="D367" s="7"/>
      <c r="E367" s="7"/>
    </row>
    <row r="368" ht="15.75" customHeight="1">
      <c r="A368" s="7"/>
      <c r="B368" s="7"/>
      <c r="C368" s="7"/>
      <c r="D368" s="7"/>
      <c r="E368" s="7"/>
    </row>
    <row r="369" ht="15.75" customHeight="1">
      <c r="A369" s="7"/>
      <c r="B369" s="7"/>
      <c r="C369" s="7"/>
      <c r="D369" s="7"/>
      <c r="E369" s="7"/>
    </row>
    <row r="370" ht="15.75" customHeight="1">
      <c r="A370" s="7"/>
      <c r="B370" s="7"/>
      <c r="C370" s="7"/>
      <c r="D370" s="7"/>
      <c r="E370" s="7"/>
    </row>
    <row r="371" ht="15.75" customHeight="1">
      <c r="A371" s="7"/>
      <c r="B371" s="7"/>
      <c r="C371" s="7"/>
      <c r="D371" s="7"/>
      <c r="E371" s="7"/>
    </row>
    <row r="372" ht="15.75" customHeight="1">
      <c r="A372" s="7"/>
      <c r="B372" s="7"/>
      <c r="C372" s="7"/>
      <c r="D372" s="7"/>
      <c r="E372" s="7"/>
    </row>
    <row r="373" ht="15.75" customHeight="1">
      <c r="A373" s="7"/>
      <c r="B373" s="7"/>
      <c r="C373" s="7"/>
      <c r="D373" s="7"/>
      <c r="E373" s="7"/>
    </row>
    <row r="374" ht="15.75" customHeight="1">
      <c r="A374" s="7"/>
      <c r="B374" s="7"/>
      <c r="C374" s="7"/>
      <c r="D374" s="7"/>
      <c r="E374" s="7"/>
    </row>
    <row r="375" ht="15.75" customHeight="1">
      <c r="A375" s="7"/>
      <c r="B375" s="7"/>
      <c r="C375" s="7"/>
      <c r="D375" s="7"/>
      <c r="E375" s="7"/>
    </row>
    <row r="376" ht="15.75" customHeight="1">
      <c r="A376" s="7"/>
      <c r="B376" s="7"/>
      <c r="C376" s="7"/>
      <c r="D376" s="7"/>
      <c r="E376" s="7"/>
    </row>
    <row r="377" ht="15.75" customHeight="1">
      <c r="A377" s="7"/>
      <c r="B377" s="7"/>
      <c r="C377" s="7"/>
      <c r="D377" s="7"/>
      <c r="E377" s="7"/>
    </row>
    <row r="378" ht="15.75" customHeight="1">
      <c r="A378" s="7"/>
      <c r="B378" s="7"/>
      <c r="C378" s="7"/>
      <c r="D378" s="7"/>
      <c r="E378" s="7"/>
    </row>
    <row r="379" ht="15.75" customHeight="1">
      <c r="A379" s="7"/>
      <c r="B379" s="7"/>
      <c r="C379" s="7"/>
      <c r="D379" s="7"/>
      <c r="E379" s="7"/>
    </row>
    <row r="380" ht="15.75" customHeight="1">
      <c r="A380" s="7"/>
      <c r="B380" s="7"/>
      <c r="C380" s="7"/>
      <c r="D380" s="7"/>
      <c r="E380" s="7"/>
    </row>
    <row r="381" ht="15.75" customHeight="1">
      <c r="A381" s="7"/>
      <c r="B381" s="7"/>
      <c r="C381" s="7"/>
      <c r="D381" s="7"/>
      <c r="E381" s="7"/>
    </row>
    <row r="382" ht="15.75" customHeight="1">
      <c r="A382" s="7"/>
      <c r="B382" s="7"/>
      <c r="C382" s="7"/>
      <c r="D382" s="7"/>
      <c r="E382" s="7"/>
    </row>
    <row r="383" ht="15.75" customHeight="1">
      <c r="A383" s="7"/>
      <c r="B383" s="7"/>
      <c r="C383" s="7"/>
      <c r="D383" s="7"/>
      <c r="E383" s="7"/>
    </row>
    <row r="384" ht="15.75" customHeight="1">
      <c r="A384" s="7"/>
      <c r="B384" s="7"/>
      <c r="C384" s="7"/>
      <c r="D384" s="7"/>
      <c r="E384" s="7"/>
    </row>
    <row r="385" ht="15.75" customHeight="1">
      <c r="A385" s="7"/>
      <c r="B385" s="7"/>
      <c r="C385" s="7"/>
      <c r="D385" s="7"/>
      <c r="E385" s="7"/>
    </row>
    <row r="386" ht="15.75" customHeight="1">
      <c r="A386" s="7"/>
      <c r="B386" s="7"/>
      <c r="C386" s="7"/>
      <c r="D386" s="7"/>
      <c r="E386" s="7"/>
    </row>
    <row r="387" ht="15.75" customHeight="1">
      <c r="A387" s="7"/>
      <c r="B387" s="7"/>
      <c r="C387" s="7"/>
      <c r="D387" s="7"/>
      <c r="E387" s="7"/>
    </row>
    <row r="388" ht="15.75" customHeight="1">
      <c r="A388" s="7"/>
      <c r="B388" s="7"/>
      <c r="C388" s="7"/>
      <c r="D388" s="7"/>
      <c r="E388" s="7"/>
    </row>
    <row r="389" ht="15.75" customHeight="1">
      <c r="A389" s="7"/>
      <c r="B389" s="7"/>
      <c r="C389" s="7"/>
      <c r="D389" s="7"/>
      <c r="E389" s="7"/>
    </row>
    <row r="390" ht="15.75" customHeight="1">
      <c r="A390" s="7"/>
      <c r="B390" s="7"/>
      <c r="C390" s="7"/>
      <c r="D390" s="7"/>
      <c r="E390" s="7"/>
    </row>
    <row r="391" ht="15.75" customHeight="1">
      <c r="A391" s="7"/>
      <c r="B391" s="7"/>
      <c r="C391" s="7"/>
      <c r="D391" s="7"/>
      <c r="E391" s="7"/>
    </row>
    <row r="392" ht="15.75" customHeight="1">
      <c r="A392" s="7"/>
      <c r="B392" s="7"/>
      <c r="C392" s="7"/>
      <c r="D392" s="7"/>
      <c r="E392" s="7"/>
    </row>
    <row r="393" ht="15.75" customHeight="1">
      <c r="A393" s="7"/>
      <c r="B393" s="7"/>
      <c r="C393" s="7"/>
      <c r="D393" s="7"/>
      <c r="E393" s="7"/>
    </row>
    <row r="394" ht="15.75" customHeight="1">
      <c r="A394" s="7"/>
      <c r="B394" s="7"/>
      <c r="C394" s="7"/>
      <c r="D394" s="7"/>
      <c r="E394" s="7"/>
    </row>
    <row r="395" ht="15.75" customHeight="1">
      <c r="A395" s="7"/>
      <c r="B395" s="7"/>
      <c r="C395" s="7"/>
      <c r="D395" s="7"/>
      <c r="E395" s="7"/>
    </row>
    <row r="396" ht="15.75" customHeight="1">
      <c r="A396" s="7"/>
      <c r="B396" s="7"/>
      <c r="C396" s="7"/>
      <c r="D396" s="7"/>
      <c r="E396" s="7"/>
    </row>
    <row r="397" ht="15.75" customHeight="1">
      <c r="A397" s="7"/>
      <c r="B397" s="7"/>
      <c r="C397" s="7"/>
      <c r="D397" s="7"/>
      <c r="E397" s="7"/>
    </row>
    <row r="398" ht="15.75" customHeight="1">
      <c r="A398" s="7"/>
      <c r="B398" s="7"/>
      <c r="C398" s="7"/>
      <c r="D398" s="7"/>
      <c r="E398" s="7"/>
    </row>
    <row r="399" ht="15.75" customHeight="1">
      <c r="A399" s="7"/>
      <c r="B399" s="7"/>
      <c r="C399" s="7"/>
      <c r="D399" s="7"/>
      <c r="E399" s="7"/>
    </row>
    <row r="400" ht="15.75" customHeight="1">
      <c r="A400" s="7"/>
      <c r="B400" s="7"/>
      <c r="C400" s="7"/>
      <c r="D400" s="7"/>
      <c r="E400" s="7"/>
    </row>
    <row r="401" ht="15.75" customHeight="1">
      <c r="A401" s="7"/>
      <c r="B401" s="7"/>
      <c r="C401" s="7"/>
      <c r="D401" s="7"/>
      <c r="E401" s="7"/>
    </row>
    <row r="402" ht="15.75" customHeight="1">
      <c r="A402" s="7"/>
      <c r="B402" s="7"/>
      <c r="C402" s="7"/>
      <c r="D402" s="7"/>
      <c r="E402" s="7"/>
    </row>
    <row r="403" ht="15.75" customHeight="1">
      <c r="A403" s="7"/>
      <c r="B403" s="7"/>
      <c r="C403" s="7"/>
      <c r="D403" s="7"/>
      <c r="E403" s="7"/>
    </row>
    <row r="404" ht="15.75" customHeight="1">
      <c r="A404" s="7"/>
      <c r="B404" s="7"/>
      <c r="C404" s="7"/>
      <c r="D404" s="7"/>
      <c r="E404" s="7"/>
    </row>
    <row r="405" ht="15.75" customHeight="1">
      <c r="A405" s="7"/>
      <c r="B405" s="7"/>
      <c r="C405" s="7"/>
      <c r="D405" s="7"/>
      <c r="E405" s="7"/>
    </row>
    <row r="406" ht="15.75" customHeight="1">
      <c r="A406" s="7"/>
      <c r="B406" s="7"/>
      <c r="C406" s="7"/>
      <c r="D406" s="7"/>
      <c r="E406" s="7"/>
    </row>
    <row r="407" ht="15.75" customHeight="1">
      <c r="A407" s="7"/>
      <c r="B407" s="7"/>
      <c r="C407" s="7"/>
      <c r="D407" s="7"/>
      <c r="E407" s="7"/>
    </row>
    <row r="408" ht="15.75" customHeight="1">
      <c r="A408" s="7"/>
      <c r="B408" s="7"/>
      <c r="C408" s="7"/>
      <c r="D408" s="7"/>
      <c r="E408" s="7"/>
    </row>
    <row r="409" ht="15.75" customHeight="1">
      <c r="A409" s="7"/>
      <c r="B409" s="7"/>
      <c r="C409" s="7"/>
      <c r="D409" s="7"/>
      <c r="E409" s="7"/>
    </row>
    <row r="410" ht="15.75" customHeight="1">
      <c r="A410" s="7"/>
      <c r="B410" s="7"/>
      <c r="C410" s="7"/>
      <c r="D410" s="7"/>
      <c r="E410" s="7"/>
    </row>
    <row r="411" ht="15.75" customHeight="1">
      <c r="A411" s="7"/>
      <c r="B411" s="7"/>
      <c r="C411" s="7"/>
      <c r="D411" s="7"/>
      <c r="E411" s="7"/>
    </row>
    <row r="412" ht="15.75" customHeight="1">
      <c r="A412" s="7"/>
      <c r="B412" s="7"/>
      <c r="C412" s="7"/>
      <c r="D412" s="7"/>
      <c r="E412" s="7"/>
    </row>
    <row r="413" ht="15.75" customHeight="1">
      <c r="A413" s="7"/>
      <c r="B413" s="7"/>
      <c r="C413" s="7"/>
      <c r="D413" s="7"/>
      <c r="E413" s="7"/>
    </row>
    <row r="414" ht="15.75" customHeight="1">
      <c r="A414" s="7"/>
      <c r="B414" s="7"/>
      <c r="C414" s="7"/>
      <c r="D414" s="7"/>
      <c r="E414" s="7"/>
    </row>
    <row r="415" ht="15.75" customHeight="1">
      <c r="A415" s="7"/>
      <c r="B415" s="7"/>
      <c r="C415" s="7"/>
      <c r="D415" s="7"/>
      <c r="E415" s="7"/>
    </row>
    <row r="416" ht="15.75" customHeight="1">
      <c r="A416" s="7"/>
      <c r="B416" s="7"/>
      <c r="C416" s="7"/>
      <c r="D416" s="7"/>
      <c r="E416" s="7"/>
    </row>
    <row r="417" ht="15.75" customHeight="1">
      <c r="A417" s="7"/>
      <c r="B417" s="7"/>
      <c r="C417" s="7"/>
      <c r="D417" s="7"/>
      <c r="E417" s="7"/>
    </row>
    <row r="418" ht="15.75" customHeight="1">
      <c r="A418" s="7"/>
      <c r="B418" s="7"/>
      <c r="C418" s="7"/>
      <c r="D418" s="7"/>
      <c r="E418" s="7"/>
    </row>
    <row r="419" ht="15.75" customHeight="1">
      <c r="A419" s="7"/>
      <c r="B419" s="7"/>
      <c r="C419" s="7"/>
      <c r="D419" s="7"/>
      <c r="E419" s="7"/>
    </row>
    <row r="420" ht="15.75" customHeight="1">
      <c r="A420" s="7"/>
      <c r="B420" s="7"/>
      <c r="C420" s="7"/>
      <c r="D420" s="7"/>
      <c r="E420" s="7"/>
    </row>
    <row r="421" ht="15.75" customHeight="1">
      <c r="A421" s="7"/>
      <c r="B421" s="7"/>
      <c r="C421" s="7"/>
      <c r="D421" s="7"/>
      <c r="E421" s="7"/>
    </row>
    <row r="422" ht="15.75" customHeight="1">
      <c r="A422" s="7"/>
      <c r="B422" s="7"/>
      <c r="C422" s="7"/>
      <c r="D422" s="7"/>
      <c r="E422" s="7"/>
    </row>
    <row r="423" ht="15.75" customHeight="1">
      <c r="A423" s="7"/>
      <c r="B423" s="7"/>
      <c r="C423" s="7"/>
      <c r="D423" s="7"/>
      <c r="E423" s="7"/>
    </row>
    <row r="424" ht="15.75" customHeight="1">
      <c r="A424" s="7"/>
      <c r="B424" s="7"/>
      <c r="C424" s="7"/>
      <c r="D424" s="7"/>
      <c r="E424" s="7"/>
    </row>
    <row r="425" ht="15.75" customHeight="1">
      <c r="A425" s="7"/>
      <c r="B425" s="7"/>
      <c r="C425" s="7"/>
      <c r="D425" s="7"/>
      <c r="E425" s="7"/>
    </row>
    <row r="426" ht="15.75" customHeight="1">
      <c r="A426" s="7"/>
      <c r="B426" s="7"/>
      <c r="C426" s="7"/>
      <c r="D426" s="7"/>
      <c r="E426" s="7"/>
    </row>
    <row r="427" ht="15.75" customHeight="1">
      <c r="A427" s="7"/>
      <c r="B427" s="7"/>
      <c r="C427" s="7"/>
      <c r="D427" s="7"/>
      <c r="E427" s="7"/>
    </row>
    <row r="428" ht="15.75" customHeight="1">
      <c r="A428" s="7"/>
      <c r="B428" s="7"/>
      <c r="C428" s="7"/>
      <c r="D428" s="7"/>
      <c r="E428" s="7"/>
    </row>
    <row r="429" ht="15.75" customHeight="1">
      <c r="A429" s="7"/>
      <c r="B429" s="7"/>
      <c r="C429" s="7"/>
      <c r="D429" s="7"/>
      <c r="E429" s="7"/>
    </row>
    <row r="430" ht="15.75" customHeight="1">
      <c r="A430" s="7"/>
      <c r="B430" s="7"/>
      <c r="C430" s="7"/>
      <c r="D430" s="7"/>
      <c r="E430" s="7"/>
    </row>
    <row r="431" ht="15.75" customHeight="1">
      <c r="A431" s="7"/>
      <c r="B431" s="7"/>
      <c r="C431" s="7"/>
      <c r="D431" s="7"/>
      <c r="E431" s="7"/>
    </row>
    <row r="432" ht="15.75" customHeight="1">
      <c r="A432" s="7"/>
      <c r="B432" s="7"/>
      <c r="C432" s="7"/>
      <c r="D432" s="7"/>
      <c r="E432" s="7"/>
    </row>
    <row r="433" ht="15.75" customHeight="1">
      <c r="A433" s="7"/>
      <c r="B433" s="7"/>
      <c r="C433" s="7"/>
      <c r="D433" s="7"/>
      <c r="E433" s="7"/>
    </row>
    <row r="434" ht="15.75" customHeight="1">
      <c r="A434" s="7"/>
      <c r="B434" s="7"/>
      <c r="C434" s="7"/>
      <c r="D434" s="7"/>
      <c r="E434" s="7"/>
    </row>
    <row r="435" ht="15.75" customHeight="1">
      <c r="A435" s="7"/>
      <c r="B435" s="7"/>
      <c r="C435" s="7"/>
      <c r="D435" s="7"/>
      <c r="E435" s="7"/>
    </row>
    <row r="436" ht="15.75" customHeight="1">
      <c r="A436" s="7"/>
      <c r="B436" s="7"/>
      <c r="C436" s="7"/>
      <c r="D436" s="7"/>
      <c r="E436" s="7"/>
    </row>
    <row r="437" ht="15.75" customHeight="1">
      <c r="A437" s="7"/>
      <c r="B437" s="7"/>
      <c r="C437" s="7"/>
      <c r="D437" s="7"/>
      <c r="E437" s="7"/>
    </row>
    <row r="438" ht="15.75" customHeight="1">
      <c r="A438" s="7"/>
      <c r="B438" s="7"/>
      <c r="C438" s="7"/>
      <c r="D438" s="7"/>
      <c r="E438" s="7"/>
    </row>
    <row r="439" ht="15.75" customHeight="1">
      <c r="A439" s="7"/>
      <c r="B439" s="7"/>
      <c r="C439" s="7"/>
      <c r="D439" s="7"/>
      <c r="E439" s="7"/>
    </row>
    <row r="440" ht="15.75" customHeight="1">
      <c r="A440" s="7"/>
      <c r="B440" s="7"/>
      <c r="C440" s="7"/>
      <c r="D440" s="7"/>
      <c r="E440" s="7"/>
    </row>
    <row r="441" ht="15.75" customHeight="1">
      <c r="A441" s="7"/>
      <c r="B441" s="7"/>
      <c r="C441" s="7"/>
      <c r="D441" s="7"/>
      <c r="E441" s="7"/>
    </row>
    <row r="442" ht="15.75" customHeight="1">
      <c r="A442" s="7"/>
      <c r="B442" s="7"/>
      <c r="C442" s="7"/>
      <c r="D442" s="7"/>
      <c r="E442" s="7"/>
    </row>
    <row r="443" ht="15.75" customHeight="1">
      <c r="A443" s="7"/>
      <c r="B443" s="7"/>
      <c r="C443" s="7"/>
      <c r="D443" s="7"/>
      <c r="E443" s="7"/>
    </row>
    <row r="444" ht="15.75" customHeight="1">
      <c r="A444" s="7"/>
      <c r="B444" s="7"/>
      <c r="C444" s="7"/>
      <c r="D444" s="7"/>
      <c r="E444" s="7"/>
    </row>
    <row r="445" ht="15.75" customHeight="1">
      <c r="A445" s="7"/>
      <c r="B445" s="7"/>
      <c r="C445" s="7"/>
      <c r="D445" s="7"/>
      <c r="E445" s="7"/>
    </row>
    <row r="446" ht="15.75" customHeight="1">
      <c r="A446" s="7"/>
      <c r="B446" s="7"/>
      <c r="C446" s="7"/>
      <c r="D446" s="7"/>
      <c r="E446" s="7"/>
    </row>
    <row r="447" ht="15.75" customHeight="1">
      <c r="A447" s="7"/>
      <c r="B447" s="7"/>
      <c r="C447" s="7"/>
      <c r="D447" s="7"/>
      <c r="E447" s="7"/>
    </row>
    <row r="448" ht="15.75" customHeight="1">
      <c r="A448" s="7"/>
      <c r="B448" s="7"/>
      <c r="C448" s="7"/>
      <c r="D448" s="7"/>
      <c r="E448" s="7"/>
    </row>
    <row r="449" ht="15.75" customHeight="1">
      <c r="A449" s="7"/>
      <c r="B449" s="7"/>
      <c r="C449" s="7"/>
      <c r="D449" s="7"/>
      <c r="E449" s="7"/>
    </row>
    <row r="450" ht="15.75" customHeight="1">
      <c r="A450" s="7"/>
      <c r="B450" s="7"/>
      <c r="C450" s="7"/>
      <c r="D450" s="7"/>
      <c r="E450" s="7"/>
    </row>
    <row r="451" ht="15.75" customHeight="1">
      <c r="A451" s="7"/>
      <c r="B451" s="7"/>
      <c r="C451" s="7"/>
      <c r="D451" s="7"/>
      <c r="E451" s="7"/>
    </row>
    <row r="452" ht="15.75" customHeight="1">
      <c r="A452" s="7"/>
      <c r="B452" s="7"/>
      <c r="C452" s="7"/>
      <c r="D452" s="7"/>
      <c r="E452" s="7"/>
    </row>
    <row r="453" ht="15.75" customHeight="1">
      <c r="A453" s="7"/>
      <c r="B453" s="7"/>
      <c r="C453" s="7"/>
      <c r="D453" s="7"/>
      <c r="E453" s="7"/>
    </row>
    <row r="454" ht="15.75" customHeight="1">
      <c r="A454" s="7"/>
      <c r="B454" s="7"/>
      <c r="C454" s="7"/>
      <c r="D454" s="7"/>
      <c r="E454" s="7"/>
    </row>
    <row r="455" ht="15.75" customHeight="1">
      <c r="A455" s="7"/>
      <c r="B455" s="7"/>
      <c r="C455" s="7"/>
      <c r="D455" s="7"/>
      <c r="E455" s="7"/>
    </row>
    <row r="456" ht="15.75" customHeight="1">
      <c r="A456" s="7"/>
      <c r="B456" s="7"/>
      <c r="C456" s="7"/>
      <c r="D456" s="7"/>
      <c r="E456" s="7"/>
    </row>
    <row r="457" ht="15.75" customHeight="1">
      <c r="A457" s="7"/>
      <c r="B457" s="7"/>
      <c r="C457" s="7"/>
      <c r="D457" s="7"/>
      <c r="E457" s="7"/>
    </row>
    <row r="458" ht="15.75" customHeight="1">
      <c r="A458" s="7"/>
      <c r="B458" s="7"/>
      <c r="C458" s="7"/>
      <c r="D458" s="7"/>
      <c r="E458" s="7"/>
    </row>
    <row r="459" ht="15.75" customHeight="1">
      <c r="A459" s="7"/>
      <c r="B459" s="7"/>
      <c r="C459" s="7"/>
      <c r="D459" s="7"/>
      <c r="E459" s="7"/>
    </row>
    <row r="460" ht="15.75" customHeight="1">
      <c r="A460" s="7"/>
      <c r="B460" s="7"/>
      <c r="C460" s="7"/>
      <c r="D460" s="7"/>
      <c r="E460" s="7"/>
    </row>
    <row r="461" ht="15.75" customHeight="1">
      <c r="A461" s="7"/>
      <c r="B461" s="7"/>
      <c r="C461" s="7"/>
      <c r="D461" s="7"/>
      <c r="E461" s="7"/>
    </row>
    <row r="462" ht="15.75" customHeight="1">
      <c r="A462" s="7"/>
      <c r="B462" s="7"/>
      <c r="C462" s="7"/>
      <c r="D462" s="7"/>
      <c r="E462" s="7"/>
    </row>
    <row r="463" ht="15.75" customHeight="1">
      <c r="A463" s="7"/>
      <c r="B463" s="7"/>
      <c r="C463" s="7"/>
      <c r="D463" s="7"/>
      <c r="E463" s="7"/>
    </row>
    <row r="464" ht="15.75" customHeight="1">
      <c r="A464" s="7"/>
      <c r="B464" s="7"/>
      <c r="C464" s="7"/>
      <c r="D464" s="7"/>
      <c r="E464" s="7"/>
    </row>
    <row r="465" ht="15.75" customHeight="1">
      <c r="A465" s="7"/>
      <c r="B465" s="7"/>
      <c r="C465" s="7"/>
      <c r="D465" s="7"/>
      <c r="E465" s="7"/>
    </row>
    <row r="466" ht="15.75" customHeight="1">
      <c r="A466" s="7"/>
      <c r="B466" s="7"/>
      <c r="C466" s="7"/>
      <c r="D466" s="7"/>
      <c r="E466" s="7"/>
    </row>
    <row r="467" ht="15.75" customHeight="1">
      <c r="A467" s="7"/>
      <c r="B467" s="7"/>
      <c r="C467" s="7"/>
      <c r="D467" s="7"/>
      <c r="E467" s="7"/>
    </row>
    <row r="468" ht="15.75" customHeight="1">
      <c r="A468" s="7"/>
      <c r="B468" s="7"/>
      <c r="C468" s="7"/>
      <c r="D468" s="7"/>
      <c r="E468" s="7"/>
    </row>
    <row r="469" ht="15.75" customHeight="1">
      <c r="A469" s="7"/>
      <c r="B469" s="7"/>
      <c r="C469" s="7"/>
      <c r="D469" s="7"/>
      <c r="E469" s="7"/>
    </row>
    <row r="470" ht="15.75" customHeight="1">
      <c r="A470" s="7"/>
      <c r="B470" s="7"/>
      <c r="C470" s="7"/>
      <c r="D470" s="7"/>
      <c r="E470" s="7"/>
    </row>
    <row r="471" ht="15.75" customHeight="1">
      <c r="A471" s="7"/>
      <c r="B471" s="7"/>
      <c r="C471" s="7"/>
      <c r="D471" s="7"/>
      <c r="E471" s="7"/>
    </row>
    <row r="472" ht="15.75" customHeight="1">
      <c r="A472" s="7"/>
      <c r="B472" s="7"/>
      <c r="C472" s="7"/>
      <c r="D472" s="7"/>
      <c r="E472" s="7"/>
    </row>
    <row r="473" ht="15.75" customHeight="1">
      <c r="A473" s="7"/>
      <c r="B473" s="7"/>
      <c r="C473" s="7"/>
      <c r="D473" s="7"/>
      <c r="E473" s="7"/>
    </row>
    <row r="474" ht="15.75" customHeight="1">
      <c r="A474" s="7"/>
      <c r="B474" s="7"/>
      <c r="C474" s="7"/>
      <c r="D474" s="7"/>
      <c r="E474" s="7"/>
    </row>
    <row r="475" ht="15.75" customHeight="1">
      <c r="A475" s="7"/>
      <c r="B475" s="7"/>
      <c r="C475" s="7"/>
      <c r="D475" s="7"/>
      <c r="E475" s="7"/>
    </row>
    <row r="476" ht="15.75" customHeight="1">
      <c r="A476" s="7"/>
      <c r="B476" s="7"/>
      <c r="C476" s="7"/>
      <c r="D476" s="7"/>
      <c r="E476" s="7"/>
    </row>
    <row r="477" ht="15.75" customHeight="1">
      <c r="A477" s="7"/>
      <c r="B477" s="7"/>
      <c r="C477" s="7"/>
      <c r="D477" s="7"/>
      <c r="E477" s="7"/>
    </row>
    <row r="478" ht="15.75" customHeight="1">
      <c r="A478" s="7"/>
      <c r="B478" s="7"/>
      <c r="C478" s="7"/>
      <c r="D478" s="7"/>
      <c r="E478" s="7"/>
    </row>
    <row r="479" ht="15.75" customHeight="1">
      <c r="A479" s="7"/>
      <c r="B479" s="7"/>
      <c r="C479" s="7"/>
      <c r="D479" s="7"/>
      <c r="E479" s="7"/>
    </row>
    <row r="480" ht="15.75" customHeight="1">
      <c r="A480" s="7"/>
      <c r="B480" s="7"/>
      <c r="C480" s="7"/>
      <c r="D480" s="7"/>
      <c r="E480" s="7"/>
    </row>
    <row r="481" ht="15.75" customHeight="1">
      <c r="A481" s="7"/>
      <c r="B481" s="7"/>
      <c r="C481" s="7"/>
      <c r="D481" s="7"/>
      <c r="E481" s="7"/>
    </row>
    <row r="482" ht="15.75" customHeight="1">
      <c r="A482" s="7"/>
      <c r="B482" s="7"/>
      <c r="C482" s="7"/>
      <c r="D482" s="7"/>
      <c r="E482" s="7"/>
    </row>
    <row r="483" ht="15.75" customHeight="1">
      <c r="A483" s="7"/>
      <c r="B483" s="7"/>
      <c r="C483" s="7"/>
      <c r="D483" s="7"/>
      <c r="E483" s="7"/>
    </row>
    <row r="484" ht="15.75" customHeight="1">
      <c r="A484" s="7"/>
      <c r="B484" s="7"/>
      <c r="C484" s="7"/>
      <c r="D484" s="7"/>
      <c r="E484" s="7"/>
    </row>
    <row r="485" ht="15.75" customHeight="1">
      <c r="A485" s="7"/>
      <c r="B485" s="7"/>
      <c r="C485" s="7"/>
      <c r="D485" s="7"/>
      <c r="E485" s="7"/>
    </row>
    <row r="486" ht="15.75" customHeight="1">
      <c r="A486" s="7"/>
      <c r="B486" s="7"/>
      <c r="C486" s="7"/>
      <c r="D486" s="7"/>
      <c r="E486" s="7"/>
    </row>
    <row r="487" ht="15.75" customHeight="1">
      <c r="A487" s="7"/>
      <c r="B487" s="7"/>
      <c r="C487" s="7"/>
      <c r="D487" s="7"/>
      <c r="E487" s="7"/>
    </row>
    <row r="488" ht="15.75" customHeight="1">
      <c r="A488" s="7"/>
      <c r="B488" s="7"/>
      <c r="C488" s="7"/>
      <c r="D488" s="7"/>
      <c r="E488" s="7"/>
    </row>
    <row r="489" ht="15.75" customHeight="1">
      <c r="A489" s="7"/>
      <c r="B489" s="7"/>
      <c r="C489" s="7"/>
      <c r="D489" s="7"/>
      <c r="E489" s="7"/>
    </row>
    <row r="490" ht="15.75" customHeight="1">
      <c r="A490" s="7"/>
      <c r="B490" s="7"/>
      <c r="C490" s="7"/>
      <c r="D490" s="7"/>
      <c r="E490" s="7"/>
    </row>
    <row r="491" ht="15.75" customHeight="1">
      <c r="A491" s="7"/>
      <c r="B491" s="7"/>
      <c r="C491" s="7"/>
      <c r="D491" s="7"/>
      <c r="E491" s="7"/>
    </row>
    <row r="492" ht="15.75" customHeight="1">
      <c r="A492" s="7"/>
      <c r="B492" s="7"/>
      <c r="C492" s="7"/>
      <c r="D492" s="7"/>
      <c r="E492" s="7"/>
    </row>
    <row r="493" ht="15.75" customHeight="1">
      <c r="A493" s="7"/>
      <c r="B493" s="7"/>
      <c r="C493" s="7"/>
      <c r="D493" s="7"/>
      <c r="E493" s="7"/>
    </row>
    <row r="494" ht="15.75" customHeight="1">
      <c r="A494" s="7"/>
      <c r="B494" s="7"/>
      <c r="C494" s="7"/>
      <c r="D494" s="7"/>
      <c r="E494" s="7"/>
    </row>
    <row r="495" ht="15.75" customHeight="1">
      <c r="A495" s="7"/>
      <c r="B495" s="7"/>
      <c r="C495" s="7"/>
      <c r="D495" s="7"/>
      <c r="E495" s="7"/>
    </row>
    <row r="496" ht="15.75" customHeight="1">
      <c r="A496" s="7"/>
      <c r="B496" s="7"/>
      <c r="C496" s="7"/>
      <c r="D496" s="7"/>
      <c r="E496" s="7"/>
    </row>
    <row r="497" ht="15.75" customHeight="1">
      <c r="A497" s="7"/>
      <c r="B497" s="7"/>
      <c r="C497" s="7"/>
      <c r="D497" s="7"/>
      <c r="E497" s="7"/>
    </row>
    <row r="498" ht="15.75" customHeight="1">
      <c r="A498" s="7"/>
      <c r="B498" s="7"/>
      <c r="C498" s="7"/>
      <c r="D498" s="7"/>
      <c r="E498" s="7"/>
    </row>
    <row r="499" ht="15.75" customHeight="1">
      <c r="A499" s="7"/>
      <c r="B499" s="7"/>
      <c r="C499" s="7"/>
      <c r="D499" s="7"/>
      <c r="E499" s="7"/>
    </row>
    <row r="500" ht="15.75" customHeight="1">
      <c r="A500" s="7"/>
      <c r="B500" s="7"/>
      <c r="C500" s="7"/>
      <c r="D500" s="7"/>
      <c r="E500" s="7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8.0"/>
    <col customWidth="1" min="3" max="3" width="57.5"/>
    <col customWidth="1" min="4" max="4" width="52.25"/>
    <col customWidth="1" min="5" max="5" width="40.0"/>
    <col customWidth="1" min="6" max="6" width="16.0"/>
    <col customWidth="1" min="7" max="26" width="8.63"/>
  </cols>
  <sheetData>
    <row r="1">
      <c r="A1" s="2" t="s">
        <v>1875</v>
      </c>
      <c r="B1" s="2" t="s">
        <v>1876</v>
      </c>
      <c r="C1" s="2" t="s">
        <v>1877</v>
      </c>
      <c r="D1" s="2" t="s">
        <v>1878</v>
      </c>
      <c r="E1" s="2" t="s">
        <v>1879</v>
      </c>
      <c r="F1" s="2" t="s">
        <v>1880</v>
      </c>
    </row>
    <row r="2">
      <c r="A2" s="71" t="s">
        <v>1881</v>
      </c>
      <c r="B2" s="72" t="s">
        <v>6</v>
      </c>
      <c r="C2" s="71" t="s">
        <v>1882</v>
      </c>
      <c r="D2" s="71" t="s">
        <v>1883</v>
      </c>
      <c r="E2" s="71" t="s">
        <v>1884</v>
      </c>
      <c r="F2" s="71" t="s">
        <v>1885</v>
      </c>
    </row>
    <row r="3">
      <c r="A3" s="71" t="s">
        <v>1881</v>
      </c>
      <c r="B3" s="72" t="s">
        <v>8</v>
      </c>
      <c r="C3" s="71" t="s">
        <v>1886</v>
      </c>
      <c r="D3" s="71" t="s">
        <v>1887</v>
      </c>
      <c r="E3" s="71" t="s">
        <v>1884</v>
      </c>
      <c r="F3" s="71" t="s">
        <v>1885</v>
      </c>
    </row>
    <row r="4">
      <c r="A4" s="71" t="s">
        <v>1881</v>
      </c>
      <c r="B4" s="72" t="s">
        <v>10</v>
      </c>
      <c r="C4" s="71" t="s">
        <v>1888</v>
      </c>
      <c r="D4" s="71" t="s">
        <v>1889</v>
      </c>
      <c r="E4" s="71" t="s">
        <v>1890</v>
      </c>
      <c r="F4" s="71" t="s">
        <v>1885</v>
      </c>
    </row>
    <row r="5">
      <c r="A5" s="71" t="s">
        <v>1891</v>
      </c>
      <c r="B5" s="72" t="s">
        <v>1892</v>
      </c>
      <c r="C5" s="71" t="s">
        <v>1893</v>
      </c>
      <c r="D5" s="71" t="s">
        <v>1894</v>
      </c>
      <c r="E5" s="71" t="s">
        <v>1895</v>
      </c>
      <c r="F5" s="71" t="s">
        <v>1885</v>
      </c>
    </row>
    <row r="6">
      <c r="A6" s="71" t="s">
        <v>1891</v>
      </c>
      <c r="B6" s="72" t="s">
        <v>1896</v>
      </c>
      <c r="C6" s="71" t="s">
        <v>1897</v>
      </c>
      <c r="D6" s="71" t="s">
        <v>1898</v>
      </c>
      <c r="E6" s="71" t="s">
        <v>1899</v>
      </c>
      <c r="F6" s="71" t="s">
        <v>1885</v>
      </c>
    </row>
    <row r="7">
      <c r="A7" s="71" t="s">
        <v>1900</v>
      </c>
      <c r="B7" s="72" t="s">
        <v>36</v>
      </c>
      <c r="C7" s="71" t="s">
        <v>1901</v>
      </c>
      <c r="D7" s="71" t="s">
        <v>1902</v>
      </c>
      <c r="E7" s="71" t="s">
        <v>1903</v>
      </c>
      <c r="F7" s="71" t="s">
        <v>1904</v>
      </c>
    </row>
    <row r="8">
      <c r="A8" s="71" t="s">
        <v>1900</v>
      </c>
      <c r="B8" s="72" t="s">
        <v>37</v>
      </c>
      <c r="C8" s="71" t="s">
        <v>1905</v>
      </c>
      <c r="D8" s="71" t="s">
        <v>1906</v>
      </c>
      <c r="E8" s="71" t="s">
        <v>1903</v>
      </c>
      <c r="F8" s="71" t="s">
        <v>1907</v>
      </c>
    </row>
    <row r="9">
      <c r="A9" s="71" t="s">
        <v>1900</v>
      </c>
      <c r="B9" s="72" t="s">
        <v>38</v>
      </c>
      <c r="C9" s="71" t="s">
        <v>1908</v>
      </c>
      <c r="D9" s="71" t="s">
        <v>1909</v>
      </c>
      <c r="E9" s="71" t="s">
        <v>1910</v>
      </c>
      <c r="F9" s="71" t="s">
        <v>1904</v>
      </c>
    </row>
    <row r="10">
      <c r="A10" s="71" t="s">
        <v>1900</v>
      </c>
      <c r="B10" s="72" t="s">
        <v>39</v>
      </c>
      <c r="C10" s="71" t="s">
        <v>1911</v>
      </c>
      <c r="D10" s="71" t="s">
        <v>1912</v>
      </c>
      <c r="E10" s="71" t="s">
        <v>1910</v>
      </c>
      <c r="F10" s="71" t="s">
        <v>1904</v>
      </c>
    </row>
    <row r="11">
      <c r="A11" s="71" t="s">
        <v>1758</v>
      </c>
      <c r="B11" s="72" t="s">
        <v>40</v>
      </c>
      <c r="C11" s="71" t="s">
        <v>1913</v>
      </c>
      <c r="D11" s="71" t="s">
        <v>1914</v>
      </c>
      <c r="E11" s="71" t="s">
        <v>1910</v>
      </c>
      <c r="F11" s="71" t="s">
        <v>1904</v>
      </c>
    </row>
    <row r="12">
      <c r="A12" s="71" t="s">
        <v>1758</v>
      </c>
      <c r="B12" s="72" t="s">
        <v>42</v>
      </c>
      <c r="C12" s="71" t="s">
        <v>1915</v>
      </c>
      <c r="D12" s="71" t="s">
        <v>1916</v>
      </c>
      <c r="E12" s="71" t="s">
        <v>1917</v>
      </c>
      <c r="F12" s="71" t="s">
        <v>1904</v>
      </c>
    </row>
    <row r="13">
      <c r="A13" s="71" t="s">
        <v>1758</v>
      </c>
      <c r="B13" s="72" t="s">
        <v>47</v>
      </c>
      <c r="C13" s="71" t="s">
        <v>1918</v>
      </c>
      <c r="D13" s="71" t="s">
        <v>1919</v>
      </c>
      <c r="E13" s="71" t="s">
        <v>1910</v>
      </c>
      <c r="F13" s="71" t="s">
        <v>1904</v>
      </c>
    </row>
    <row r="14">
      <c r="A14" s="71" t="s">
        <v>1758</v>
      </c>
      <c r="B14" s="72" t="s">
        <v>49</v>
      </c>
      <c r="C14" s="71" t="s">
        <v>1920</v>
      </c>
      <c r="D14" s="71" t="s">
        <v>1921</v>
      </c>
      <c r="E14" s="71" t="s">
        <v>1910</v>
      </c>
      <c r="F14" s="71" t="s">
        <v>1904</v>
      </c>
    </row>
    <row r="15">
      <c r="A15" s="71" t="s">
        <v>1922</v>
      </c>
      <c r="B15" s="72" t="s">
        <v>1923</v>
      </c>
      <c r="C15" s="71" t="s">
        <v>1924</v>
      </c>
      <c r="D15" s="71" t="s">
        <v>1925</v>
      </c>
      <c r="E15" s="71" t="s">
        <v>1926</v>
      </c>
      <c r="F15" s="71" t="s">
        <v>1927</v>
      </c>
    </row>
    <row r="16">
      <c r="A16" s="71" t="s">
        <v>1922</v>
      </c>
      <c r="B16" s="72" t="s">
        <v>1928</v>
      </c>
      <c r="C16" s="71" t="s">
        <v>1929</v>
      </c>
      <c r="D16" s="71" t="s">
        <v>1930</v>
      </c>
      <c r="E16" s="71" t="s">
        <v>1926</v>
      </c>
      <c r="F16" s="71" t="s">
        <v>1927</v>
      </c>
    </row>
    <row r="17">
      <c r="A17" s="71" t="s">
        <v>1922</v>
      </c>
      <c r="B17" s="72" t="s">
        <v>1931</v>
      </c>
      <c r="C17" s="71" t="s">
        <v>1932</v>
      </c>
      <c r="D17" s="71" t="s">
        <v>1933</v>
      </c>
      <c r="E17" s="71" t="s">
        <v>1934</v>
      </c>
      <c r="F17" s="71" t="s">
        <v>1935</v>
      </c>
    </row>
    <row r="18">
      <c r="A18" s="71" t="s">
        <v>1754</v>
      </c>
      <c r="B18" s="72" t="s">
        <v>1936</v>
      </c>
      <c r="C18" s="71" t="s">
        <v>1937</v>
      </c>
      <c r="D18" s="71" t="s">
        <v>1938</v>
      </c>
      <c r="E18" s="71" t="s">
        <v>1939</v>
      </c>
      <c r="F18" s="71" t="s">
        <v>1885</v>
      </c>
    </row>
    <row r="19">
      <c r="A19" s="71" t="s">
        <v>1754</v>
      </c>
      <c r="B19" s="72" t="s">
        <v>68</v>
      </c>
      <c r="C19" s="71" t="s">
        <v>1940</v>
      </c>
      <c r="D19" s="71" t="s">
        <v>1941</v>
      </c>
      <c r="E19" s="71" t="s">
        <v>1942</v>
      </c>
      <c r="F19" s="71" t="s">
        <v>1885</v>
      </c>
    </row>
    <row r="20">
      <c r="A20" s="71" t="s">
        <v>1754</v>
      </c>
      <c r="B20" s="72" t="s">
        <v>73</v>
      </c>
      <c r="C20" s="71" t="s">
        <v>1943</v>
      </c>
      <c r="D20" s="71" t="s">
        <v>1944</v>
      </c>
      <c r="E20" s="71" t="s">
        <v>1945</v>
      </c>
      <c r="F20" s="71" t="s">
        <v>1885</v>
      </c>
    </row>
    <row r="21" ht="15.75" customHeight="1">
      <c r="A21" s="71" t="s">
        <v>1754</v>
      </c>
      <c r="B21" s="72" t="s">
        <v>3</v>
      </c>
      <c r="C21" s="71" t="s">
        <v>1946</v>
      </c>
      <c r="D21" s="71" t="s">
        <v>1947</v>
      </c>
      <c r="E21" s="71" t="s">
        <v>1945</v>
      </c>
      <c r="F21" s="71" t="s">
        <v>1885</v>
      </c>
    </row>
    <row r="22" ht="15.75" customHeight="1">
      <c r="A22" s="71" t="s">
        <v>1754</v>
      </c>
      <c r="B22" s="72" t="s">
        <v>75</v>
      </c>
      <c r="C22" s="71" t="s">
        <v>1948</v>
      </c>
      <c r="D22" s="71" t="s">
        <v>1949</v>
      </c>
      <c r="E22" s="71" t="s">
        <v>1934</v>
      </c>
      <c r="F22" s="71" t="s">
        <v>1935</v>
      </c>
    </row>
    <row r="23" ht="15.75" customHeight="1">
      <c r="A23" s="71" t="s">
        <v>1754</v>
      </c>
      <c r="B23" s="72" t="s">
        <v>78</v>
      </c>
      <c r="C23" s="71" t="s">
        <v>1950</v>
      </c>
      <c r="D23" s="71" t="s">
        <v>1951</v>
      </c>
      <c r="E23" s="71" t="s">
        <v>1952</v>
      </c>
      <c r="F23" s="71" t="s">
        <v>1935</v>
      </c>
    </row>
    <row r="24" ht="15.75" customHeight="1">
      <c r="A24" s="71" t="s">
        <v>1754</v>
      </c>
      <c r="B24" s="72" t="s">
        <v>81</v>
      </c>
      <c r="C24" s="71" t="s">
        <v>1953</v>
      </c>
      <c r="D24" s="71" t="s">
        <v>1954</v>
      </c>
      <c r="E24" s="71" t="s">
        <v>1955</v>
      </c>
      <c r="F24" s="71" t="s">
        <v>1885</v>
      </c>
    </row>
    <row r="25" ht="15.75" customHeight="1">
      <c r="A25" s="71" t="s">
        <v>1754</v>
      </c>
      <c r="B25" s="72" t="s">
        <v>29</v>
      </c>
      <c r="C25" s="71" t="s">
        <v>1956</v>
      </c>
      <c r="D25" s="71" t="s">
        <v>1957</v>
      </c>
      <c r="E25" s="71" t="s">
        <v>1955</v>
      </c>
      <c r="F25" s="71" t="s">
        <v>1885</v>
      </c>
    </row>
    <row r="26" ht="15.75" customHeight="1">
      <c r="A26" s="71" t="s">
        <v>1958</v>
      </c>
      <c r="B26" s="72" t="s">
        <v>83</v>
      </c>
      <c r="C26" s="71" t="s">
        <v>1959</v>
      </c>
      <c r="D26" s="71" t="s">
        <v>1960</v>
      </c>
      <c r="E26" s="71" t="s">
        <v>1961</v>
      </c>
      <c r="F26" s="71" t="s">
        <v>1885</v>
      </c>
    </row>
    <row r="27" ht="15.75" customHeight="1">
      <c r="A27" s="71" t="s">
        <v>1958</v>
      </c>
      <c r="B27" s="72" t="s">
        <v>87</v>
      </c>
      <c r="C27" s="71" t="s">
        <v>1962</v>
      </c>
      <c r="D27" s="71" t="s">
        <v>1963</v>
      </c>
      <c r="E27" s="71" t="s">
        <v>1964</v>
      </c>
      <c r="F27" s="71" t="s">
        <v>1885</v>
      </c>
    </row>
    <row r="28" ht="15.75" customHeight="1">
      <c r="A28" s="71" t="s">
        <v>1958</v>
      </c>
      <c r="B28" s="72" t="s">
        <v>89</v>
      </c>
      <c r="C28" s="71" t="s">
        <v>1966</v>
      </c>
      <c r="D28" s="71" t="s">
        <v>1968</v>
      </c>
      <c r="E28" s="71" t="s">
        <v>1969</v>
      </c>
      <c r="F28" s="71" t="s">
        <v>1885</v>
      </c>
    </row>
    <row r="29" ht="15.75" customHeight="1">
      <c r="A29" s="71" t="s">
        <v>1958</v>
      </c>
      <c r="B29" s="72" t="s">
        <v>91</v>
      </c>
      <c r="C29" s="71" t="s">
        <v>1970</v>
      </c>
      <c r="D29" s="71" t="s">
        <v>1971</v>
      </c>
      <c r="E29" s="71" t="s">
        <v>1895</v>
      </c>
      <c r="F29" s="71" t="s">
        <v>1885</v>
      </c>
    </row>
    <row r="30" ht="15.75" customHeight="1">
      <c r="A30" s="71" t="s">
        <v>1972</v>
      </c>
      <c r="B30" s="72" t="s">
        <v>93</v>
      </c>
      <c r="C30" s="71" t="s">
        <v>1973</v>
      </c>
      <c r="D30" s="71" t="s">
        <v>1974</v>
      </c>
      <c r="E30" s="71" t="s">
        <v>1934</v>
      </c>
      <c r="F30" s="71" t="s">
        <v>1975</v>
      </c>
    </row>
    <row r="31" ht="15.75" customHeight="1">
      <c r="A31" s="71" t="s">
        <v>1972</v>
      </c>
      <c r="B31" s="72" t="s">
        <v>95</v>
      </c>
      <c r="C31" s="71" t="s">
        <v>1976</v>
      </c>
      <c r="D31" s="71" t="s">
        <v>1977</v>
      </c>
      <c r="E31" s="71" t="s">
        <v>1934</v>
      </c>
      <c r="F31" s="71" t="s">
        <v>1975</v>
      </c>
    </row>
    <row r="32" ht="15.75" customHeight="1">
      <c r="A32" s="71" t="s">
        <v>1972</v>
      </c>
      <c r="B32" s="72" t="s">
        <v>97</v>
      </c>
      <c r="C32" s="71" t="s">
        <v>1978</v>
      </c>
      <c r="D32" s="71" t="s">
        <v>1979</v>
      </c>
      <c r="E32" s="71" t="s">
        <v>1934</v>
      </c>
      <c r="F32" s="71" t="s">
        <v>1975</v>
      </c>
    </row>
    <row r="33" ht="15.75" customHeight="1">
      <c r="A33" s="71" t="s">
        <v>1972</v>
      </c>
      <c r="B33" s="72" t="s">
        <v>92</v>
      </c>
      <c r="C33" s="71" t="s">
        <v>1980</v>
      </c>
      <c r="D33" s="71" t="s">
        <v>1981</v>
      </c>
      <c r="E33" s="71" t="s">
        <v>1934</v>
      </c>
      <c r="F33" s="71" t="s">
        <v>1975</v>
      </c>
    </row>
    <row r="34" ht="15.75" customHeight="1">
      <c r="A34" s="71" t="s">
        <v>1972</v>
      </c>
      <c r="B34" s="72" t="s">
        <v>1982</v>
      </c>
      <c r="C34" s="71" t="s">
        <v>1983</v>
      </c>
      <c r="D34" s="71" t="s">
        <v>1984</v>
      </c>
      <c r="E34" s="71" t="s">
        <v>1934</v>
      </c>
      <c r="F34" s="71" t="s">
        <v>1935</v>
      </c>
    </row>
    <row r="35" ht="15.75" customHeight="1">
      <c r="A35" s="1" t="s">
        <v>1972</v>
      </c>
      <c r="B35" s="73" t="s">
        <v>60</v>
      </c>
      <c r="C35" s="1" t="s">
        <v>1985</v>
      </c>
    </row>
    <row r="36" ht="15.75" customHeight="1">
      <c r="A36" s="1" t="s">
        <v>1972</v>
      </c>
      <c r="B36" s="73" t="s">
        <v>27</v>
      </c>
      <c r="C36" s="1" t="s">
        <v>1986</v>
      </c>
    </row>
    <row r="37" ht="15.75" customHeight="1">
      <c r="A37" s="1" t="s">
        <v>1754</v>
      </c>
      <c r="B37" s="73" t="s">
        <v>1987</v>
      </c>
      <c r="C37" s="1" t="s">
        <v>1988</v>
      </c>
    </row>
    <row r="38" ht="15.75" customHeight="1">
      <c r="B38" s="72"/>
    </row>
    <row r="39" ht="15.75" customHeight="1">
      <c r="B39" s="72"/>
    </row>
    <row r="40" ht="15.75" customHeight="1">
      <c r="B40" s="72"/>
    </row>
    <row r="41" ht="15.75" customHeight="1">
      <c r="B41" s="72"/>
    </row>
    <row r="42" ht="15.75" customHeight="1">
      <c r="B42" s="72"/>
    </row>
    <row r="43" ht="15.75" customHeight="1">
      <c r="B43" s="72"/>
    </row>
    <row r="44" ht="15.75" customHeight="1">
      <c r="B44" s="72"/>
    </row>
    <row r="45" ht="15.75" customHeight="1">
      <c r="B45" s="72"/>
    </row>
    <row r="46" ht="15.75" customHeight="1">
      <c r="B46" s="72"/>
    </row>
    <row r="47" ht="15.75" customHeight="1">
      <c r="B47" s="72"/>
    </row>
    <row r="48" ht="15.75" customHeight="1">
      <c r="B48" s="72"/>
    </row>
    <row r="49" ht="15.75" customHeight="1">
      <c r="B49" s="72"/>
    </row>
    <row r="50" ht="15.75" customHeight="1">
      <c r="B50" s="72"/>
    </row>
    <row r="51" ht="15.75" customHeight="1">
      <c r="B51" s="72"/>
    </row>
    <row r="52" ht="15.75" customHeight="1">
      <c r="B52" s="72"/>
    </row>
    <row r="53" ht="15.75" customHeight="1">
      <c r="B53" s="72"/>
    </row>
    <row r="54" ht="15.75" customHeight="1">
      <c r="B54" s="72"/>
    </row>
    <row r="55" ht="15.75" customHeight="1">
      <c r="B55" s="72"/>
    </row>
    <row r="56" ht="15.75" customHeight="1">
      <c r="B56" s="72"/>
    </row>
    <row r="57" ht="15.75" customHeight="1">
      <c r="B57" s="72"/>
    </row>
    <row r="58" ht="15.75" customHeight="1">
      <c r="B58" s="72"/>
    </row>
    <row r="59" ht="15.75" customHeight="1">
      <c r="B59" s="72"/>
    </row>
    <row r="60" ht="15.75" customHeight="1">
      <c r="B60" s="72"/>
    </row>
    <row r="61" ht="15.75" customHeight="1">
      <c r="B61" s="72"/>
    </row>
    <row r="62" ht="15.75" customHeight="1">
      <c r="B62" s="72"/>
    </row>
    <row r="63" ht="15.75" customHeight="1">
      <c r="B63" s="72"/>
    </row>
    <row r="64" ht="15.75" customHeight="1">
      <c r="B64" s="72"/>
    </row>
    <row r="65" ht="15.75" customHeight="1">
      <c r="B65" s="72"/>
    </row>
    <row r="66" ht="15.75" customHeight="1">
      <c r="B66" s="72"/>
    </row>
    <row r="67" ht="15.75" customHeight="1">
      <c r="B67" s="72"/>
    </row>
    <row r="68" ht="15.75" customHeight="1">
      <c r="B68" s="72"/>
    </row>
    <row r="69" ht="15.75" customHeight="1">
      <c r="B69" s="72"/>
    </row>
    <row r="70" ht="15.75" customHeight="1">
      <c r="B70" s="72"/>
    </row>
    <row r="71" ht="15.75" customHeight="1">
      <c r="B71" s="72"/>
    </row>
    <row r="72" ht="15.75" customHeight="1">
      <c r="B72" s="72"/>
    </row>
    <row r="73" ht="15.75" customHeight="1">
      <c r="B73" s="72"/>
    </row>
    <row r="74" ht="15.75" customHeight="1">
      <c r="B74" s="72"/>
    </row>
    <row r="75" ht="15.75" customHeight="1">
      <c r="B75" s="72"/>
    </row>
    <row r="76" ht="15.75" customHeight="1">
      <c r="B76" s="72"/>
    </row>
    <row r="77" ht="15.75" customHeight="1">
      <c r="B77" s="72"/>
    </row>
    <row r="78" ht="15.75" customHeight="1">
      <c r="B78" s="72"/>
    </row>
    <row r="79" ht="15.75" customHeight="1">
      <c r="B79" s="72"/>
    </row>
    <row r="80" ht="15.75" customHeight="1">
      <c r="B80" s="72"/>
    </row>
    <row r="81" ht="15.75" customHeight="1">
      <c r="B81" s="72"/>
    </row>
    <row r="82" ht="15.75" customHeight="1">
      <c r="B82" s="72"/>
    </row>
    <row r="83" ht="15.75" customHeight="1">
      <c r="B83" s="72"/>
    </row>
    <row r="84" ht="15.75" customHeight="1">
      <c r="B84" s="72"/>
    </row>
    <row r="85" ht="15.75" customHeight="1">
      <c r="B85" s="72"/>
    </row>
    <row r="86" ht="15.75" customHeight="1">
      <c r="B86" s="72"/>
    </row>
    <row r="87" ht="15.75" customHeight="1">
      <c r="B87" s="72"/>
    </row>
    <row r="88" ht="15.75" customHeight="1">
      <c r="B88" s="72"/>
    </row>
    <row r="89" ht="15.75" customHeight="1">
      <c r="B89" s="72"/>
    </row>
    <row r="90" ht="15.75" customHeight="1">
      <c r="B90" s="72"/>
    </row>
    <row r="91" ht="15.75" customHeight="1">
      <c r="B91" s="72"/>
    </row>
    <row r="92" ht="15.75" customHeight="1">
      <c r="B92" s="72"/>
    </row>
    <row r="93" ht="15.75" customHeight="1">
      <c r="B93" s="72"/>
    </row>
    <row r="94" ht="15.75" customHeight="1">
      <c r="B94" s="72"/>
    </row>
    <row r="95" ht="15.75" customHeight="1">
      <c r="B95" s="72"/>
    </row>
    <row r="96" ht="15.75" customHeight="1">
      <c r="B96" s="72"/>
    </row>
    <row r="97" ht="15.75" customHeight="1">
      <c r="B97" s="72"/>
    </row>
    <row r="98" ht="15.75" customHeight="1">
      <c r="B98" s="72"/>
    </row>
    <row r="99" ht="15.75" customHeight="1">
      <c r="B99" s="72"/>
    </row>
    <row r="100" ht="15.75" customHeight="1">
      <c r="B100" s="72"/>
    </row>
    <row r="101" ht="15.75" customHeight="1">
      <c r="B101" s="72"/>
    </row>
    <row r="102" ht="15.75" customHeight="1">
      <c r="B102" s="72"/>
    </row>
    <row r="103" ht="15.75" customHeight="1">
      <c r="B103" s="72"/>
    </row>
    <row r="104" ht="15.75" customHeight="1">
      <c r="B104" s="72"/>
    </row>
    <row r="105" ht="15.75" customHeight="1">
      <c r="B105" s="72"/>
    </row>
    <row r="106" ht="15.75" customHeight="1">
      <c r="B106" s="72"/>
    </row>
    <row r="107" ht="15.75" customHeight="1">
      <c r="B107" s="72"/>
    </row>
    <row r="108" ht="15.75" customHeight="1">
      <c r="B108" s="72"/>
    </row>
    <row r="109" ht="15.75" customHeight="1">
      <c r="B109" s="72"/>
    </row>
    <row r="110" ht="15.75" customHeight="1">
      <c r="B110" s="72"/>
    </row>
    <row r="111" ht="15.75" customHeight="1">
      <c r="B111" s="72"/>
    </row>
    <row r="112" ht="15.75" customHeight="1">
      <c r="B112" s="72"/>
    </row>
    <row r="113" ht="15.75" customHeight="1">
      <c r="B113" s="72"/>
    </row>
    <row r="114" ht="15.75" customHeight="1">
      <c r="B114" s="72"/>
    </row>
    <row r="115" ht="15.75" customHeight="1">
      <c r="B115" s="72"/>
    </row>
    <row r="116" ht="15.75" customHeight="1">
      <c r="B116" s="72"/>
    </row>
    <row r="117" ht="15.75" customHeight="1">
      <c r="B117" s="72"/>
    </row>
    <row r="118" ht="15.75" customHeight="1">
      <c r="B118" s="72"/>
    </row>
    <row r="119" ht="15.75" customHeight="1">
      <c r="B119" s="72"/>
    </row>
    <row r="120" ht="15.75" customHeight="1">
      <c r="B120" s="72"/>
    </row>
    <row r="121" ht="15.75" customHeight="1">
      <c r="B121" s="72"/>
    </row>
    <row r="122" ht="15.75" customHeight="1">
      <c r="B122" s="72"/>
    </row>
    <row r="123" ht="15.75" customHeight="1">
      <c r="B123" s="72"/>
    </row>
    <row r="124" ht="15.75" customHeight="1">
      <c r="B124" s="72"/>
    </row>
    <row r="125" ht="15.75" customHeight="1">
      <c r="B125" s="72"/>
    </row>
    <row r="126" ht="15.75" customHeight="1">
      <c r="B126" s="72"/>
    </row>
    <row r="127" ht="15.75" customHeight="1">
      <c r="B127" s="72"/>
    </row>
    <row r="128" ht="15.75" customHeight="1">
      <c r="B128" s="72"/>
    </row>
    <row r="129" ht="15.75" customHeight="1">
      <c r="B129" s="72"/>
    </row>
    <row r="130" ht="15.75" customHeight="1">
      <c r="B130" s="72"/>
    </row>
    <row r="131" ht="15.75" customHeight="1">
      <c r="B131" s="72"/>
    </row>
    <row r="132" ht="15.75" customHeight="1">
      <c r="B132" s="72"/>
    </row>
    <row r="133" ht="15.75" customHeight="1">
      <c r="B133" s="72"/>
    </row>
    <row r="134" ht="15.75" customHeight="1">
      <c r="B134" s="72"/>
    </row>
    <row r="135" ht="15.75" customHeight="1">
      <c r="B135" s="72"/>
    </row>
    <row r="136" ht="15.75" customHeight="1">
      <c r="B136" s="72"/>
    </row>
    <row r="137" ht="15.75" customHeight="1">
      <c r="B137" s="72"/>
    </row>
    <row r="138" ht="15.75" customHeight="1">
      <c r="B138" s="72"/>
    </row>
    <row r="139" ht="15.75" customHeight="1">
      <c r="B139" s="72"/>
    </row>
    <row r="140" ht="15.75" customHeight="1">
      <c r="B140" s="72"/>
    </row>
    <row r="141" ht="15.75" customHeight="1">
      <c r="B141" s="72"/>
    </row>
    <row r="142" ht="15.75" customHeight="1">
      <c r="B142" s="72"/>
    </row>
    <row r="143" ht="15.75" customHeight="1">
      <c r="B143" s="72"/>
    </row>
    <row r="144" ht="15.75" customHeight="1">
      <c r="B144" s="72"/>
    </row>
    <row r="145" ht="15.75" customHeight="1">
      <c r="B145" s="72"/>
    </row>
    <row r="146" ht="15.75" customHeight="1">
      <c r="B146" s="72"/>
    </row>
    <row r="147" ht="15.75" customHeight="1">
      <c r="B147" s="72"/>
    </row>
    <row r="148" ht="15.75" customHeight="1">
      <c r="B148" s="72"/>
    </row>
    <row r="149" ht="15.75" customHeight="1">
      <c r="B149" s="72"/>
    </row>
    <row r="150" ht="15.75" customHeight="1">
      <c r="B150" s="72"/>
    </row>
    <row r="151" ht="15.75" customHeight="1">
      <c r="B151" s="72"/>
    </row>
    <row r="152" ht="15.75" customHeight="1">
      <c r="B152" s="72"/>
    </row>
    <row r="153" ht="15.75" customHeight="1">
      <c r="B153" s="72"/>
    </row>
    <row r="154" ht="15.75" customHeight="1">
      <c r="B154" s="72"/>
    </row>
    <row r="155" ht="15.75" customHeight="1">
      <c r="B155" s="72"/>
    </row>
    <row r="156" ht="15.75" customHeight="1">
      <c r="B156" s="72"/>
    </row>
    <row r="157" ht="15.75" customHeight="1">
      <c r="B157" s="72"/>
    </row>
    <row r="158" ht="15.75" customHeight="1">
      <c r="B158" s="72"/>
    </row>
    <row r="159" ht="15.75" customHeight="1">
      <c r="B159" s="72"/>
    </row>
    <row r="160" ht="15.75" customHeight="1">
      <c r="B160" s="72"/>
    </row>
    <row r="161" ht="15.75" customHeight="1">
      <c r="B161" s="72"/>
    </row>
    <row r="162" ht="15.75" customHeight="1">
      <c r="B162" s="72"/>
    </row>
    <row r="163" ht="15.75" customHeight="1">
      <c r="B163" s="72"/>
    </row>
    <row r="164" ht="15.75" customHeight="1">
      <c r="B164" s="72"/>
    </row>
    <row r="165" ht="15.75" customHeight="1">
      <c r="B165" s="72"/>
    </row>
    <row r="166" ht="15.75" customHeight="1">
      <c r="B166" s="72"/>
    </row>
    <row r="167" ht="15.75" customHeight="1">
      <c r="B167" s="72"/>
    </row>
    <row r="168" ht="15.75" customHeight="1">
      <c r="B168" s="72"/>
    </row>
    <row r="169" ht="15.75" customHeight="1">
      <c r="B169" s="72"/>
    </row>
    <row r="170" ht="15.75" customHeight="1">
      <c r="B170" s="72"/>
    </row>
    <row r="171" ht="15.75" customHeight="1">
      <c r="B171" s="72"/>
    </row>
    <row r="172" ht="15.75" customHeight="1">
      <c r="B172" s="72"/>
    </row>
    <row r="173" ht="15.75" customHeight="1">
      <c r="B173" s="72"/>
    </row>
    <row r="174" ht="15.75" customHeight="1">
      <c r="B174" s="72"/>
    </row>
    <row r="175" ht="15.75" customHeight="1">
      <c r="B175" s="72"/>
    </row>
    <row r="176" ht="15.75" customHeight="1">
      <c r="B176" s="72"/>
    </row>
    <row r="177" ht="15.75" customHeight="1">
      <c r="B177" s="72"/>
    </row>
    <row r="178" ht="15.75" customHeight="1">
      <c r="B178" s="72"/>
    </row>
    <row r="179" ht="15.75" customHeight="1">
      <c r="B179" s="72"/>
    </row>
    <row r="180" ht="15.75" customHeight="1">
      <c r="B180" s="72"/>
    </row>
    <row r="181" ht="15.75" customHeight="1">
      <c r="B181" s="72"/>
    </row>
    <row r="182" ht="15.75" customHeight="1">
      <c r="B182" s="72"/>
    </row>
    <row r="183" ht="15.75" customHeight="1">
      <c r="B183" s="72"/>
    </row>
    <row r="184" ht="15.75" customHeight="1">
      <c r="B184" s="72"/>
    </row>
    <row r="185" ht="15.75" customHeight="1">
      <c r="B185" s="72"/>
    </row>
    <row r="186" ht="15.75" customHeight="1">
      <c r="B186" s="72"/>
    </row>
    <row r="187" ht="15.75" customHeight="1">
      <c r="B187" s="72"/>
    </row>
    <row r="188" ht="15.75" customHeight="1">
      <c r="B188" s="72"/>
    </row>
    <row r="189" ht="15.75" customHeight="1">
      <c r="B189" s="72"/>
    </row>
    <row r="190" ht="15.75" customHeight="1">
      <c r="B190" s="72"/>
    </row>
    <row r="191" ht="15.75" customHeight="1">
      <c r="B191" s="72"/>
    </row>
    <row r="192" ht="15.75" customHeight="1">
      <c r="B192" s="72"/>
    </row>
    <row r="193" ht="15.75" customHeight="1">
      <c r="B193" s="72"/>
    </row>
    <row r="194" ht="15.75" customHeight="1">
      <c r="B194" s="72"/>
    </row>
    <row r="195" ht="15.75" customHeight="1">
      <c r="B195" s="72"/>
    </row>
    <row r="196" ht="15.75" customHeight="1">
      <c r="B196" s="72"/>
    </row>
    <row r="197" ht="15.75" customHeight="1">
      <c r="B197" s="72"/>
    </row>
    <row r="198" ht="15.75" customHeight="1">
      <c r="B198" s="72"/>
    </row>
    <row r="199" ht="15.75" customHeight="1">
      <c r="B199" s="72"/>
    </row>
    <row r="200" ht="15.75" customHeight="1">
      <c r="B200" s="72"/>
    </row>
    <row r="201" ht="15.75" customHeight="1">
      <c r="B201" s="72"/>
    </row>
    <row r="202" ht="15.75" customHeight="1">
      <c r="B202" s="72"/>
    </row>
    <row r="203" ht="15.75" customHeight="1">
      <c r="B203" s="72"/>
    </row>
    <row r="204" ht="15.75" customHeight="1">
      <c r="B204" s="72"/>
    </row>
    <row r="205" ht="15.75" customHeight="1">
      <c r="B205" s="72"/>
    </row>
    <row r="206" ht="15.75" customHeight="1">
      <c r="B206" s="72"/>
    </row>
    <row r="207" ht="15.75" customHeight="1">
      <c r="B207" s="72"/>
    </row>
    <row r="208" ht="15.75" customHeight="1">
      <c r="B208" s="72"/>
    </row>
    <row r="209" ht="15.75" customHeight="1">
      <c r="B209" s="72"/>
    </row>
    <row r="210" ht="15.75" customHeight="1">
      <c r="B210" s="72"/>
    </row>
    <row r="211" ht="15.75" customHeight="1">
      <c r="B211" s="72"/>
    </row>
    <row r="212" ht="15.75" customHeight="1">
      <c r="B212" s="72"/>
    </row>
    <row r="213" ht="15.75" customHeight="1">
      <c r="B213" s="72"/>
    </row>
    <row r="214" ht="15.75" customHeight="1">
      <c r="B214" s="72"/>
    </row>
    <row r="215" ht="15.75" customHeight="1">
      <c r="B215" s="72"/>
    </row>
    <row r="216" ht="15.75" customHeight="1">
      <c r="B216" s="72"/>
    </row>
    <row r="217" ht="15.75" customHeight="1">
      <c r="B217" s="72"/>
    </row>
    <row r="218" ht="15.75" customHeight="1">
      <c r="B218" s="72"/>
    </row>
    <row r="219" ht="15.75" customHeight="1">
      <c r="B219" s="72"/>
    </row>
    <row r="220" ht="15.75" customHeight="1">
      <c r="B220" s="72"/>
    </row>
    <row r="221" ht="15.75" customHeight="1">
      <c r="B221" s="72"/>
    </row>
    <row r="222" ht="15.75" customHeight="1">
      <c r="B222" s="72"/>
    </row>
    <row r="223" ht="15.75" customHeight="1">
      <c r="B223" s="72"/>
    </row>
    <row r="224" ht="15.75" customHeight="1">
      <c r="B224" s="72"/>
    </row>
    <row r="225" ht="15.75" customHeight="1">
      <c r="B225" s="72"/>
    </row>
    <row r="226" ht="15.75" customHeight="1">
      <c r="B226" s="72"/>
    </row>
    <row r="227" ht="15.75" customHeight="1">
      <c r="B227" s="72"/>
    </row>
    <row r="228" ht="15.75" customHeight="1">
      <c r="B228" s="72"/>
    </row>
    <row r="229" ht="15.75" customHeight="1">
      <c r="B229" s="72"/>
    </row>
    <row r="230" ht="15.75" customHeight="1">
      <c r="B230" s="72"/>
    </row>
    <row r="231" ht="15.75" customHeight="1">
      <c r="B231" s="72"/>
    </row>
    <row r="232" ht="15.75" customHeight="1">
      <c r="B232" s="72"/>
    </row>
    <row r="233" ht="15.75" customHeight="1">
      <c r="B233" s="72"/>
    </row>
    <row r="234" ht="15.75" customHeight="1">
      <c r="B234" s="72"/>
    </row>
    <row r="235" ht="15.75" customHeight="1">
      <c r="B235" s="72"/>
    </row>
    <row r="236" ht="15.75" customHeight="1">
      <c r="B236" s="72"/>
    </row>
    <row r="237" ht="15.75" customHeight="1">
      <c r="B237" s="72"/>
    </row>
    <row r="238" ht="15.75" customHeight="1">
      <c r="B238" s="72"/>
    </row>
    <row r="239" ht="15.75" customHeight="1">
      <c r="B239" s="72"/>
    </row>
    <row r="240" ht="15.75" customHeight="1">
      <c r="B240" s="72"/>
    </row>
    <row r="241" ht="15.75" customHeight="1">
      <c r="B241" s="72"/>
    </row>
    <row r="242" ht="15.75" customHeight="1">
      <c r="B242" s="72"/>
    </row>
    <row r="243" ht="15.75" customHeight="1">
      <c r="B243" s="72"/>
    </row>
    <row r="244" ht="15.75" customHeight="1">
      <c r="B244" s="72"/>
    </row>
    <row r="245" ht="15.75" customHeight="1">
      <c r="B245" s="72"/>
    </row>
    <row r="246" ht="15.75" customHeight="1">
      <c r="B246" s="72"/>
    </row>
    <row r="247" ht="15.75" customHeight="1">
      <c r="B247" s="72"/>
    </row>
    <row r="248" ht="15.75" customHeight="1">
      <c r="B248" s="72"/>
    </row>
    <row r="249" ht="15.75" customHeight="1">
      <c r="B249" s="72"/>
    </row>
    <row r="250" ht="15.75" customHeight="1">
      <c r="B250" s="72"/>
    </row>
    <row r="251" ht="15.75" customHeight="1">
      <c r="B251" s="72"/>
    </row>
    <row r="252" ht="15.75" customHeight="1">
      <c r="B252" s="72"/>
    </row>
    <row r="253" ht="15.75" customHeight="1">
      <c r="B253" s="72"/>
    </row>
    <row r="254" ht="15.75" customHeight="1">
      <c r="B254" s="72"/>
    </row>
    <row r="255" ht="15.75" customHeight="1">
      <c r="B255" s="72"/>
    </row>
    <row r="256" ht="15.75" customHeight="1">
      <c r="B256" s="72"/>
    </row>
    <row r="257" ht="15.75" customHeight="1">
      <c r="B257" s="72"/>
    </row>
    <row r="258" ht="15.75" customHeight="1">
      <c r="B258" s="72"/>
    </row>
    <row r="259" ht="15.75" customHeight="1">
      <c r="B259" s="72"/>
    </row>
    <row r="260" ht="15.75" customHeight="1">
      <c r="B260" s="72"/>
    </row>
    <row r="261" ht="15.75" customHeight="1">
      <c r="B261" s="72"/>
    </row>
    <row r="262" ht="15.75" customHeight="1">
      <c r="B262" s="72"/>
    </row>
    <row r="263" ht="15.75" customHeight="1">
      <c r="B263" s="72"/>
    </row>
    <row r="264" ht="15.75" customHeight="1">
      <c r="B264" s="72"/>
    </row>
    <row r="265" ht="15.75" customHeight="1">
      <c r="B265" s="72"/>
    </row>
    <row r="266" ht="15.75" customHeight="1">
      <c r="B266" s="72"/>
    </row>
    <row r="267" ht="15.75" customHeight="1">
      <c r="B267" s="72"/>
    </row>
    <row r="268" ht="15.75" customHeight="1">
      <c r="B268" s="72"/>
    </row>
    <row r="269" ht="15.75" customHeight="1">
      <c r="B269" s="72"/>
    </row>
    <row r="270" ht="15.75" customHeight="1">
      <c r="B270" s="72"/>
    </row>
    <row r="271" ht="15.75" customHeight="1">
      <c r="B271" s="72"/>
    </row>
    <row r="272" ht="15.75" customHeight="1">
      <c r="B272" s="72"/>
    </row>
    <row r="273" ht="15.75" customHeight="1">
      <c r="B273" s="72"/>
    </row>
    <row r="274" ht="15.75" customHeight="1">
      <c r="B274" s="72"/>
    </row>
    <row r="275" ht="15.75" customHeight="1">
      <c r="B275" s="72"/>
    </row>
    <row r="276" ht="15.75" customHeight="1">
      <c r="B276" s="72"/>
    </row>
    <row r="277" ht="15.75" customHeight="1">
      <c r="B277" s="72"/>
    </row>
    <row r="278" ht="15.75" customHeight="1">
      <c r="B278" s="72"/>
    </row>
    <row r="279" ht="15.75" customHeight="1">
      <c r="B279" s="72"/>
    </row>
    <row r="280" ht="15.75" customHeight="1">
      <c r="B280" s="72"/>
    </row>
    <row r="281" ht="15.75" customHeight="1">
      <c r="B281" s="72"/>
    </row>
    <row r="282" ht="15.75" customHeight="1">
      <c r="B282" s="72"/>
    </row>
    <row r="283" ht="15.75" customHeight="1">
      <c r="B283" s="72"/>
    </row>
    <row r="284" ht="15.75" customHeight="1">
      <c r="B284" s="72"/>
    </row>
    <row r="285" ht="15.75" customHeight="1">
      <c r="B285" s="72"/>
    </row>
    <row r="286" ht="15.75" customHeight="1">
      <c r="B286" s="72"/>
    </row>
    <row r="287" ht="15.75" customHeight="1">
      <c r="B287" s="72"/>
    </row>
    <row r="288" ht="15.75" customHeight="1">
      <c r="B288" s="72"/>
    </row>
    <row r="289" ht="15.75" customHeight="1">
      <c r="B289" s="72"/>
    </row>
    <row r="290" ht="15.75" customHeight="1">
      <c r="B290" s="72"/>
    </row>
    <row r="291" ht="15.75" customHeight="1">
      <c r="B291" s="72"/>
    </row>
    <row r="292" ht="15.75" customHeight="1">
      <c r="B292" s="72"/>
    </row>
    <row r="293" ht="15.75" customHeight="1">
      <c r="B293" s="72"/>
    </row>
    <row r="294" ht="15.75" customHeight="1">
      <c r="B294" s="72"/>
    </row>
    <row r="295" ht="15.75" customHeight="1">
      <c r="B295" s="72"/>
    </row>
    <row r="296" ht="15.75" customHeight="1">
      <c r="B296" s="72"/>
    </row>
    <row r="297" ht="15.75" customHeight="1">
      <c r="B297" s="72"/>
    </row>
    <row r="298" ht="15.75" customHeight="1">
      <c r="B298" s="72"/>
    </row>
    <row r="299" ht="15.75" customHeight="1">
      <c r="B299" s="72"/>
    </row>
    <row r="300" ht="15.75" customHeight="1">
      <c r="B300" s="72"/>
    </row>
    <row r="301" ht="15.75" customHeight="1">
      <c r="B301" s="72"/>
    </row>
    <row r="302" ht="15.75" customHeight="1">
      <c r="B302" s="72"/>
    </row>
    <row r="303" ht="15.75" customHeight="1">
      <c r="B303" s="72"/>
    </row>
    <row r="304" ht="15.75" customHeight="1">
      <c r="B304" s="72"/>
    </row>
    <row r="305" ht="15.75" customHeight="1">
      <c r="B305" s="72"/>
    </row>
    <row r="306" ht="15.75" customHeight="1">
      <c r="B306" s="72"/>
    </row>
    <row r="307" ht="15.75" customHeight="1">
      <c r="B307" s="72"/>
    </row>
    <row r="308" ht="15.75" customHeight="1">
      <c r="B308" s="72"/>
    </row>
    <row r="309" ht="15.75" customHeight="1">
      <c r="B309" s="72"/>
    </row>
    <row r="310" ht="15.75" customHeight="1">
      <c r="B310" s="72"/>
    </row>
    <row r="311" ht="15.75" customHeight="1">
      <c r="B311" s="72"/>
    </row>
    <row r="312" ht="15.75" customHeight="1">
      <c r="B312" s="72"/>
    </row>
    <row r="313" ht="15.75" customHeight="1">
      <c r="B313" s="72"/>
    </row>
    <row r="314" ht="15.75" customHeight="1">
      <c r="B314" s="72"/>
    </row>
    <row r="315" ht="15.75" customHeight="1">
      <c r="B315" s="72"/>
    </row>
    <row r="316" ht="15.75" customHeight="1">
      <c r="B316" s="72"/>
    </row>
    <row r="317" ht="15.75" customHeight="1">
      <c r="B317" s="72"/>
    </row>
    <row r="318" ht="15.75" customHeight="1">
      <c r="B318" s="72"/>
    </row>
    <row r="319" ht="15.75" customHeight="1">
      <c r="B319" s="72"/>
    </row>
    <row r="320" ht="15.75" customHeight="1">
      <c r="B320" s="72"/>
    </row>
    <row r="321" ht="15.75" customHeight="1">
      <c r="B321" s="72"/>
    </row>
    <row r="322" ht="15.75" customHeight="1">
      <c r="B322" s="72"/>
    </row>
    <row r="323" ht="15.75" customHeight="1">
      <c r="B323" s="72"/>
    </row>
    <row r="324" ht="15.75" customHeight="1">
      <c r="B324" s="72"/>
    </row>
    <row r="325" ht="15.75" customHeight="1">
      <c r="B325" s="72"/>
    </row>
    <row r="326" ht="15.75" customHeight="1">
      <c r="B326" s="72"/>
    </row>
    <row r="327" ht="15.75" customHeight="1">
      <c r="B327" s="72"/>
    </row>
    <row r="328" ht="15.75" customHeight="1">
      <c r="B328" s="72"/>
    </row>
    <row r="329" ht="15.75" customHeight="1">
      <c r="B329" s="72"/>
    </row>
    <row r="330" ht="15.75" customHeight="1">
      <c r="B330" s="72"/>
    </row>
    <row r="331" ht="15.75" customHeight="1">
      <c r="B331" s="72"/>
    </row>
    <row r="332" ht="15.75" customHeight="1">
      <c r="B332" s="72"/>
    </row>
    <row r="333" ht="15.75" customHeight="1">
      <c r="B333" s="72"/>
    </row>
    <row r="334" ht="15.75" customHeight="1">
      <c r="B334" s="72"/>
    </row>
    <row r="335" ht="15.75" customHeight="1">
      <c r="B335" s="72"/>
    </row>
    <row r="336" ht="15.75" customHeight="1">
      <c r="B336" s="72"/>
    </row>
    <row r="337" ht="15.75" customHeight="1">
      <c r="B337" s="72"/>
    </row>
    <row r="338" ht="15.75" customHeight="1">
      <c r="B338" s="72"/>
    </row>
    <row r="339" ht="15.75" customHeight="1">
      <c r="B339" s="72"/>
    </row>
    <row r="340" ht="15.75" customHeight="1">
      <c r="B340" s="72"/>
    </row>
    <row r="341" ht="15.75" customHeight="1">
      <c r="B341" s="72"/>
    </row>
    <row r="342" ht="15.75" customHeight="1">
      <c r="B342" s="72"/>
    </row>
    <row r="343" ht="15.75" customHeight="1">
      <c r="B343" s="72"/>
    </row>
    <row r="344" ht="15.75" customHeight="1">
      <c r="B344" s="72"/>
    </row>
    <row r="345" ht="15.75" customHeight="1">
      <c r="B345" s="72"/>
    </row>
    <row r="346" ht="15.75" customHeight="1">
      <c r="B346" s="72"/>
    </row>
    <row r="347" ht="15.75" customHeight="1">
      <c r="B347" s="72"/>
    </row>
    <row r="348" ht="15.75" customHeight="1">
      <c r="B348" s="72"/>
    </row>
    <row r="349" ht="15.75" customHeight="1">
      <c r="B349" s="72"/>
    </row>
    <row r="350" ht="15.75" customHeight="1">
      <c r="B350" s="72"/>
    </row>
    <row r="351" ht="15.75" customHeight="1">
      <c r="B351" s="72"/>
    </row>
    <row r="352" ht="15.75" customHeight="1">
      <c r="B352" s="72"/>
    </row>
    <row r="353" ht="15.75" customHeight="1">
      <c r="B353" s="72"/>
    </row>
    <row r="354" ht="15.75" customHeight="1">
      <c r="B354" s="72"/>
    </row>
    <row r="355" ht="15.75" customHeight="1">
      <c r="B355" s="72"/>
    </row>
    <row r="356" ht="15.75" customHeight="1">
      <c r="B356" s="72"/>
    </row>
    <row r="357" ht="15.75" customHeight="1">
      <c r="B357" s="72"/>
    </row>
    <row r="358" ht="15.75" customHeight="1">
      <c r="B358" s="72"/>
    </row>
    <row r="359" ht="15.75" customHeight="1">
      <c r="B359" s="72"/>
    </row>
    <row r="360" ht="15.75" customHeight="1">
      <c r="B360" s="72"/>
    </row>
    <row r="361" ht="15.75" customHeight="1">
      <c r="B361" s="72"/>
    </row>
    <row r="362" ht="15.75" customHeight="1">
      <c r="B362" s="72"/>
    </row>
    <row r="363" ht="15.75" customHeight="1">
      <c r="B363" s="72"/>
    </row>
    <row r="364" ht="15.75" customHeight="1">
      <c r="B364" s="72"/>
    </row>
    <row r="365" ht="15.75" customHeight="1">
      <c r="B365" s="72"/>
    </row>
    <row r="366" ht="15.75" customHeight="1">
      <c r="B366" s="72"/>
    </row>
    <row r="367" ht="15.75" customHeight="1">
      <c r="B367" s="72"/>
    </row>
    <row r="368" ht="15.75" customHeight="1">
      <c r="B368" s="72"/>
    </row>
    <row r="369" ht="15.75" customHeight="1">
      <c r="B369" s="72"/>
    </row>
    <row r="370" ht="15.75" customHeight="1">
      <c r="B370" s="72"/>
    </row>
    <row r="371" ht="15.75" customHeight="1">
      <c r="B371" s="72"/>
    </row>
    <row r="372" ht="15.75" customHeight="1">
      <c r="B372" s="72"/>
    </row>
    <row r="373" ht="15.75" customHeight="1">
      <c r="B373" s="72"/>
    </row>
    <row r="374" ht="15.75" customHeight="1">
      <c r="B374" s="72"/>
    </row>
    <row r="375" ht="15.75" customHeight="1">
      <c r="B375" s="72"/>
    </row>
    <row r="376" ht="15.75" customHeight="1">
      <c r="B376" s="72"/>
    </row>
    <row r="377" ht="15.75" customHeight="1">
      <c r="B377" s="72"/>
    </row>
    <row r="378" ht="15.75" customHeight="1">
      <c r="B378" s="72"/>
    </row>
    <row r="379" ht="15.75" customHeight="1">
      <c r="B379" s="72"/>
    </row>
    <row r="380" ht="15.75" customHeight="1">
      <c r="B380" s="72"/>
    </row>
    <row r="381" ht="15.75" customHeight="1">
      <c r="B381" s="72"/>
    </row>
    <row r="382" ht="15.75" customHeight="1">
      <c r="B382" s="72"/>
    </row>
    <row r="383" ht="15.75" customHeight="1">
      <c r="B383" s="72"/>
    </row>
    <row r="384" ht="15.75" customHeight="1">
      <c r="B384" s="72"/>
    </row>
    <row r="385" ht="15.75" customHeight="1">
      <c r="B385" s="72"/>
    </row>
    <row r="386" ht="15.75" customHeight="1">
      <c r="B386" s="72"/>
    </row>
    <row r="387" ht="15.75" customHeight="1">
      <c r="B387" s="72"/>
    </row>
    <row r="388" ht="15.75" customHeight="1">
      <c r="B388" s="72"/>
    </row>
    <row r="389" ht="15.75" customHeight="1">
      <c r="B389" s="72"/>
    </row>
    <row r="390" ht="15.75" customHeight="1">
      <c r="B390" s="72"/>
    </row>
    <row r="391" ht="15.75" customHeight="1">
      <c r="B391" s="72"/>
    </row>
    <row r="392" ht="15.75" customHeight="1">
      <c r="B392" s="72"/>
    </row>
    <row r="393" ht="15.75" customHeight="1">
      <c r="B393" s="72"/>
    </row>
    <row r="394" ht="15.75" customHeight="1">
      <c r="B394" s="72"/>
    </row>
    <row r="395" ht="15.75" customHeight="1">
      <c r="B395" s="72"/>
    </row>
    <row r="396" ht="15.75" customHeight="1">
      <c r="B396" s="72"/>
    </row>
    <row r="397" ht="15.75" customHeight="1">
      <c r="B397" s="72"/>
    </row>
    <row r="398" ht="15.75" customHeight="1">
      <c r="B398" s="72"/>
    </row>
    <row r="399" ht="15.75" customHeight="1">
      <c r="B399" s="72"/>
    </row>
    <row r="400" ht="15.75" customHeight="1">
      <c r="B400" s="72"/>
    </row>
    <row r="401" ht="15.75" customHeight="1">
      <c r="B401" s="72"/>
    </row>
    <row r="402" ht="15.75" customHeight="1">
      <c r="B402" s="72"/>
    </row>
    <row r="403" ht="15.75" customHeight="1">
      <c r="B403" s="72"/>
    </row>
    <row r="404" ht="15.75" customHeight="1">
      <c r="B404" s="72"/>
    </row>
    <row r="405" ht="15.75" customHeight="1">
      <c r="B405" s="72"/>
    </row>
    <row r="406" ht="15.75" customHeight="1">
      <c r="B406" s="72"/>
    </row>
    <row r="407" ht="15.75" customHeight="1">
      <c r="B407" s="72"/>
    </row>
    <row r="408" ht="15.75" customHeight="1">
      <c r="B408" s="72"/>
    </row>
    <row r="409" ht="15.75" customHeight="1">
      <c r="B409" s="72"/>
    </row>
    <row r="410" ht="15.75" customHeight="1">
      <c r="B410" s="72"/>
    </row>
    <row r="411" ht="15.75" customHeight="1">
      <c r="B411" s="72"/>
    </row>
    <row r="412" ht="15.75" customHeight="1">
      <c r="B412" s="72"/>
    </row>
    <row r="413" ht="15.75" customHeight="1">
      <c r="B413" s="72"/>
    </row>
    <row r="414" ht="15.75" customHeight="1">
      <c r="B414" s="72"/>
    </row>
    <row r="415" ht="15.75" customHeight="1">
      <c r="B415" s="72"/>
    </row>
    <row r="416" ht="15.75" customHeight="1">
      <c r="B416" s="72"/>
    </row>
    <row r="417" ht="15.75" customHeight="1">
      <c r="B417" s="72"/>
    </row>
    <row r="418" ht="15.75" customHeight="1">
      <c r="B418" s="72"/>
    </row>
    <row r="419" ht="15.75" customHeight="1">
      <c r="B419" s="72"/>
    </row>
    <row r="420" ht="15.75" customHeight="1">
      <c r="B420" s="72"/>
    </row>
    <row r="421" ht="15.75" customHeight="1">
      <c r="B421" s="72"/>
    </row>
    <row r="422" ht="15.75" customHeight="1">
      <c r="B422" s="72"/>
    </row>
    <row r="423" ht="15.75" customHeight="1">
      <c r="B423" s="72"/>
    </row>
    <row r="424" ht="15.75" customHeight="1">
      <c r="B424" s="72"/>
    </row>
    <row r="425" ht="15.75" customHeight="1">
      <c r="B425" s="72"/>
    </row>
    <row r="426" ht="15.75" customHeight="1">
      <c r="B426" s="72"/>
    </row>
    <row r="427" ht="15.75" customHeight="1">
      <c r="B427" s="72"/>
    </row>
    <row r="428" ht="15.75" customHeight="1">
      <c r="B428" s="72"/>
    </row>
    <row r="429" ht="15.75" customHeight="1">
      <c r="B429" s="72"/>
    </row>
    <row r="430" ht="15.75" customHeight="1">
      <c r="B430" s="72"/>
    </row>
    <row r="431" ht="15.75" customHeight="1">
      <c r="B431" s="72"/>
    </row>
    <row r="432" ht="15.75" customHeight="1">
      <c r="B432" s="72"/>
    </row>
    <row r="433" ht="15.75" customHeight="1">
      <c r="B433" s="72"/>
    </row>
    <row r="434" ht="15.75" customHeight="1">
      <c r="B434" s="72"/>
    </row>
    <row r="435" ht="15.75" customHeight="1">
      <c r="B435" s="72"/>
    </row>
    <row r="436" ht="15.75" customHeight="1">
      <c r="B436" s="72"/>
    </row>
    <row r="437" ht="15.75" customHeight="1">
      <c r="B437" s="72"/>
    </row>
    <row r="438" ht="15.75" customHeight="1">
      <c r="B438" s="72"/>
    </row>
    <row r="439" ht="15.75" customHeight="1">
      <c r="B439" s="72"/>
    </row>
    <row r="440" ht="15.75" customHeight="1">
      <c r="B440" s="72"/>
    </row>
    <row r="441" ht="15.75" customHeight="1">
      <c r="B441" s="72"/>
    </row>
    <row r="442" ht="15.75" customHeight="1">
      <c r="B442" s="72"/>
    </row>
    <row r="443" ht="15.75" customHeight="1">
      <c r="B443" s="72"/>
    </row>
    <row r="444" ht="15.75" customHeight="1">
      <c r="B444" s="72"/>
    </row>
    <row r="445" ht="15.75" customHeight="1">
      <c r="B445" s="72"/>
    </row>
    <row r="446" ht="15.75" customHeight="1">
      <c r="B446" s="72"/>
    </row>
    <row r="447" ht="15.75" customHeight="1">
      <c r="B447" s="72"/>
    </row>
    <row r="448" ht="15.75" customHeight="1">
      <c r="B448" s="72"/>
    </row>
    <row r="449" ht="15.75" customHeight="1">
      <c r="B449" s="72"/>
    </row>
    <row r="450" ht="15.75" customHeight="1">
      <c r="B450" s="72"/>
    </row>
    <row r="451" ht="15.75" customHeight="1">
      <c r="B451" s="72"/>
    </row>
    <row r="452" ht="15.75" customHeight="1">
      <c r="B452" s="72"/>
    </row>
    <row r="453" ht="15.75" customHeight="1">
      <c r="B453" s="72"/>
    </row>
    <row r="454" ht="15.75" customHeight="1">
      <c r="B454" s="72"/>
    </row>
    <row r="455" ht="15.75" customHeight="1">
      <c r="B455" s="72"/>
    </row>
    <row r="456" ht="15.75" customHeight="1">
      <c r="B456" s="72"/>
    </row>
    <row r="457" ht="15.75" customHeight="1">
      <c r="B457" s="72"/>
    </row>
    <row r="458" ht="15.75" customHeight="1">
      <c r="B458" s="72"/>
    </row>
    <row r="459" ht="15.75" customHeight="1">
      <c r="B459" s="72"/>
    </row>
    <row r="460" ht="15.75" customHeight="1">
      <c r="B460" s="72"/>
    </row>
    <row r="461" ht="15.75" customHeight="1">
      <c r="B461" s="72"/>
    </row>
    <row r="462" ht="15.75" customHeight="1">
      <c r="B462" s="72"/>
    </row>
    <row r="463" ht="15.75" customHeight="1">
      <c r="B463" s="72"/>
    </row>
    <row r="464" ht="15.75" customHeight="1">
      <c r="B464" s="72"/>
    </row>
    <row r="465" ht="15.75" customHeight="1">
      <c r="B465" s="72"/>
    </row>
    <row r="466" ht="15.75" customHeight="1">
      <c r="B466" s="72"/>
    </row>
    <row r="467" ht="15.75" customHeight="1">
      <c r="B467" s="72"/>
    </row>
    <row r="468" ht="15.75" customHeight="1">
      <c r="B468" s="72"/>
    </row>
    <row r="469" ht="15.75" customHeight="1">
      <c r="B469" s="72"/>
    </row>
    <row r="470" ht="15.75" customHeight="1">
      <c r="B470" s="72"/>
    </row>
    <row r="471" ht="15.75" customHeight="1">
      <c r="B471" s="72"/>
    </row>
    <row r="472" ht="15.75" customHeight="1">
      <c r="B472" s="72"/>
    </row>
    <row r="473" ht="15.75" customHeight="1">
      <c r="B473" s="72"/>
    </row>
    <row r="474" ht="15.75" customHeight="1">
      <c r="B474" s="72"/>
    </row>
    <row r="475" ht="15.75" customHeight="1">
      <c r="B475" s="72"/>
    </row>
    <row r="476" ht="15.75" customHeight="1">
      <c r="B476" s="72"/>
    </row>
    <row r="477" ht="15.75" customHeight="1">
      <c r="B477" s="72"/>
    </row>
    <row r="478" ht="15.75" customHeight="1">
      <c r="B478" s="72"/>
    </row>
    <row r="479" ht="15.75" customHeight="1">
      <c r="B479" s="72"/>
    </row>
    <row r="480" ht="15.75" customHeight="1">
      <c r="B480" s="72"/>
    </row>
    <row r="481" ht="15.75" customHeight="1">
      <c r="B481" s="72"/>
    </row>
    <row r="482" ht="15.75" customHeight="1">
      <c r="B482" s="72"/>
    </row>
    <row r="483" ht="15.75" customHeight="1">
      <c r="B483" s="72"/>
    </row>
    <row r="484" ht="15.75" customHeight="1">
      <c r="B484" s="72"/>
    </row>
    <row r="485" ht="15.75" customHeight="1">
      <c r="B485" s="72"/>
    </row>
    <row r="486" ht="15.75" customHeight="1">
      <c r="B486" s="72"/>
    </row>
    <row r="487" ht="15.75" customHeight="1">
      <c r="B487" s="72"/>
    </row>
    <row r="488" ht="15.75" customHeight="1">
      <c r="B488" s="72"/>
    </row>
    <row r="489" ht="15.75" customHeight="1">
      <c r="B489" s="72"/>
    </row>
    <row r="490" ht="15.75" customHeight="1">
      <c r="B490" s="72"/>
    </row>
    <row r="491" ht="15.75" customHeight="1">
      <c r="B491" s="72"/>
    </row>
    <row r="492" ht="15.75" customHeight="1">
      <c r="B492" s="72"/>
    </row>
    <row r="493" ht="15.75" customHeight="1">
      <c r="B493" s="72"/>
    </row>
    <row r="494" ht="15.75" customHeight="1">
      <c r="B494" s="72"/>
    </row>
    <row r="495" ht="15.75" customHeight="1">
      <c r="B495" s="72"/>
    </row>
    <row r="496" ht="15.75" customHeight="1">
      <c r="B496" s="72"/>
    </row>
    <row r="497" ht="15.75" customHeight="1">
      <c r="B497" s="72"/>
    </row>
    <row r="498" ht="15.75" customHeight="1">
      <c r="B498" s="72"/>
    </row>
    <row r="499" ht="15.75" customHeight="1">
      <c r="B499" s="72"/>
    </row>
    <row r="500" ht="15.75" customHeight="1">
      <c r="B500" s="72"/>
    </row>
    <row r="501" ht="15.75" customHeight="1">
      <c r="B501" s="72"/>
    </row>
    <row r="502" ht="15.75" customHeight="1">
      <c r="B502" s="72"/>
    </row>
    <row r="503" ht="15.75" customHeight="1">
      <c r="B503" s="72"/>
    </row>
    <row r="504" ht="15.75" customHeight="1">
      <c r="B504" s="72"/>
    </row>
    <row r="505" ht="15.75" customHeight="1">
      <c r="B505" s="72"/>
    </row>
    <row r="506" ht="15.75" customHeight="1">
      <c r="B506" s="72"/>
    </row>
    <row r="507" ht="15.75" customHeight="1">
      <c r="B507" s="72"/>
    </row>
    <row r="508" ht="15.75" customHeight="1">
      <c r="B508" s="72"/>
    </row>
    <row r="509" ht="15.75" customHeight="1">
      <c r="B509" s="72"/>
    </row>
    <row r="510" ht="15.75" customHeight="1">
      <c r="B510" s="72"/>
    </row>
    <row r="511" ht="15.75" customHeight="1">
      <c r="B511" s="72"/>
    </row>
    <row r="512" ht="15.75" customHeight="1">
      <c r="B512" s="72"/>
    </row>
    <row r="513" ht="15.75" customHeight="1">
      <c r="B513" s="72"/>
    </row>
    <row r="514" ht="15.75" customHeight="1">
      <c r="B514" s="72"/>
    </row>
    <row r="515" ht="15.75" customHeight="1">
      <c r="B515" s="72"/>
    </row>
    <row r="516" ht="15.75" customHeight="1">
      <c r="B516" s="72"/>
    </row>
    <row r="517" ht="15.75" customHeight="1">
      <c r="B517" s="72"/>
    </row>
    <row r="518" ht="15.75" customHeight="1">
      <c r="B518" s="72"/>
    </row>
    <row r="519" ht="15.75" customHeight="1">
      <c r="B519" s="72"/>
    </row>
    <row r="520" ht="15.75" customHeight="1">
      <c r="B520" s="72"/>
    </row>
    <row r="521" ht="15.75" customHeight="1">
      <c r="B521" s="72"/>
    </row>
    <row r="522" ht="15.75" customHeight="1">
      <c r="B522" s="72"/>
    </row>
    <row r="523" ht="15.75" customHeight="1">
      <c r="B523" s="72"/>
    </row>
    <row r="524" ht="15.75" customHeight="1">
      <c r="B524" s="72"/>
    </row>
    <row r="525" ht="15.75" customHeight="1">
      <c r="B525" s="72"/>
    </row>
    <row r="526" ht="15.75" customHeight="1">
      <c r="B526" s="72"/>
    </row>
    <row r="527" ht="15.75" customHeight="1">
      <c r="B527" s="72"/>
    </row>
    <row r="528" ht="15.75" customHeight="1">
      <c r="B528" s="72"/>
    </row>
    <row r="529" ht="15.75" customHeight="1">
      <c r="B529" s="72"/>
    </row>
    <row r="530" ht="15.75" customHeight="1">
      <c r="B530" s="72"/>
    </row>
    <row r="531" ht="15.75" customHeight="1">
      <c r="B531" s="72"/>
    </row>
    <row r="532" ht="15.75" customHeight="1">
      <c r="B532" s="72"/>
    </row>
    <row r="533" ht="15.75" customHeight="1">
      <c r="B533" s="72"/>
    </row>
    <row r="534" ht="15.75" customHeight="1">
      <c r="B534" s="72"/>
    </row>
    <row r="535" ht="15.75" customHeight="1">
      <c r="B535" s="72"/>
    </row>
    <row r="536" ht="15.75" customHeight="1">
      <c r="B536" s="72"/>
    </row>
    <row r="537" ht="15.75" customHeight="1">
      <c r="B537" s="72"/>
    </row>
    <row r="538" ht="15.75" customHeight="1">
      <c r="B538" s="72"/>
    </row>
    <row r="539" ht="15.75" customHeight="1">
      <c r="B539" s="72"/>
    </row>
    <row r="540" ht="15.75" customHeight="1">
      <c r="B540" s="72"/>
    </row>
    <row r="541" ht="15.75" customHeight="1">
      <c r="B541" s="72"/>
    </row>
    <row r="542" ht="15.75" customHeight="1">
      <c r="B542" s="72"/>
    </row>
    <row r="543" ht="15.75" customHeight="1">
      <c r="B543" s="72"/>
    </row>
    <row r="544" ht="15.75" customHeight="1">
      <c r="B544" s="72"/>
    </row>
    <row r="545" ht="15.75" customHeight="1">
      <c r="B545" s="72"/>
    </row>
    <row r="546" ht="15.75" customHeight="1">
      <c r="B546" s="72"/>
    </row>
    <row r="547" ht="15.75" customHeight="1">
      <c r="B547" s="72"/>
    </row>
    <row r="548" ht="15.75" customHeight="1">
      <c r="B548" s="72"/>
    </row>
    <row r="549" ht="15.75" customHeight="1">
      <c r="B549" s="72"/>
    </row>
    <row r="550" ht="15.75" customHeight="1">
      <c r="B550" s="72"/>
    </row>
    <row r="551" ht="15.75" customHeight="1">
      <c r="B551" s="72"/>
    </row>
    <row r="552" ht="15.75" customHeight="1">
      <c r="B552" s="72"/>
    </row>
    <row r="553" ht="15.75" customHeight="1">
      <c r="B553" s="72"/>
    </row>
    <row r="554" ht="15.75" customHeight="1">
      <c r="B554" s="72"/>
    </row>
    <row r="555" ht="15.75" customHeight="1">
      <c r="B555" s="72"/>
    </row>
    <row r="556" ht="15.75" customHeight="1">
      <c r="B556" s="72"/>
    </row>
    <row r="557" ht="15.75" customHeight="1">
      <c r="B557" s="72"/>
    </row>
    <row r="558" ht="15.75" customHeight="1">
      <c r="B558" s="72"/>
    </row>
    <row r="559" ht="15.75" customHeight="1">
      <c r="B559" s="72"/>
    </row>
    <row r="560" ht="15.75" customHeight="1">
      <c r="B560" s="72"/>
    </row>
    <row r="561" ht="15.75" customHeight="1">
      <c r="B561" s="72"/>
    </row>
    <row r="562" ht="15.75" customHeight="1">
      <c r="B562" s="72"/>
    </row>
    <row r="563" ht="15.75" customHeight="1">
      <c r="B563" s="72"/>
    </row>
    <row r="564" ht="15.75" customHeight="1">
      <c r="B564" s="72"/>
    </row>
    <row r="565" ht="15.75" customHeight="1">
      <c r="B565" s="72"/>
    </row>
    <row r="566" ht="15.75" customHeight="1">
      <c r="B566" s="72"/>
    </row>
    <row r="567" ht="15.75" customHeight="1">
      <c r="B567" s="72"/>
    </row>
    <row r="568" ht="15.75" customHeight="1">
      <c r="B568" s="72"/>
    </row>
    <row r="569" ht="15.75" customHeight="1">
      <c r="B569" s="72"/>
    </row>
    <row r="570" ht="15.75" customHeight="1">
      <c r="B570" s="72"/>
    </row>
    <row r="571" ht="15.75" customHeight="1">
      <c r="B571" s="72"/>
    </row>
    <row r="572" ht="15.75" customHeight="1">
      <c r="B572" s="72"/>
    </row>
    <row r="573" ht="15.75" customHeight="1">
      <c r="B573" s="72"/>
    </row>
    <row r="574" ht="15.75" customHeight="1">
      <c r="B574" s="72"/>
    </row>
    <row r="575" ht="15.75" customHeight="1">
      <c r="B575" s="72"/>
    </row>
    <row r="576" ht="15.75" customHeight="1">
      <c r="B576" s="72"/>
    </row>
    <row r="577" ht="15.75" customHeight="1">
      <c r="B577" s="72"/>
    </row>
    <row r="578" ht="15.75" customHeight="1">
      <c r="B578" s="72"/>
    </row>
    <row r="579" ht="15.75" customHeight="1">
      <c r="B579" s="72"/>
    </row>
    <row r="580" ht="15.75" customHeight="1">
      <c r="B580" s="72"/>
    </row>
    <row r="581" ht="15.75" customHeight="1">
      <c r="B581" s="72"/>
    </row>
    <row r="582" ht="15.75" customHeight="1">
      <c r="B582" s="72"/>
    </row>
    <row r="583" ht="15.75" customHeight="1">
      <c r="B583" s="72"/>
    </row>
    <row r="584" ht="15.75" customHeight="1">
      <c r="B584" s="72"/>
    </row>
    <row r="585" ht="15.75" customHeight="1">
      <c r="B585" s="72"/>
    </row>
    <row r="586" ht="15.75" customHeight="1">
      <c r="B586" s="72"/>
    </row>
    <row r="587" ht="15.75" customHeight="1">
      <c r="B587" s="72"/>
    </row>
    <row r="588" ht="15.75" customHeight="1">
      <c r="B588" s="72"/>
    </row>
    <row r="589" ht="15.75" customHeight="1">
      <c r="B589" s="72"/>
    </row>
    <row r="590" ht="15.75" customHeight="1">
      <c r="B590" s="72"/>
    </row>
    <row r="591" ht="15.75" customHeight="1">
      <c r="B591" s="72"/>
    </row>
    <row r="592" ht="15.75" customHeight="1">
      <c r="B592" s="72"/>
    </row>
    <row r="593" ht="15.75" customHeight="1">
      <c r="B593" s="72"/>
    </row>
    <row r="594" ht="15.75" customHeight="1">
      <c r="B594" s="72"/>
    </row>
    <row r="595" ht="15.75" customHeight="1">
      <c r="B595" s="72"/>
    </row>
    <row r="596" ht="15.75" customHeight="1">
      <c r="B596" s="72"/>
    </row>
    <row r="597" ht="15.75" customHeight="1">
      <c r="B597" s="72"/>
    </row>
    <row r="598" ht="15.75" customHeight="1">
      <c r="B598" s="72"/>
    </row>
    <row r="599" ht="15.75" customHeight="1">
      <c r="B599" s="72"/>
    </row>
    <row r="600" ht="15.75" customHeight="1">
      <c r="B600" s="72"/>
    </row>
    <row r="601" ht="15.75" customHeight="1">
      <c r="B601" s="72"/>
    </row>
    <row r="602" ht="15.75" customHeight="1">
      <c r="B602" s="72"/>
    </row>
    <row r="603" ht="15.75" customHeight="1">
      <c r="B603" s="72"/>
    </row>
    <row r="604" ht="15.75" customHeight="1">
      <c r="B604" s="72"/>
    </row>
    <row r="605" ht="15.75" customHeight="1">
      <c r="B605" s="72"/>
    </row>
    <row r="606" ht="15.75" customHeight="1">
      <c r="B606" s="72"/>
    </row>
    <row r="607" ht="15.75" customHeight="1">
      <c r="B607" s="72"/>
    </row>
    <row r="608" ht="15.75" customHeight="1">
      <c r="B608" s="72"/>
    </row>
    <row r="609" ht="15.75" customHeight="1">
      <c r="B609" s="72"/>
    </row>
    <row r="610" ht="15.75" customHeight="1">
      <c r="B610" s="72"/>
    </row>
    <row r="611" ht="15.75" customHeight="1">
      <c r="B611" s="72"/>
    </row>
    <row r="612" ht="15.75" customHeight="1">
      <c r="B612" s="72"/>
    </row>
    <row r="613" ht="15.75" customHeight="1">
      <c r="B613" s="72"/>
    </row>
    <row r="614" ht="15.75" customHeight="1">
      <c r="B614" s="72"/>
    </row>
    <row r="615" ht="15.75" customHeight="1">
      <c r="B615" s="72"/>
    </row>
    <row r="616" ht="15.75" customHeight="1">
      <c r="B616" s="72"/>
    </row>
    <row r="617" ht="15.75" customHeight="1">
      <c r="B617" s="72"/>
    </row>
    <row r="618" ht="15.75" customHeight="1">
      <c r="B618" s="72"/>
    </row>
    <row r="619" ht="15.75" customHeight="1">
      <c r="B619" s="72"/>
    </row>
    <row r="620" ht="15.75" customHeight="1">
      <c r="B620" s="72"/>
    </row>
    <row r="621" ht="15.75" customHeight="1">
      <c r="B621" s="72"/>
    </row>
    <row r="622" ht="15.75" customHeight="1">
      <c r="B622" s="72"/>
    </row>
    <row r="623" ht="15.75" customHeight="1">
      <c r="B623" s="72"/>
    </row>
    <row r="624" ht="15.75" customHeight="1">
      <c r="B624" s="72"/>
    </row>
    <row r="625" ht="15.75" customHeight="1">
      <c r="B625" s="72"/>
    </row>
    <row r="626" ht="15.75" customHeight="1">
      <c r="B626" s="72"/>
    </row>
    <row r="627" ht="15.75" customHeight="1">
      <c r="B627" s="72"/>
    </row>
    <row r="628" ht="15.75" customHeight="1">
      <c r="B628" s="72"/>
    </row>
    <row r="629" ht="15.75" customHeight="1">
      <c r="B629" s="72"/>
    </row>
    <row r="630" ht="15.75" customHeight="1">
      <c r="B630" s="72"/>
    </row>
    <row r="631" ht="15.75" customHeight="1">
      <c r="B631" s="72"/>
    </row>
    <row r="632" ht="15.75" customHeight="1">
      <c r="B632" s="72"/>
    </row>
    <row r="633" ht="15.75" customHeight="1">
      <c r="B633" s="72"/>
    </row>
    <row r="634" ht="15.75" customHeight="1">
      <c r="B634" s="72"/>
    </row>
    <row r="635" ht="15.75" customHeight="1">
      <c r="B635" s="72"/>
    </row>
    <row r="636" ht="15.75" customHeight="1">
      <c r="B636" s="72"/>
    </row>
    <row r="637" ht="15.75" customHeight="1">
      <c r="B637" s="72"/>
    </row>
    <row r="638" ht="15.75" customHeight="1">
      <c r="B638" s="72"/>
    </row>
    <row r="639" ht="15.75" customHeight="1">
      <c r="B639" s="72"/>
    </row>
    <row r="640" ht="15.75" customHeight="1">
      <c r="B640" s="72"/>
    </row>
    <row r="641" ht="15.75" customHeight="1">
      <c r="B641" s="72"/>
    </row>
    <row r="642" ht="15.75" customHeight="1">
      <c r="B642" s="72"/>
    </row>
    <row r="643" ht="15.75" customHeight="1">
      <c r="B643" s="72"/>
    </row>
    <row r="644" ht="15.75" customHeight="1">
      <c r="B644" s="72"/>
    </row>
    <row r="645" ht="15.75" customHeight="1">
      <c r="B645" s="72"/>
    </row>
    <row r="646" ht="15.75" customHeight="1">
      <c r="B646" s="72"/>
    </row>
    <row r="647" ht="15.75" customHeight="1">
      <c r="B647" s="72"/>
    </row>
    <row r="648" ht="15.75" customHeight="1">
      <c r="B648" s="72"/>
    </row>
    <row r="649" ht="15.75" customHeight="1">
      <c r="B649" s="72"/>
    </row>
    <row r="650" ht="15.75" customHeight="1">
      <c r="B650" s="72"/>
    </row>
    <row r="651" ht="15.75" customHeight="1">
      <c r="B651" s="72"/>
    </row>
    <row r="652" ht="15.75" customHeight="1">
      <c r="B652" s="72"/>
    </row>
    <row r="653" ht="15.75" customHeight="1">
      <c r="B653" s="72"/>
    </row>
    <row r="654" ht="15.75" customHeight="1">
      <c r="B654" s="72"/>
    </row>
    <row r="655" ht="15.75" customHeight="1">
      <c r="B655" s="72"/>
    </row>
    <row r="656" ht="15.75" customHeight="1">
      <c r="B656" s="72"/>
    </row>
    <row r="657" ht="15.75" customHeight="1">
      <c r="B657" s="72"/>
    </row>
    <row r="658" ht="15.75" customHeight="1">
      <c r="B658" s="72"/>
    </row>
    <row r="659" ht="15.75" customHeight="1">
      <c r="B659" s="72"/>
    </row>
    <row r="660" ht="15.75" customHeight="1">
      <c r="B660" s="72"/>
    </row>
    <row r="661" ht="15.75" customHeight="1">
      <c r="B661" s="72"/>
    </row>
    <row r="662" ht="15.75" customHeight="1">
      <c r="B662" s="72"/>
    </row>
    <row r="663" ht="15.75" customHeight="1">
      <c r="B663" s="72"/>
    </row>
    <row r="664" ht="15.75" customHeight="1">
      <c r="B664" s="72"/>
    </row>
    <row r="665" ht="15.75" customHeight="1">
      <c r="B665" s="72"/>
    </row>
    <row r="666" ht="15.75" customHeight="1">
      <c r="B666" s="72"/>
    </row>
    <row r="667" ht="15.75" customHeight="1">
      <c r="B667" s="72"/>
    </row>
    <row r="668" ht="15.75" customHeight="1">
      <c r="B668" s="72"/>
    </row>
    <row r="669" ht="15.75" customHeight="1">
      <c r="B669" s="72"/>
    </row>
    <row r="670" ht="15.75" customHeight="1">
      <c r="B670" s="72"/>
    </row>
    <row r="671" ht="15.75" customHeight="1">
      <c r="B671" s="72"/>
    </row>
    <row r="672" ht="15.75" customHeight="1">
      <c r="B672" s="72"/>
    </row>
    <row r="673" ht="15.75" customHeight="1">
      <c r="B673" s="72"/>
    </row>
    <row r="674" ht="15.75" customHeight="1">
      <c r="B674" s="72"/>
    </row>
    <row r="675" ht="15.75" customHeight="1">
      <c r="B675" s="72"/>
    </row>
    <row r="676" ht="15.75" customHeight="1">
      <c r="B676" s="72"/>
    </row>
    <row r="677" ht="15.75" customHeight="1">
      <c r="B677" s="72"/>
    </row>
    <row r="678" ht="15.75" customHeight="1">
      <c r="B678" s="72"/>
    </row>
    <row r="679" ht="15.75" customHeight="1">
      <c r="B679" s="72"/>
    </row>
    <row r="680" ht="15.75" customHeight="1">
      <c r="B680" s="72"/>
    </row>
    <row r="681" ht="15.75" customHeight="1">
      <c r="B681" s="72"/>
    </row>
    <row r="682" ht="15.75" customHeight="1">
      <c r="B682" s="72"/>
    </row>
    <row r="683" ht="15.75" customHeight="1">
      <c r="B683" s="72"/>
    </row>
    <row r="684" ht="15.75" customHeight="1">
      <c r="B684" s="72"/>
    </row>
    <row r="685" ht="15.75" customHeight="1">
      <c r="B685" s="72"/>
    </row>
    <row r="686" ht="15.75" customHeight="1">
      <c r="B686" s="72"/>
    </row>
    <row r="687" ht="15.75" customHeight="1">
      <c r="B687" s="72"/>
    </row>
    <row r="688" ht="15.75" customHeight="1">
      <c r="B688" s="72"/>
    </row>
    <row r="689" ht="15.75" customHeight="1">
      <c r="B689" s="72"/>
    </row>
    <row r="690" ht="15.75" customHeight="1">
      <c r="B690" s="72"/>
    </row>
    <row r="691" ht="15.75" customHeight="1">
      <c r="B691" s="72"/>
    </row>
    <row r="692" ht="15.75" customHeight="1">
      <c r="B692" s="72"/>
    </row>
    <row r="693" ht="15.75" customHeight="1">
      <c r="B693" s="72"/>
    </row>
    <row r="694" ht="15.75" customHeight="1">
      <c r="B694" s="72"/>
    </row>
    <row r="695" ht="15.75" customHeight="1">
      <c r="B695" s="72"/>
    </row>
    <row r="696" ht="15.75" customHeight="1">
      <c r="B696" s="72"/>
    </row>
    <row r="697" ht="15.75" customHeight="1">
      <c r="B697" s="72"/>
    </row>
    <row r="698" ht="15.75" customHeight="1">
      <c r="B698" s="72"/>
    </row>
    <row r="699" ht="15.75" customHeight="1">
      <c r="B699" s="72"/>
    </row>
    <row r="700" ht="15.75" customHeight="1">
      <c r="B700" s="72"/>
    </row>
    <row r="701" ht="15.75" customHeight="1">
      <c r="B701" s="72"/>
    </row>
    <row r="702" ht="15.75" customHeight="1">
      <c r="B702" s="72"/>
    </row>
    <row r="703" ht="15.75" customHeight="1">
      <c r="B703" s="72"/>
    </row>
    <row r="704" ht="15.75" customHeight="1">
      <c r="B704" s="72"/>
    </row>
    <row r="705" ht="15.75" customHeight="1">
      <c r="B705" s="72"/>
    </row>
    <row r="706" ht="15.75" customHeight="1">
      <c r="B706" s="72"/>
    </row>
    <row r="707" ht="15.75" customHeight="1">
      <c r="B707" s="72"/>
    </row>
    <row r="708" ht="15.75" customHeight="1">
      <c r="B708" s="72"/>
    </row>
    <row r="709" ht="15.75" customHeight="1">
      <c r="B709" s="72"/>
    </row>
    <row r="710" ht="15.75" customHeight="1">
      <c r="B710" s="72"/>
    </row>
    <row r="711" ht="15.75" customHeight="1">
      <c r="B711" s="72"/>
    </row>
    <row r="712" ht="15.75" customHeight="1">
      <c r="B712" s="72"/>
    </row>
    <row r="713" ht="15.75" customHeight="1">
      <c r="B713" s="72"/>
    </row>
    <row r="714" ht="15.75" customHeight="1">
      <c r="B714" s="72"/>
    </row>
    <row r="715" ht="15.75" customHeight="1">
      <c r="B715" s="72"/>
    </row>
    <row r="716" ht="15.75" customHeight="1">
      <c r="B716" s="72"/>
    </row>
    <row r="717" ht="15.75" customHeight="1">
      <c r="B717" s="72"/>
    </row>
    <row r="718" ht="15.75" customHeight="1">
      <c r="B718" s="72"/>
    </row>
    <row r="719" ht="15.75" customHeight="1">
      <c r="B719" s="72"/>
    </row>
    <row r="720" ht="15.75" customHeight="1">
      <c r="B720" s="72"/>
    </row>
    <row r="721" ht="15.75" customHeight="1">
      <c r="B721" s="72"/>
    </row>
    <row r="722" ht="15.75" customHeight="1">
      <c r="B722" s="72"/>
    </row>
    <row r="723" ht="15.75" customHeight="1">
      <c r="B723" s="72"/>
    </row>
    <row r="724" ht="15.75" customHeight="1">
      <c r="B724" s="72"/>
    </row>
    <row r="725" ht="15.75" customHeight="1">
      <c r="B725" s="72"/>
    </row>
    <row r="726" ht="15.75" customHeight="1">
      <c r="B726" s="72"/>
    </row>
    <row r="727" ht="15.75" customHeight="1">
      <c r="B727" s="72"/>
    </row>
    <row r="728" ht="15.75" customHeight="1">
      <c r="B728" s="72"/>
    </row>
    <row r="729" ht="15.75" customHeight="1">
      <c r="B729" s="72"/>
    </row>
    <row r="730" ht="15.75" customHeight="1">
      <c r="B730" s="72"/>
    </row>
    <row r="731" ht="15.75" customHeight="1">
      <c r="B731" s="72"/>
    </row>
    <row r="732" ht="15.75" customHeight="1">
      <c r="B732" s="72"/>
    </row>
    <row r="733" ht="15.75" customHeight="1">
      <c r="B733" s="72"/>
    </row>
    <row r="734" ht="15.75" customHeight="1">
      <c r="B734" s="72"/>
    </row>
    <row r="735" ht="15.75" customHeight="1">
      <c r="B735" s="72"/>
    </row>
    <row r="736" ht="15.75" customHeight="1">
      <c r="B736" s="72"/>
    </row>
    <row r="737" ht="15.75" customHeight="1">
      <c r="B737" s="72"/>
    </row>
    <row r="738" ht="15.75" customHeight="1">
      <c r="B738" s="72"/>
    </row>
    <row r="739" ht="15.75" customHeight="1">
      <c r="B739" s="72"/>
    </row>
    <row r="740" ht="15.75" customHeight="1">
      <c r="B740" s="72"/>
    </row>
    <row r="741" ht="15.75" customHeight="1">
      <c r="B741" s="72"/>
    </row>
    <row r="742" ht="15.75" customHeight="1">
      <c r="B742" s="72"/>
    </row>
    <row r="743" ht="15.75" customHeight="1">
      <c r="B743" s="72"/>
    </row>
    <row r="744" ht="15.75" customHeight="1">
      <c r="B744" s="72"/>
    </row>
    <row r="745" ht="15.75" customHeight="1">
      <c r="B745" s="72"/>
    </row>
    <row r="746" ht="15.75" customHeight="1">
      <c r="B746" s="72"/>
    </row>
    <row r="747" ht="15.75" customHeight="1">
      <c r="B747" s="72"/>
    </row>
    <row r="748" ht="15.75" customHeight="1">
      <c r="B748" s="72"/>
    </row>
    <row r="749" ht="15.75" customHeight="1">
      <c r="B749" s="72"/>
    </row>
    <row r="750" ht="15.75" customHeight="1">
      <c r="B750" s="72"/>
    </row>
    <row r="751" ht="15.75" customHeight="1">
      <c r="B751" s="72"/>
    </row>
    <row r="752" ht="15.75" customHeight="1">
      <c r="B752" s="72"/>
    </row>
    <row r="753" ht="15.75" customHeight="1">
      <c r="B753" s="72"/>
    </row>
    <row r="754" ht="15.75" customHeight="1">
      <c r="B754" s="72"/>
    </row>
    <row r="755" ht="15.75" customHeight="1">
      <c r="B755" s="72"/>
    </row>
    <row r="756" ht="15.75" customHeight="1">
      <c r="B756" s="72"/>
    </row>
    <row r="757" ht="15.75" customHeight="1">
      <c r="B757" s="72"/>
    </row>
    <row r="758" ht="15.75" customHeight="1">
      <c r="B758" s="72"/>
    </row>
    <row r="759" ht="15.75" customHeight="1">
      <c r="B759" s="72"/>
    </row>
    <row r="760" ht="15.75" customHeight="1">
      <c r="B760" s="72"/>
    </row>
    <row r="761" ht="15.75" customHeight="1">
      <c r="B761" s="72"/>
    </row>
    <row r="762" ht="15.75" customHeight="1">
      <c r="B762" s="72"/>
    </row>
    <row r="763" ht="15.75" customHeight="1">
      <c r="B763" s="72"/>
    </row>
    <row r="764" ht="15.75" customHeight="1">
      <c r="B764" s="72"/>
    </row>
    <row r="765" ht="15.75" customHeight="1">
      <c r="B765" s="72"/>
    </row>
    <row r="766" ht="15.75" customHeight="1">
      <c r="B766" s="72"/>
    </row>
    <row r="767" ht="15.75" customHeight="1">
      <c r="B767" s="72"/>
    </row>
    <row r="768" ht="15.75" customHeight="1">
      <c r="B768" s="72"/>
    </row>
    <row r="769" ht="15.75" customHeight="1">
      <c r="B769" s="72"/>
    </row>
    <row r="770" ht="15.75" customHeight="1">
      <c r="B770" s="72"/>
    </row>
    <row r="771" ht="15.75" customHeight="1">
      <c r="B771" s="72"/>
    </row>
    <row r="772" ht="15.75" customHeight="1">
      <c r="B772" s="72"/>
    </row>
    <row r="773" ht="15.75" customHeight="1">
      <c r="B773" s="72"/>
    </row>
    <row r="774" ht="15.75" customHeight="1">
      <c r="B774" s="72"/>
    </row>
    <row r="775" ht="15.75" customHeight="1">
      <c r="B775" s="72"/>
    </row>
    <row r="776" ht="15.75" customHeight="1">
      <c r="B776" s="72"/>
    </row>
    <row r="777" ht="15.75" customHeight="1">
      <c r="B777" s="72"/>
    </row>
    <row r="778" ht="15.75" customHeight="1">
      <c r="B778" s="72"/>
    </row>
    <row r="779" ht="15.75" customHeight="1">
      <c r="B779" s="72"/>
    </row>
    <row r="780" ht="15.75" customHeight="1">
      <c r="B780" s="72"/>
    </row>
    <row r="781" ht="15.75" customHeight="1">
      <c r="B781" s="72"/>
    </row>
    <row r="782" ht="15.75" customHeight="1">
      <c r="B782" s="72"/>
    </row>
    <row r="783" ht="15.75" customHeight="1">
      <c r="B783" s="72"/>
    </row>
    <row r="784" ht="15.75" customHeight="1">
      <c r="B784" s="72"/>
    </row>
    <row r="785" ht="15.75" customHeight="1">
      <c r="B785" s="72"/>
    </row>
    <row r="786" ht="15.75" customHeight="1">
      <c r="B786" s="72"/>
    </row>
    <row r="787" ht="15.75" customHeight="1">
      <c r="B787" s="72"/>
    </row>
    <row r="788" ht="15.75" customHeight="1">
      <c r="B788" s="72"/>
    </row>
    <row r="789" ht="15.75" customHeight="1">
      <c r="B789" s="72"/>
    </row>
    <row r="790" ht="15.75" customHeight="1">
      <c r="B790" s="72"/>
    </row>
    <row r="791" ht="15.75" customHeight="1">
      <c r="B791" s="72"/>
    </row>
    <row r="792" ht="15.75" customHeight="1">
      <c r="B792" s="72"/>
    </row>
    <row r="793" ht="15.75" customHeight="1">
      <c r="B793" s="72"/>
    </row>
    <row r="794" ht="15.75" customHeight="1">
      <c r="B794" s="72"/>
    </row>
    <row r="795" ht="15.75" customHeight="1">
      <c r="B795" s="72"/>
    </row>
    <row r="796" ht="15.75" customHeight="1">
      <c r="B796" s="72"/>
    </row>
    <row r="797" ht="15.75" customHeight="1">
      <c r="B797" s="72"/>
    </row>
    <row r="798" ht="15.75" customHeight="1">
      <c r="B798" s="72"/>
    </row>
    <row r="799" ht="15.75" customHeight="1">
      <c r="B799" s="72"/>
    </row>
    <row r="800" ht="15.75" customHeight="1">
      <c r="B800" s="72"/>
    </row>
    <row r="801" ht="15.75" customHeight="1">
      <c r="B801" s="72"/>
    </row>
    <row r="802" ht="15.75" customHeight="1">
      <c r="B802" s="72"/>
    </row>
    <row r="803" ht="15.75" customHeight="1">
      <c r="B803" s="72"/>
    </row>
    <row r="804" ht="15.75" customHeight="1">
      <c r="B804" s="72"/>
    </row>
    <row r="805" ht="15.75" customHeight="1">
      <c r="B805" s="72"/>
    </row>
    <row r="806" ht="15.75" customHeight="1">
      <c r="B806" s="72"/>
    </row>
    <row r="807" ht="15.75" customHeight="1">
      <c r="B807" s="72"/>
    </row>
    <row r="808" ht="15.75" customHeight="1">
      <c r="B808" s="72"/>
    </row>
    <row r="809" ht="15.75" customHeight="1">
      <c r="B809" s="72"/>
    </row>
    <row r="810" ht="15.75" customHeight="1">
      <c r="B810" s="72"/>
    </row>
    <row r="811" ht="15.75" customHeight="1">
      <c r="B811" s="72"/>
    </row>
    <row r="812" ht="15.75" customHeight="1">
      <c r="B812" s="72"/>
    </row>
    <row r="813" ht="15.75" customHeight="1">
      <c r="B813" s="72"/>
    </row>
    <row r="814" ht="15.75" customHeight="1">
      <c r="B814" s="72"/>
    </row>
    <row r="815" ht="15.75" customHeight="1">
      <c r="B815" s="72"/>
    </row>
    <row r="816" ht="15.75" customHeight="1">
      <c r="B816" s="72"/>
    </row>
    <row r="817" ht="15.75" customHeight="1">
      <c r="B817" s="72"/>
    </row>
    <row r="818" ht="15.75" customHeight="1">
      <c r="B818" s="72"/>
    </row>
    <row r="819" ht="15.75" customHeight="1">
      <c r="B819" s="72"/>
    </row>
    <row r="820" ht="15.75" customHeight="1">
      <c r="B820" s="72"/>
    </row>
    <row r="821" ht="15.75" customHeight="1">
      <c r="B821" s="72"/>
    </row>
    <row r="822" ht="15.75" customHeight="1">
      <c r="B822" s="72"/>
    </row>
    <row r="823" ht="15.75" customHeight="1">
      <c r="B823" s="72"/>
    </row>
    <row r="824" ht="15.75" customHeight="1">
      <c r="B824" s="72"/>
    </row>
    <row r="825" ht="15.75" customHeight="1">
      <c r="B825" s="72"/>
    </row>
    <row r="826" ht="15.75" customHeight="1">
      <c r="B826" s="72"/>
    </row>
    <row r="827" ht="15.75" customHeight="1">
      <c r="B827" s="72"/>
    </row>
    <row r="828" ht="15.75" customHeight="1">
      <c r="B828" s="72"/>
    </row>
    <row r="829" ht="15.75" customHeight="1">
      <c r="B829" s="72"/>
    </row>
    <row r="830" ht="15.75" customHeight="1">
      <c r="B830" s="72"/>
    </row>
    <row r="831" ht="15.75" customHeight="1">
      <c r="B831" s="72"/>
    </row>
    <row r="832" ht="15.75" customHeight="1">
      <c r="B832" s="72"/>
    </row>
    <row r="833" ht="15.75" customHeight="1">
      <c r="B833" s="72"/>
    </row>
    <row r="834" ht="15.75" customHeight="1">
      <c r="B834" s="72"/>
    </row>
    <row r="835" ht="15.75" customHeight="1">
      <c r="B835" s="72"/>
    </row>
    <row r="836" ht="15.75" customHeight="1">
      <c r="B836" s="72"/>
    </row>
    <row r="837" ht="15.75" customHeight="1">
      <c r="B837" s="72"/>
    </row>
    <row r="838" ht="15.75" customHeight="1">
      <c r="B838" s="72"/>
    </row>
    <row r="839" ht="15.75" customHeight="1">
      <c r="B839" s="72"/>
    </row>
    <row r="840" ht="15.75" customHeight="1">
      <c r="B840" s="72"/>
    </row>
    <row r="841" ht="15.75" customHeight="1">
      <c r="B841" s="72"/>
    </row>
    <row r="842" ht="15.75" customHeight="1">
      <c r="B842" s="72"/>
    </row>
    <row r="843" ht="15.75" customHeight="1">
      <c r="B843" s="72"/>
    </row>
    <row r="844" ht="15.75" customHeight="1">
      <c r="B844" s="72"/>
    </row>
    <row r="845" ht="15.75" customHeight="1">
      <c r="B845" s="72"/>
    </row>
    <row r="846" ht="15.75" customHeight="1">
      <c r="B846" s="72"/>
    </row>
    <row r="847" ht="15.75" customHeight="1">
      <c r="B847" s="72"/>
    </row>
    <row r="848" ht="15.75" customHeight="1">
      <c r="B848" s="72"/>
    </row>
    <row r="849" ht="15.75" customHeight="1">
      <c r="B849" s="72"/>
    </row>
    <row r="850" ht="15.75" customHeight="1">
      <c r="B850" s="72"/>
    </row>
    <row r="851" ht="15.75" customHeight="1">
      <c r="B851" s="72"/>
    </row>
    <row r="852" ht="15.75" customHeight="1">
      <c r="B852" s="72"/>
    </row>
    <row r="853" ht="15.75" customHeight="1">
      <c r="B853" s="72"/>
    </row>
    <row r="854" ht="15.75" customHeight="1">
      <c r="B854" s="72"/>
    </row>
    <row r="855" ht="15.75" customHeight="1">
      <c r="B855" s="72"/>
    </row>
    <row r="856" ht="15.75" customHeight="1">
      <c r="B856" s="72"/>
    </row>
    <row r="857" ht="15.75" customHeight="1">
      <c r="B857" s="72"/>
    </row>
    <row r="858" ht="15.75" customHeight="1">
      <c r="B858" s="72"/>
    </row>
    <row r="859" ht="15.75" customHeight="1">
      <c r="B859" s="72"/>
    </row>
    <row r="860" ht="15.75" customHeight="1">
      <c r="B860" s="72"/>
    </row>
    <row r="861" ht="15.75" customHeight="1">
      <c r="B861" s="72"/>
    </row>
    <row r="862" ht="15.75" customHeight="1">
      <c r="B862" s="72"/>
    </row>
    <row r="863" ht="15.75" customHeight="1">
      <c r="B863" s="72"/>
    </row>
    <row r="864" ht="15.75" customHeight="1">
      <c r="B864" s="72"/>
    </row>
    <row r="865" ht="15.75" customHeight="1">
      <c r="B865" s="72"/>
    </row>
    <row r="866" ht="15.75" customHeight="1">
      <c r="B866" s="72"/>
    </row>
    <row r="867" ht="15.75" customHeight="1">
      <c r="B867" s="72"/>
    </row>
    <row r="868" ht="15.75" customHeight="1">
      <c r="B868" s="72"/>
    </row>
    <row r="869" ht="15.75" customHeight="1">
      <c r="B869" s="72"/>
    </row>
    <row r="870" ht="15.75" customHeight="1">
      <c r="B870" s="72"/>
    </row>
    <row r="871" ht="15.75" customHeight="1">
      <c r="B871" s="72"/>
    </row>
    <row r="872" ht="15.75" customHeight="1">
      <c r="B872" s="72"/>
    </row>
    <row r="873" ht="15.75" customHeight="1">
      <c r="B873" s="72"/>
    </row>
    <row r="874" ht="15.75" customHeight="1">
      <c r="B874" s="72"/>
    </row>
    <row r="875" ht="15.75" customHeight="1">
      <c r="B875" s="72"/>
    </row>
    <row r="876" ht="15.75" customHeight="1">
      <c r="B876" s="72"/>
    </row>
    <row r="877" ht="15.75" customHeight="1">
      <c r="B877" s="72"/>
    </row>
    <row r="878" ht="15.75" customHeight="1">
      <c r="B878" s="72"/>
    </row>
    <row r="879" ht="15.75" customHeight="1">
      <c r="B879" s="72"/>
    </row>
    <row r="880" ht="15.75" customHeight="1">
      <c r="B880" s="72"/>
    </row>
    <row r="881" ht="15.75" customHeight="1">
      <c r="B881" s="72"/>
    </row>
    <row r="882" ht="15.75" customHeight="1">
      <c r="B882" s="72"/>
    </row>
    <row r="883" ht="15.75" customHeight="1">
      <c r="B883" s="72"/>
    </row>
    <row r="884" ht="15.75" customHeight="1">
      <c r="B884" s="72"/>
    </row>
    <row r="885" ht="15.75" customHeight="1">
      <c r="B885" s="72"/>
    </row>
    <row r="886" ht="15.75" customHeight="1">
      <c r="B886" s="72"/>
    </row>
    <row r="887" ht="15.75" customHeight="1">
      <c r="B887" s="72"/>
    </row>
    <row r="888" ht="15.75" customHeight="1">
      <c r="B888" s="72"/>
    </row>
    <row r="889" ht="15.75" customHeight="1">
      <c r="B889" s="72"/>
    </row>
    <row r="890" ht="15.75" customHeight="1">
      <c r="B890" s="72"/>
    </row>
    <row r="891" ht="15.75" customHeight="1">
      <c r="B891" s="72"/>
    </row>
    <row r="892" ht="15.75" customHeight="1">
      <c r="B892" s="72"/>
    </row>
    <row r="893" ht="15.75" customHeight="1">
      <c r="B893" s="72"/>
    </row>
    <row r="894" ht="15.75" customHeight="1">
      <c r="B894" s="72"/>
    </row>
    <row r="895" ht="15.75" customHeight="1">
      <c r="B895" s="72"/>
    </row>
    <row r="896" ht="15.75" customHeight="1">
      <c r="B896" s="72"/>
    </row>
    <row r="897" ht="15.75" customHeight="1">
      <c r="B897" s="72"/>
    </row>
    <row r="898" ht="15.75" customHeight="1">
      <c r="B898" s="72"/>
    </row>
    <row r="899" ht="15.75" customHeight="1">
      <c r="B899" s="72"/>
    </row>
    <row r="900" ht="15.75" customHeight="1">
      <c r="B900" s="72"/>
    </row>
    <row r="901" ht="15.75" customHeight="1">
      <c r="B901" s="72"/>
    </row>
    <row r="902" ht="15.75" customHeight="1">
      <c r="B902" s="72"/>
    </row>
    <row r="903" ht="15.75" customHeight="1">
      <c r="B903" s="72"/>
    </row>
    <row r="904" ht="15.75" customHeight="1">
      <c r="B904" s="72"/>
    </row>
    <row r="905" ht="15.75" customHeight="1">
      <c r="B905" s="72"/>
    </row>
    <row r="906" ht="15.75" customHeight="1">
      <c r="B906" s="72"/>
    </row>
    <row r="907" ht="15.75" customHeight="1">
      <c r="B907" s="72"/>
    </row>
    <row r="908" ht="15.75" customHeight="1">
      <c r="B908" s="72"/>
    </row>
    <row r="909" ht="15.75" customHeight="1">
      <c r="B909" s="72"/>
    </row>
    <row r="910" ht="15.75" customHeight="1">
      <c r="B910" s="72"/>
    </row>
    <row r="911" ht="15.75" customHeight="1">
      <c r="B911" s="72"/>
    </row>
    <row r="912" ht="15.75" customHeight="1">
      <c r="B912" s="72"/>
    </row>
    <row r="913" ht="15.75" customHeight="1">
      <c r="B913" s="72"/>
    </row>
    <row r="914" ht="15.75" customHeight="1">
      <c r="B914" s="72"/>
    </row>
    <row r="915" ht="15.75" customHeight="1">
      <c r="B915" s="72"/>
    </row>
    <row r="916" ht="15.75" customHeight="1">
      <c r="B916" s="72"/>
    </row>
    <row r="917" ht="15.75" customHeight="1">
      <c r="B917" s="72"/>
    </row>
    <row r="918" ht="15.75" customHeight="1">
      <c r="B918" s="72"/>
    </row>
    <row r="919" ht="15.75" customHeight="1">
      <c r="B919" s="72"/>
    </row>
    <row r="920" ht="15.75" customHeight="1">
      <c r="B920" s="72"/>
    </row>
    <row r="921" ht="15.75" customHeight="1">
      <c r="B921" s="72"/>
    </row>
    <row r="922" ht="15.75" customHeight="1">
      <c r="B922" s="72"/>
    </row>
    <row r="923" ht="15.75" customHeight="1">
      <c r="B923" s="72"/>
    </row>
    <row r="924" ht="15.75" customHeight="1">
      <c r="B924" s="72"/>
    </row>
    <row r="925" ht="15.75" customHeight="1">
      <c r="B925" s="72"/>
    </row>
    <row r="926" ht="15.75" customHeight="1">
      <c r="B926" s="72"/>
    </row>
    <row r="927" ht="15.75" customHeight="1">
      <c r="B927" s="72"/>
    </row>
    <row r="928" ht="15.75" customHeight="1">
      <c r="B928" s="72"/>
    </row>
    <row r="929" ht="15.75" customHeight="1">
      <c r="B929" s="72"/>
    </row>
    <row r="930" ht="15.75" customHeight="1">
      <c r="B930" s="72"/>
    </row>
    <row r="931" ht="15.75" customHeight="1">
      <c r="B931" s="72"/>
    </row>
    <row r="932" ht="15.75" customHeight="1">
      <c r="B932" s="72"/>
    </row>
    <row r="933" ht="15.75" customHeight="1">
      <c r="B933" s="72"/>
    </row>
    <row r="934" ht="15.75" customHeight="1">
      <c r="B934" s="72"/>
    </row>
    <row r="935" ht="15.75" customHeight="1">
      <c r="B935" s="72"/>
    </row>
    <row r="936" ht="15.75" customHeight="1">
      <c r="B936" s="72"/>
    </row>
    <row r="937" ht="15.75" customHeight="1">
      <c r="B937" s="72"/>
    </row>
    <row r="938" ht="15.75" customHeight="1">
      <c r="B938" s="72"/>
    </row>
    <row r="939" ht="15.75" customHeight="1">
      <c r="B939" s="72"/>
    </row>
    <row r="940" ht="15.75" customHeight="1">
      <c r="B940" s="72"/>
    </row>
    <row r="941" ht="15.75" customHeight="1">
      <c r="B941" s="72"/>
    </row>
    <row r="942" ht="15.75" customHeight="1">
      <c r="B942" s="72"/>
    </row>
    <row r="943" ht="15.75" customHeight="1">
      <c r="B943" s="72"/>
    </row>
    <row r="944" ht="15.75" customHeight="1">
      <c r="B944" s="72"/>
    </row>
    <row r="945" ht="15.75" customHeight="1">
      <c r="B945" s="72"/>
    </row>
    <row r="946" ht="15.75" customHeight="1">
      <c r="B946" s="72"/>
    </row>
    <row r="947" ht="15.75" customHeight="1">
      <c r="B947" s="72"/>
    </row>
    <row r="948" ht="15.75" customHeight="1">
      <c r="B948" s="72"/>
    </row>
    <row r="949" ht="15.75" customHeight="1">
      <c r="B949" s="72"/>
    </row>
    <row r="950" ht="15.75" customHeight="1">
      <c r="B950" s="72"/>
    </row>
    <row r="951" ht="15.75" customHeight="1">
      <c r="B951" s="72"/>
    </row>
    <row r="952" ht="15.75" customHeight="1">
      <c r="B952" s="72"/>
    </row>
    <row r="953" ht="15.75" customHeight="1">
      <c r="B953" s="72"/>
    </row>
    <row r="954" ht="15.75" customHeight="1">
      <c r="B954" s="72"/>
    </row>
    <row r="955" ht="15.75" customHeight="1">
      <c r="B955" s="72"/>
    </row>
    <row r="956" ht="15.75" customHeight="1">
      <c r="B956" s="72"/>
    </row>
    <row r="957" ht="15.75" customHeight="1">
      <c r="B957" s="72"/>
    </row>
    <row r="958" ht="15.75" customHeight="1">
      <c r="B958" s="72"/>
    </row>
    <row r="959" ht="15.75" customHeight="1">
      <c r="B959" s="72"/>
    </row>
    <row r="960" ht="15.75" customHeight="1">
      <c r="B960" s="72"/>
    </row>
    <row r="961" ht="15.75" customHeight="1">
      <c r="B961" s="72"/>
    </row>
    <row r="962" ht="15.75" customHeight="1">
      <c r="B962" s="72"/>
    </row>
    <row r="963" ht="15.75" customHeight="1">
      <c r="B963" s="72"/>
    </row>
    <row r="964" ht="15.75" customHeight="1">
      <c r="B964" s="72"/>
    </row>
    <row r="965" ht="15.75" customHeight="1">
      <c r="B965" s="72"/>
    </row>
    <row r="966" ht="15.75" customHeight="1">
      <c r="B966" s="72"/>
    </row>
    <row r="967" ht="15.75" customHeight="1">
      <c r="B967" s="72"/>
    </row>
    <row r="968" ht="15.75" customHeight="1">
      <c r="B968" s="72"/>
    </row>
    <row r="969" ht="15.75" customHeight="1">
      <c r="B969" s="72"/>
    </row>
    <row r="970" ht="15.75" customHeight="1">
      <c r="B970" s="72"/>
    </row>
    <row r="971" ht="15.75" customHeight="1">
      <c r="B971" s="72"/>
    </row>
    <row r="972" ht="15.75" customHeight="1">
      <c r="B972" s="72"/>
    </row>
    <row r="973" ht="15.75" customHeight="1">
      <c r="B973" s="72"/>
    </row>
    <row r="974" ht="15.75" customHeight="1">
      <c r="B974" s="72"/>
    </row>
    <row r="975" ht="15.75" customHeight="1">
      <c r="B975" s="72"/>
    </row>
    <row r="976" ht="15.75" customHeight="1">
      <c r="B976" s="72"/>
    </row>
    <row r="977" ht="15.75" customHeight="1">
      <c r="B977" s="72"/>
    </row>
    <row r="978" ht="15.75" customHeight="1">
      <c r="B978" s="72"/>
    </row>
    <row r="979" ht="15.75" customHeight="1">
      <c r="B979" s="72"/>
    </row>
    <row r="980" ht="15.75" customHeight="1">
      <c r="B980" s="72"/>
    </row>
    <row r="981" ht="15.75" customHeight="1">
      <c r="B981" s="72"/>
    </row>
    <row r="982" ht="15.75" customHeight="1">
      <c r="B982" s="72"/>
    </row>
    <row r="983" ht="15.75" customHeight="1">
      <c r="B983" s="72"/>
    </row>
    <row r="984" ht="15.75" customHeight="1">
      <c r="B984" s="72"/>
    </row>
    <row r="985" ht="15.75" customHeight="1">
      <c r="B985" s="72"/>
    </row>
    <row r="986" ht="15.75" customHeight="1">
      <c r="B986" s="72"/>
    </row>
    <row r="987" ht="15.75" customHeight="1">
      <c r="B987" s="72"/>
    </row>
    <row r="988" ht="15.75" customHeight="1">
      <c r="B988" s="72"/>
    </row>
    <row r="989" ht="15.75" customHeight="1">
      <c r="B989" s="72"/>
    </row>
    <row r="990" ht="15.75" customHeight="1">
      <c r="B990" s="72"/>
    </row>
    <row r="991" ht="15.75" customHeight="1">
      <c r="B991" s="72"/>
    </row>
    <row r="992" ht="15.75" customHeight="1">
      <c r="B992" s="72"/>
    </row>
    <row r="993" ht="15.75" customHeight="1">
      <c r="B993" s="72"/>
    </row>
    <row r="994" ht="15.75" customHeight="1">
      <c r="B994" s="72"/>
    </row>
    <row r="995" ht="15.75" customHeight="1">
      <c r="B995" s="72"/>
    </row>
    <row r="996" ht="15.75" customHeight="1">
      <c r="B996" s="72"/>
    </row>
    <row r="997" ht="15.75" customHeight="1">
      <c r="B997" s="72"/>
    </row>
    <row r="998" ht="15.75" customHeight="1">
      <c r="B998" s="72"/>
    </row>
    <row r="999" ht="15.75" customHeight="1">
      <c r="B999" s="72"/>
    </row>
    <row r="1000" ht="15.75" customHeight="1">
      <c r="B1000" s="72"/>
    </row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5.25"/>
  </cols>
  <sheetData>
    <row r="1" ht="22.5" customHeight="1">
      <c r="A1" s="74" t="s">
        <v>1999</v>
      </c>
    </row>
    <row r="2" ht="22.5" customHeight="1">
      <c r="A2" s="75" t="s">
        <v>180</v>
      </c>
      <c r="C2" s="76" t="s">
        <v>2000</v>
      </c>
    </row>
    <row r="3" ht="22.5" customHeight="1">
      <c r="A3" s="75" t="s">
        <v>540</v>
      </c>
    </row>
    <row r="4" ht="22.5" customHeight="1">
      <c r="A4" s="75" t="s">
        <v>1254</v>
      </c>
    </row>
    <row r="5" ht="22.5" customHeight="1">
      <c r="A5" s="75" t="s">
        <v>342</v>
      </c>
    </row>
    <row r="7" ht="22.5" customHeight="1">
      <c r="A7" s="74" t="s">
        <v>2001</v>
      </c>
    </row>
    <row r="8" ht="22.5" customHeight="1">
      <c r="A8" s="75" t="s">
        <v>2002</v>
      </c>
    </row>
    <row r="9" ht="22.5" customHeight="1">
      <c r="A9" s="75" t="s">
        <v>2003</v>
      </c>
    </row>
    <row r="10" ht="22.5" customHeight="1">
      <c r="A10" s="75" t="s">
        <v>2004</v>
      </c>
    </row>
    <row r="11" ht="22.5" customHeight="1">
      <c r="A11" s="75" t="s">
        <v>2005</v>
      </c>
    </row>
  </sheetData>
  <hyperlinks>
    <hyperlink r:id="rId1" ref="C2"/>
  </hyperlinks>
  <drawing r:id="rId2"/>
  <tableParts count="2"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140.38"/>
    <col customWidth="1" min="3" max="26" width="8.63"/>
  </cols>
  <sheetData>
    <row r="1">
      <c r="A1" s="2" t="s">
        <v>2006</v>
      </c>
      <c r="B1" s="2" t="s">
        <v>2007</v>
      </c>
    </row>
    <row r="2">
      <c r="A2" s="72" t="s">
        <v>2008</v>
      </c>
      <c r="B2" s="71" t="s">
        <v>2009</v>
      </c>
    </row>
    <row r="3">
      <c r="A3" s="72" t="s">
        <v>2010</v>
      </c>
      <c r="B3" s="71" t="s">
        <v>2011</v>
      </c>
    </row>
    <row r="4">
      <c r="A4" s="72" t="s">
        <v>2012</v>
      </c>
      <c r="B4" s="71" t="s">
        <v>2013</v>
      </c>
    </row>
    <row r="5">
      <c r="A5" s="72" t="s">
        <v>2014</v>
      </c>
      <c r="B5" s="71" t="s">
        <v>2015</v>
      </c>
    </row>
    <row r="6">
      <c r="A6" s="72" t="s">
        <v>2016</v>
      </c>
      <c r="B6" s="71" t="s">
        <v>2017</v>
      </c>
    </row>
    <row r="7">
      <c r="A7" s="72" t="s">
        <v>2018</v>
      </c>
      <c r="B7" s="71" t="s">
        <v>2019</v>
      </c>
    </row>
    <row r="8">
      <c r="A8" s="72" t="s">
        <v>2020</v>
      </c>
      <c r="B8" s="71" t="s">
        <v>2021</v>
      </c>
    </row>
    <row r="9">
      <c r="A9" s="72" t="s">
        <v>2022</v>
      </c>
      <c r="B9" s="71" t="s">
        <v>2023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